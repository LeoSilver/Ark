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0" activeTab="0" autoFilterDateGrouping="1"/>
  </bookViews>
  <sheets>
    <sheet xmlns:r="http://schemas.openxmlformats.org/officeDocument/2006/relationships" name="taXel全体" sheetId="1" state="visible" r:id="rId1"/>
    <sheet xmlns:r="http://schemas.openxmlformats.org/officeDocument/2006/relationships" name="SaaS" sheetId="2" state="visible" r:id="rId2"/>
    <sheet xmlns:r="http://schemas.openxmlformats.org/officeDocument/2006/relationships" name="事業・組織再生コンサル" sheetId="3" state="visible" r:id="rId3"/>
    <sheet xmlns:r="http://schemas.openxmlformats.org/officeDocument/2006/relationships" name="ビジとり" sheetId="4" state="visible" r:id="rId4"/>
    <sheet xmlns:r="http://schemas.openxmlformats.org/officeDocument/2006/relationships" name="支払い.com" sheetId="5" state="visible" r:id="rId5"/>
    <sheet xmlns:r="http://schemas.openxmlformats.org/officeDocument/2006/relationships" name="PB" sheetId="6" state="visible" r:id="rId6"/>
    <sheet xmlns:r="http://schemas.openxmlformats.org/officeDocument/2006/relationships" name="電力コスト削減" sheetId="7" state="visible" r:id="rId7"/>
    <sheet xmlns:r="http://schemas.openxmlformats.org/officeDocument/2006/relationships" name=" 売掛保証（保証型ファクタリング" sheetId="8" state="visible" r:id="rId8"/>
    <sheet xmlns:r="http://schemas.openxmlformats.org/officeDocument/2006/relationships" name="費用予算" sheetId="9" state="visible" r:id="rId9"/>
    <sheet xmlns:r="http://schemas.openxmlformats.org/officeDocument/2006/relationships" name="販管費予算" sheetId="10" state="visible" r:id="rId10"/>
    <sheet xmlns:r="http://schemas.openxmlformats.org/officeDocument/2006/relationships" name="報酬について" sheetId="11" state="visible" r:id="rId11"/>
    <sheet xmlns:r="http://schemas.openxmlformats.org/officeDocument/2006/relationships" name="修正レポート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4">
    <numFmt numFmtId="164" formatCode="#,##0_);[Red]\(#,##0\)"/>
    <numFmt numFmtId="165" formatCode="0.0%"/>
    <numFmt numFmtId="166" formatCode="#,##0&quot;円&quot;;\(#,##0\);\-"/>
    <numFmt numFmtId="167" formatCode="[$¥-411]#,##0;[$¥-411]#,##0"/>
    <numFmt numFmtId="168" formatCode="#,##0.0;[Red]\-#,##0.0"/>
    <numFmt numFmtId="169" formatCode="&quot;¥&quot;#,##0_);[Red]\(&quot;¥&quot;#,##0\)"/>
    <numFmt numFmtId="170" formatCode="[$¥-411]#,##0.00;[$¥-411]#,##0.00"/>
    <numFmt numFmtId="171" formatCode="[$¥-411]#,##0;\-[$¥-411]#,##0"/>
    <numFmt numFmtId="172" formatCode="&quot;¥&quot;#,##0;[Red]&quot;¥&quot;\-#,##0"/>
    <numFmt numFmtId="173" formatCode="#,##0.0_);[Red]\(#,##0.0\)"/>
    <numFmt numFmtId="174" formatCode="#,##0&quot;人&quot;"/>
    <numFmt numFmtId="175" formatCode="#,##0.0&quot;人&quot;"/>
    <numFmt numFmtId="176" formatCode="\+#,##0.0%;[Red]\-#,##0.0%"/>
    <numFmt numFmtId="177" formatCode="#,##0;[Red]-#,##0"/>
  </numFmts>
  <fonts count="6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rgb="FF000000"/>
      <sz val="12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color theme="1" tint="0.249977111117893"/>
      <sz val="10"/>
      <scheme val="minor"/>
    </font>
    <font>
      <name val="游ゴシック"/>
      <charset val="128"/>
      <family val="3"/>
      <i val="1"/>
      <color theme="1"/>
      <sz val="9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color rgb="FF000000"/>
      <sz val="10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i val="1"/>
      <color rgb="FF000000"/>
      <sz val="9"/>
      <scheme val="minor"/>
    </font>
    <font>
      <name val="游ゴシック"/>
      <charset val="128"/>
      <family val="2"/>
      <color theme="10"/>
      <sz val="12"/>
      <u val="single"/>
      <scheme val="minor"/>
    </font>
    <font>
      <name val="游ゴシック"/>
      <charset val="128"/>
      <family val="3"/>
      <i val="1"/>
      <color theme="1"/>
      <sz val="11"/>
      <scheme val="minor"/>
    </font>
    <font>
      <name val="游ゴシック"/>
      <charset val="128"/>
      <family val="3"/>
      <color theme="1"/>
      <sz val="11"/>
      <u val="single"/>
      <scheme val="minor"/>
    </font>
    <font>
      <name val="游ゴシック Regular"/>
      <charset val="128"/>
      <color theme="1"/>
      <sz val="10"/>
    </font>
    <font>
      <name val="游ゴシック Regular"/>
      <charset val="128"/>
      <i val="1"/>
      <color theme="1"/>
      <sz val="9"/>
    </font>
    <font>
      <name val="游ゴシック Regular"/>
      <charset val="128"/>
      <b val="1"/>
      <color theme="1"/>
      <sz val="10"/>
    </font>
    <font>
      <name val="游ゴシック Regular"/>
      <charset val="128"/>
      <color theme="1"/>
      <sz val="11"/>
    </font>
    <font>
      <name val="BIZ UDPゴシック"/>
      <charset val="128"/>
      <family val="3"/>
      <color theme="1"/>
      <sz val="10"/>
    </font>
    <font>
      <name val="游ゴシック"/>
      <charset val="128"/>
      <family val="3"/>
      <b val="1"/>
      <color theme="1"/>
      <sz val="12"/>
      <scheme val="minor"/>
    </font>
    <font>
      <name val="游ゴシック Regular"/>
      <charset val="128"/>
      <color theme="1"/>
      <sz val="12"/>
    </font>
    <font>
      <name val="游ゴシック Regular"/>
      <charset val="128"/>
      <color rgb="FFC00000"/>
      <sz val="10"/>
    </font>
    <font>
      <name val="游ゴシック Regular"/>
      <charset val="128"/>
      <color rgb="FF000000"/>
      <sz val="10"/>
    </font>
    <font>
      <name val="游ゴシック Regular"/>
      <charset val="128"/>
      <b val="1"/>
      <color theme="1"/>
      <sz val="12"/>
    </font>
    <font>
      <name val="游ゴシック Regular"/>
      <charset val="128"/>
      <i val="1"/>
      <color theme="1"/>
      <sz val="12"/>
    </font>
    <font>
      <name val="游ゴシック Regular"/>
      <charset val="128"/>
      <color rgb="FF000000"/>
      <sz val="12"/>
    </font>
    <font>
      <name val="游ゴシック"/>
      <charset val="128"/>
      <family val="2"/>
      <color theme="1"/>
      <sz val="12"/>
    </font>
    <font>
      <name val="游ゴシック"/>
      <charset val="128"/>
      <family val="3"/>
      <b val="1"/>
      <color rgb="FF1F1F1F"/>
      <sz val="12"/>
      <scheme val="minor"/>
    </font>
    <font>
      <name val="游ゴシック"/>
      <charset val="128"/>
      <family val="3"/>
      <color rgb="FF1F1F1F"/>
      <sz val="12"/>
      <scheme val="minor"/>
    </font>
    <font>
      <name val="游ゴシック"/>
      <charset val="128"/>
      <family val="3"/>
      <b val="1"/>
      <color rgb="FF1F1F1F"/>
      <sz val="13.5"/>
      <scheme val="minor"/>
    </font>
    <font>
      <name val="游ゴシック"/>
      <charset val="128"/>
      <family val="3"/>
      <color rgb="FF1F1F1F"/>
      <sz val="13.5"/>
      <scheme val="minor"/>
    </font>
    <font>
      <name val="游ゴシック"/>
      <charset val="128"/>
      <family val="3"/>
      <color rgb="FFC00000"/>
      <sz val="12"/>
      <scheme val="minor"/>
    </font>
    <font>
      <name val="游ゴシック"/>
      <charset val="128"/>
      <family val="3"/>
      <b val="1"/>
      <color rgb="FFC00000"/>
      <sz val="12"/>
      <scheme val="minor"/>
    </font>
    <font>
      <name val="游ゴシック"/>
      <charset val="128"/>
      <family val="3"/>
      <i val="1"/>
      <color theme="1"/>
      <sz val="12"/>
      <scheme val="minor"/>
    </font>
    <font>
      <name val="游ゴシック"/>
      <charset val="128"/>
      <family val="3"/>
      <i val="1"/>
      <color rgb="FF1F1F1F"/>
      <sz val="12"/>
      <scheme val="minor"/>
    </font>
    <font>
      <name val="BIZ UDPゴシック"/>
      <charset val="128"/>
      <family val="3"/>
      <b val="1"/>
      <color theme="1"/>
      <sz val="10"/>
    </font>
    <font>
      <name val="BIZ UDPゴシック"/>
      <charset val="128"/>
      <family val="3"/>
      <color theme="1" tint="0.3499862666707358"/>
      <sz val="10"/>
    </font>
    <font>
      <name val="BIZ UDPゴシック"/>
      <charset val="128"/>
      <family val="3"/>
      <color theme="0" tint="-0.499984740745262"/>
      <sz val="10"/>
    </font>
    <font>
      <name val="BIZ UDPゴシック"/>
      <charset val="128"/>
      <family val="3"/>
      <i val="1"/>
      <color theme="0" tint="-0.499984740745262"/>
      <sz val="9"/>
    </font>
    <font>
      <name val="BIZ UDPゴシック"/>
      <charset val="128"/>
      <family val="3"/>
      <i val="1"/>
      <color theme="1"/>
      <sz val="9"/>
    </font>
    <font>
      <name val="游ゴシック Regular"/>
      <charset val="128"/>
      <b val="1"/>
      <i val="1"/>
      <color theme="1"/>
      <sz val="9"/>
    </font>
    <font>
      <name val="游ゴシック Regular"/>
      <charset val="128"/>
      <b val="1"/>
      <color rgb="FF000000"/>
      <sz val="10"/>
    </font>
    <font>
      <name val="游ゴシック"/>
      <charset val="128"/>
      <family val="3"/>
      <color rgb="FF000000"/>
      <sz val="12"/>
    </font>
    <font>
      <name val="游ゴシック Regular"/>
      <charset val="128"/>
      <b val="1"/>
      <color theme="1"/>
      <sz val="16"/>
    </font>
    <font>
      <name val="游ゴシック Regular"/>
      <charset val="128"/>
      <i val="1"/>
      <color theme="1"/>
      <sz val="11"/>
    </font>
    <font>
      <name val="游ゴシック Regular"/>
      <charset val="128"/>
      <b val="1"/>
      <color theme="1"/>
      <sz val="11"/>
    </font>
    <font>
      <name val="游ゴシック Regular"/>
      <charset val="128"/>
      <b val="1"/>
      <color theme="0"/>
      <sz val="11"/>
    </font>
    <font>
      <name val="游ゴシック Regular"/>
      <charset val="128"/>
      <b val="1"/>
      <i val="1"/>
      <color theme="1"/>
      <sz val="11"/>
    </font>
    <font>
      <name val="游ゴシック Regular"/>
      <b val="1"/>
      <sz val="14"/>
    </font>
    <font>
      <name val="游ゴシック Regular"/>
      <sz val="11"/>
    </font>
    <font>
      <name val="游ゴシック Regular"/>
      <b val="1"/>
      <color rgb="FFFFFFFF"/>
      <sz val="11"/>
    </font>
    <font>
      <name val="游ゴシック Regular"/>
      <color rgb="FF0000FF"/>
      <sz val="11"/>
    </font>
    <font>
      <name val="游ゴシック Regular"/>
      <color rgb="FF808080"/>
      <sz val="9"/>
    </font>
    <font>
      <name val="游ゴシック Regular"/>
      <b val="1"/>
      <sz val="11"/>
    </font>
    <font>
      <name val="游ゴシック Regular"/>
      <b val="1"/>
      <sz val="16"/>
    </font>
    <font>
      <name val="游ゴシック Regular"/>
      <sz val="10"/>
    </font>
    <font>
      <name val="游ゴシック Regular"/>
      <b val="1"/>
      <color rgb="FF002060"/>
      <sz val="13"/>
    </font>
    <font>
      <name val="游ゴシック Regular"/>
      <b val="1"/>
      <color rgb="FFFFFFFF"/>
      <sz val="10"/>
    </font>
  </fonts>
  <fills count="1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2"/>
        <bgColor rgb="FFDCEAF7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8992889187292"/>
        <bgColor rgb="FFE8E8E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rgb="FF002060"/>
      </patternFill>
    </fill>
    <fill>
      <patternFill patternType="solid">
        <fgColor rgb="FFFFF2CC"/>
      </patternFill>
    </fill>
  </fills>
  <borders count="90">
    <border>
      <left/>
      <right/>
      <top/>
      <bottom/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theme="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theme="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theme="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D0CECE"/>
      </bottom>
      <diagonal/>
    </border>
    <border>
      <left style="thin">
        <color rgb="FF000000"/>
      </left>
      <right style="thin">
        <color rgb="FF000000"/>
      </right>
      <top/>
      <bottom style="thin">
        <color rgb="FFD0CECE"/>
      </bottom>
      <diagonal/>
    </border>
    <border>
      <left style="medium">
        <color rgb="FF000000"/>
      </left>
      <right style="thin">
        <color rgb="FF000000"/>
      </right>
      <top/>
      <bottom style="thin">
        <color rgb="FFD0CECE"/>
      </bottom>
      <diagonal/>
    </border>
    <border>
      <left style="thin">
        <color rgb="FF000000"/>
      </left>
      <right style="medium">
        <color rgb="FF000000"/>
      </right>
      <top/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 style="thin">
        <color rgb="FF000000"/>
      </left>
      <right style="thin">
        <color rgb="FF000000"/>
      </right>
      <top style="thin">
        <color rgb="FFD0CECE"/>
      </top>
      <bottom style="thin">
        <color rgb="FFD0CECE"/>
      </bottom>
      <diagonal/>
    </border>
    <border>
      <left style="medium">
        <color rgb="FF000000"/>
      </left>
      <right style="thin">
        <color rgb="FF000000"/>
      </right>
      <top style="thin">
        <color rgb="FFD0CECE"/>
      </top>
      <bottom style="thin">
        <color rgb="FFD0CECE"/>
      </bottom>
      <diagonal/>
    </border>
    <border>
      <left style="thin">
        <color rgb="FF000000"/>
      </left>
      <right style="medium">
        <color rgb="FF000000"/>
      </right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/>
      <diagonal/>
    </border>
    <border>
      <left style="thin">
        <color rgb="FF000000"/>
      </left>
      <right style="thin">
        <color rgb="FF000000"/>
      </right>
      <top style="thin">
        <color rgb="FFD0CECE"/>
      </top>
      <bottom/>
      <diagonal/>
    </border>
    <border>
      <left style="medium">
        <color rgb="FF000000"/>
      </left>
      <right style="thin">
        <color rgb="FF000000"/>
      </right>
      <top style="thin">
        <color rgb="FFD0CECE"/>
      </top>
      <bottom/>
      <diagonal/>
    </border>
    <border>
      <left style="thin">
        <color rgb="FF000000"/>
      </left>
      <right style="medium">
        <color rgb="FF000000"/>
      </right>
      <top style="thin">
        <color rgb="FFD0CECE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bottom style="thin">
        <color rgb="FFBFBFBF"/>
      </bottom>
    </border>
  </borders>
  <cellStyleXfs count="5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0" fontId="15" fillId="0" borderId="0" applyAlignment="1">
      <alignment vertical="center"/>
    </xf>
    <xf numFmtId="164" fontId="30" fillId="0" borderId="0" applyAlignment="1">
      <alignment vertical="center"/>
    </xf>
  </cellStyleXfs>
  <cellXfs count="60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0" fontId="6" fillId="2" borderId="0" pivotButton="0" quotePrefix="0" xfId="0"/>
    <xf numFmtId="0" fontId="7" fillId="2" borderId="0" applyAlignment="1" pivotButton="0" quotePrefix="0" xfId="0">
      <alignment horizontal="left" vertical="center"/>
    </xf>
    <xf numFmtId="38" fontId="8" fillId="2" borderId="0" applyAlignment="1" pivotButton="0" quotePrefix="0" xfId="1">
      <alignment vertical="center"/>
    </xf>
    <xf numFmtId="0" fontId="8" fillId="0" borderId="0" applyAlignment="1" pivotButton="0" quotePrefix="0" xfId="0">
      <alignment vertical="center"/>
    </xf>
    <xf numFmtId="38" fontId="8" fillId="2" borderId="3" applyAlignment="1" pivotButton="0" quotePrefix="0" xfId="1">
      <alignment vertical="center"/>
    </xf>
    <xf numFmtId="0" fontId="9" fillId="3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3" borderId="0" pivotButton="0" quotePrefix="0" xfId="0"/>
    <xf numFmtId="165" fontId="8" fillId="0" borderId="0" pivotButton="0" quotePrefix="0" xfId="0"/>
    <xf numFmtId="165" fontId="8" fillId="3" borderId="0" pivotButton="0" quotePrefix="0" xfId="0"/>
    <xf numFmtId="0" fontId="9" fillId="0" borderId="0" pivotButton="0" quotePrefix="0" xfId="0"/>
    <xf numFmtId="38" fontId="8" fillId="0" borderId="0" pivotButton="0" quotePrefix="0" xfId="1"/>
    <xf numFmtId="166" fontId="8" fillId="0" borderId="0" pivotButton="0" quotePrefix="0" xfId="0"/>
    <xf numFmtId="38" fontId="10" fillId="0" borderId="0" applyAlignment="1" pivotButton="0" quotePrefix="0" xfId="0">
      <alignment vertical="center"/>
    </xf>
    <xf numFmtId="164" fontId="11" fillId="0" borderId="1" applyAlignment="1" pivotButton="0" quotePrefix="0" xfId="0">
      <alignment vertical="center"/>
    </xf>
    <xf numFmtId="164" fontId="11" fillId="0" borderId="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8" fontId="8" fillId="0" borderId="0" applyAlignment="1" pivotButton="0" quotePrefix="0" xfId="1">
      <alignment vertical="center"/>
    </xf>
    <xf numFmtId="38" fontId="8" fillId="0" borderId="4" applyAlignment="1" pivotButton="0" quotePrefix="0" xfId="1">
      <alignment vertical="center"/>
    </xf>
    <xf numFmtId="164" fontId="13" fillId="0" borderId="2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9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9" fontId="8" fillId="0" borderId="4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8" fillId="0" borderId="3" pivotButton="0" quotePrefix="0" xfId="0"/>
    <xf numFmtId="165" fontId="8" fillId="3" borderId="3" pivotButton="0" quotePrefix="0" xfId="0"/>
    <xf numFmtId="38" fontId="8" fillId="0" borderId="3" pivotButton="0" quotePrefix="0" xfId="1"/>
    <xf numFmtId="166" fontId="8" fillId="0" borderId="3" pivotButton="0" quotePrefix="0" xfId="0"/>
    <xf numFmtId="38" fontId="10" fillId="0" borderId="3" applyAlignment="1" pivotButton="0" quotePrefix="0" xfId="0">
      <alignment vertical="center"/>
    </xf>
    <xf numFmtId="38" fontId="8" fillId="0" borderId="3" applyAlignment="1" pivotButton="0" quotePrefix="0" xfId="1">
      <alignment vertical="center"/>
    </xf>
    <xf numFmtId="167" fontId="8" fillId="2" borderId="0" applyAlignment="1" pivotButton="0" quotePrefix="0" xfId="1">
      <alignment vertical="center"/>
    </xf>
    <xf numFmtId="0" fontId="11" fillId="3" borderId="0" pivotButton="0" quotePrefix="0" xfId="0"/>
    <xf numFmtId="0" fontId="16" fillId="3" borderId="0" applyAlignment="1" pivotButton="0" quotePrefix="0" xfId="0">
      <alignment horizontal="left" vertical="center"/>
    </xf>
    <xf numFmtId="0" fontId="11" fillId="3" borderId="4" pivotButton="0" quotePrefix="0" xfId="0"/>
    <xf numFmtId="0" fontId="11" fillId="0" borderId="0" pivotButton="0" quotePrefix="0" xfId="0"/>
    <xf numFmtId="0" fontId="16" fillId="0" borderId="0" applyAlignment="1" pivotButton="0" quotePrefix="0" xfId="0">
      <alignment horizontal="left" vertical="center"/>
    </xf>
    <xf numFmtId="165" fontId="11" fillId="0" borderId="0" pivotButton="0" quotePrefix="0" xfId="0"/>
    <xf numFmtId="165" fontId="11" fillId="0" borderId="4" pivotButton="0" quotePrefix="0" xfId="0"/>
    <xf numFmtId="0" fontId="16" fillId="0" borderId="0" applyAlignment="1" pivotButton="0" quotePrefix="0" xfId="0">
      <alignment horizontal="left"/>
    </xf>
    <xf numFmtId="0" fontId="13" fillId="3" borderId="0" pivotButton="0" quotePrefix="0" xfId="0"/>
    <xf numFmtId="165" fontId="11" fillId="3" borderId="0" pivotButton="0" quotePrefix="0" xfId="0"/>
    <xf numFmtId="165" fontId="11" fillId="3" borderId="4" pivotButton="0" quotePrefix="0" xfId="0"/>
    <xf numFmtId="168" fontId="11" fillId="0" borderId="0" applyAlignment="1" pivotButton="0" quotePrefix="0" xfId="1">
      <alignment vertical="center"/>
    </xf>
    <xf numFmtId="0" fontId="11" fillId="0" borderId="0" applyAlignment="1" pivotButton="0" quotePrefix="0" xfId="0">
      <alignment vertical="center"/>
    </xf>
    <xf numFmtId="38" fontId="11" fillId="0" borderId="0" applyAlignment="1" pivotButton="0" quotePrefix="0" xfId="1">
      <alignment vertical="center"/>
    </xf>
    <xf numFmtId="38" fontId="11" fillId="0" borderId="4" applyAlignment="1" pivotButton="0" quotePrefix="0" xfId="1">
      <alignment vertical="center"/>
    </xf>
    <xf numFmtId="0" fontId="17" fillId="0" borderId="0" applyAlignment="1" pivotButton="0" quotePrefix="0" xfId="3">
      <alignment horizontal="left" vertical="center"/>
    </xf>
    <xf numFmtId="10" fontId="11" fillId="0" borderId="0" applyAlignment="1" pivotButton="0" quotePrefix="0" xfId="0">
      <alignment vertical="center"/>
    </xf>
    <xf numFmtId="10" fontId="11" fillId="0" borderId="4" applyAlignment="1" pivotButton="0" quotePrefix="0" xfId="0">
      <alignment vertical="center"/>
    </xf>
    <xf numFmtId="1" fontId="8" fillId="0" borderId="4" applyAlignment="1" pivotButton="0" quotePrefix="0" xfId="0">
      <alignment vertical="center"/>
    </xf>
    <xf numFmtId="0" fontId="18" fillId="2" borderId="0" pivotButton="0" quotePrefix="0" xfId="0"/>
    <xf numFmtId="0" fontId="19" fillId="2" borderId="0" applyAlignment="1" pivotButton="0" quotePrefix="0" xfId="0">
      <alignment horizontal="left" vertical="center"/>
    </xf>
    <xf numFmtId="167" fontId="18" fillId="2" borderId="0" applyAlignment="1" pivotButton="0" quotePrefix="0" xfId="1">
      <alignment vertical="center"/>
    </xf>
    <xf numFmtId="167" fontId="18" fillId="2" borderId="3" applyAlignment="1" pivotButton="0" quotePrefix="0" xfId="1">
      <alignment vertical="center"/>
    </xf>
    <xf numFmtId="0" fontId="20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21" fillId="3" borderId="0" pivotButton="0" quotePrefix="0" xfId="0"/>
    <xf numFmtId="0" fontId="21" fillId="3" borderId="3" pivotButton="0" quotePrefix="0" xfId="0"/>
    <xf numFmtId="0" fontId="18" fillId="0" borderId="0" pivotButton="0" quotePrefix="0" xfId="0"/>
    <xf numFmtId="165" fontId="18" fillId="0" borderId="0" pivotButton="0" quotePrefix="0" xfId="0"/>
    <xf numFmtId="165" fontId="18" fillId="0" borderId="3" pivotButton="0" quotePrefix="0" xfId="0"/>
    <xf numFmtId="165" fontId="18" fillId="3" borderId="0" pivotButton="0" quotePrefix="0" xfId="0"/>
    <xf numFmtId="165" fontId="18" fillId="3" borderId="3" pivotButton="0" quotePrefix="0" xfId="0"/>
    <xf numFmtId="168" fontId="18" fillId="0" borderId="0" pivotButton="0" quotePrefix="0" xfId="1"/>
    <xf numFmtId="168" fontId="18" fillId="0" borderId="3" pivotButton="0" quotePrefix="0" xfId="1"/>
    <xf numFmtId="0" fontId="18" fillId="0" borderId="0" applyAlignment="1" pivotButton="0" quotePrefix="0" xfId="0">
      <alignment vertical="center"/>
    </xf>
    <xf numFmtId="9" fontId="8" fillId="0" borderId="3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0" fillId="0" borderId="3" applyAlignment="1" pivotButton="0" quotePrefix="0" xfId="0">
      <alignment vertical="center"/>
    </xf>
    <xf numFmtId="1" fontId="8" fillId="0" borderId="3" applyAlignment="1" pivotButton="0" quotePrefix="0" xfId="0">
      <alignment vertical="center"/>
    </xf>
    <xf numFmtId="167" fontId="24" fillId="2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9" fontId="0" fillId="3" borderId="0" applyAlignment="1" pivotButton="0" quotePrefix="0" xfId="1">
      <alignment vertical="center"/>
    </xf>
    <xf numFmtId="169" fontId="0" fillId="3" borderId="3" applyAlignment="1" pivotButton="0" quotePrefix="0" xfId="1">
      <alignment vertical="center"/>
    </xf>
    <xf numFmtId="167" fontId="0" fillId="3" borderId="0" applyAlignment="1" pivotButton="0" quotePrefix="0" xfId="1">
      <alignment vertical="center"/>
    </xf>
    <xf numFmtId="169" fontId="0" fillId="2" borderId="0" applyAlignment="1" pivotButton="0" quotePrefix="0" xfId="0">
      <alignment vertical="center"/>
    </xf>
    <xf numFmtId="169" fontId="0" fillId="5" borderId="3" applyAlignment="1" pivotButton="0" quotePrefix="0" xfId="0">
      <alignment vertical="center"/>
    </xf>
    <xf numFmtId="0" fontId="0" fillId="5" borderId="3" applyAlignment="1" pivotButton="0" quotePrefix="0" xfId="0">
      <alignment vertical="center"/>
    </xf>
    <xf numFmtId="167" fontId="0" fillId="5" borderId="3" applyAlignment="1" pivotButton="0" quotePrefix="0" xfId="0">
      <alignment vertical="center"/>
    </xf>
    <xf numFmtId="167" fontId="0" fillId="5" borderId="3" applyAlignment="1" pivotButton="0" quotePrefix="0" xfId="1">
      <alignment vertical="center"/>
    </xf>
    <xf numFmtId="38" fontId="10" fillId="5" borderId="3" applyAlignment="1" pivotButton="0" quotePrefix="0" xfId="0">
      <alignment vertical="center"/>
    </xf>
    <xf numFmtId="38" fontId="8" fillId="5" borderId="3" applyAlignment="1" pivotButton="0" quotePrefix="0" xfId="1">
      <alignment vertical="center"/>
    </xf>
    <xf numFmtId="9" fontId="8" fillId="5" borderId="3" applyAlignment="1" pivotButton="0" quotePrefix="0" xfId="0">
      <alignment vertical="center"/>
    </xf>
    <xf numFmtId="170" fontId="18" fillId="0" borderId="0" pivotButton="0" quotePrefix="0" xfId="1"/>
    <xf numFmtId="0" fontId="7" fillId="3" borderId="0" applyAlignment="1" pivotButton="0" quotePrefix="0" xfId="0">
      <alignment horizontal="left" vertical="center"/>
    </xf>
    <xf numFmtId="38" fontId="10" fillId="3" borderId="0" applyAlignment="1" pivotButton="0" quotePrefix="0" xfId="0">
      <alignment vertical="center"/>
    </xf>
    <xf numFmtId="38" fontId="10" fillId="3" borderId="4" applyAlignment="1" pivotButton="0" quotePrefix="0" xfId="0">
      <alignment vertical="center"/>
    </xf>
    <xf numFmtId="167" fontId="18" fillId="0" borderId="0" pivotButton="0" quotePrefix="0" xfId="1"/>
    <xf numFmtId="167" fontId="18" fillId="0" borderId="3" pivotButton="0" quotePrefix="0" xfId="1"/>
    <xf numFmtId="171" fontId="18" fillId="0" borderId="3" applyAlignment="1" pivotButton="0" quotePrefix="0" xfId="0">
      <alignment vertical="center"/>
    </xf>
    <xf numFmtId="171" fontId="18" fillId="0" borderId="0" applyAlignment="1" pivotButton="0" quotePrefix="0" xfId="0">
      <alignment vertical="center"/>
    </xf>
    <xf numFmtId="168" fontId="25" fillId="0" borderId="0" pivotButton="0" quotePrefix="0" xfId="1"/>
    <xf numFmtId="167" fontId="11" fillId="0" borderId="0" applyAlignment="1" pivotButton="0" quotePrefix="0" xfId="1">
      <alignment vertical="center"/>
    </xf>
    <xf numFmtId="167" fontId="11" fillId="0" borderId="4" applyAlignment="1" pivotButton="0" quotePrefix="0" xfId="1">
      <alignment vertical="center"/>
    </xf>
    <xf numFmtId="172" fontId="11" fillId="0" borderId="0" applyAlignment="1" pivotButton="0" quotePrefix="0" xfId="2">
      <alignment vertical="center"/>
    </xf>
    <xf numFmtId="172" fontId="11" fillId="0" borderId="4" applyAlignment="1" pivotButton="0" quotePrefix="0" xfId="2">
      <alignment vertical="center"/>
    </xf>
    <xf numFmtId="0" fontId="8" fillId="3" borderId="3" pivotButton="0" quotePrefix="0" xfId="0"/>
    <xf numFmtId="38" fontId="10" fillId="3" borderId="3" applyAlignment="1" pivotButton="0" quotePrefix="0" xfId="0">
      <alignment vertical="center"/>
    </xf>
    <xf numFmtId="38" fontId="10" fillId="6" borderId="0" applyAlignment="1" pivotButton="0" quotePrefix="0" xfId="0">
      <alignment vertical="center"/>
    </xf>
    <xf numFmtId="168" fontId="11" fillId="0" borderId="3" applyAlignment="1" pivotButton="0" quotePrefix="0" xfId="1">
      <alignment vertical="center"/>
    </xf>
    <xf numFmtId="0" fontId="24" fillId="0" borderId="0" applyAlignment="1" pivotButton="0" quotePrefix="0" xfId="0">
      <alignment vertical="center"/>
    </xf>
    <xf numFmtId="38" fontId="26" fillId="6" borderId="0" applyAlignment="1" pivotButton="0" quotePrefix="0" xfId="0">
      <alignment vertical="center"/>
    </xf>
    <xf numFmtId="38" fontId="18" fillId="2" borderId="0" applyAlignment="1" pivotButton="0" quotePrefix="0" xfId="1">
      <alignment vertical="center"/>
    </xf>
    <xf numFmtId="0" fontId="24" fillId="7" borderId="0" applyAlignment="1" pivotButton="0" quotePrefix="0" xfId="0">
      <alignment vertical="center"/>
    </xf>
    <xf numFmtId="167" fontId="24" fillId="7" borderId="0" applyAlignment="1" pivotButton="0" quotePrefix="0" xfId="0">
      <alignment vertical="center"/>
    </xf>
    <xf numFmtId="167" fontId="24" fillId="7" borderId="3" applyAlignment="1" pivotButton="0" quotePrefix="0" xfId="0">
      <alignment vertical="center"/>
    </xf>
    <xf numFmtId="167" fontId="24" fillId="8" borderId="3" pivotButton="0" quotePrefix="0" xfId="0"/>
    <xf numFmtId="167" fontId="24" fillId="2" borderId="0" pivotButton="0" quotePrefix="0" xfId="0"/>
    <xf numFmtId="0" fontId="24" fillId="9" borderId="0" applyAlignment="1" pivotButton="0" quotePrefix="0" xfId="0">
      <alignment vertical="center"/>
    </xf>
    <xf numFmtId="0" fontId="24" fillId="9" borderId="3" applyAlignment="1" pivotButton="0" quotePrefix="0" xfId="0">
      <alignment vertical="center"/>
    </xf>
    <xf numFmtId="0" fontId="24" fillId="8" borderId="3" applyAlignment="1" pivotButton="0" quotePrefix="0" xfId="0">
      <alignment vertical="center"/>
    </xf>
    <xf numFmtId="0" fontId="24" fillId="3" borderId="0" applyAlignment="1" pivotButton="0" quotePrefix="0" xfId="0">
      <alignment vertical="center"/>
    </xf>
    <xf numFmtId="0" fontId="24" fillId="0" borderId="3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164" fontId="29" fillId="0" borderId="0" applyAlignment="1" pivotButton="0" quotePrefix="0" xfId="0">
      <alignment vertical="center"/>
    </xf>
    <xf numFmtId="164" fontId="29" fillId="0" borderId="3" applyAlignment="1" pivotButton="0" quotePrefix="0" xfId="0">
      <alignment vertical="center"/>
    </xf>
    <xf numFmtId="164" fontId="29" fillId="8" borderId="3" applyAlignment="1" pivotButton="0" quotePrefix="0" xfId="0">
      <alignment vertical="center"/>
    </xf>
    <xf numFmtId="164" fontId="24" fillId="0" borderId="2" applyAlignment="1" pivotButton="0" quotePrefix="0" xfId="0">
      <alignment vertical="center"/>
    </xf>
    <xf numFmtId="164" fontId="24" fillId="0" borderId="0" applyAlignment="1" pivotButton="0" quotePrefix="0" xfId="4">
      <alignment vertical="center"/>
    </xf>
    <xf numFmtId="164" fontId="24" fillId="0" borderId="3" applyAlignment="1" pivotButton="0" quotePrefix="0" xfId="4">
      <alignment vertical="center"/>
    </xf>
    <xf numFmtId="164" fontId="24" fillId="8" borderId="3" applyAlignment="1" pivotButton="0" quotePrefix="0" xfId="4">
      <alignment vertical="center"/>
    </xf>
    <xf numFmtId="1" fontId="24" fillId="0" borderId="0" applyAlignment="1" pivotButton="0" quotePrefix="0" xfId="0">
      <alignment vertical="center"/>
    </xf>
    <xf numFmtId="1" fontId="24" fillId="0" borderId="3" applyAlignment="1" pivotButton="0" quotePrefix="0" xfId="0">
      <alignment vertical="center"/>
    </xf>
    <xf numFmtId="9" fontId="24" fillId="0" borderId="0" applyAlignment="1" pivotButton="0" quotePrefix="0" xfId="0">
      <alignment vertical="center"/>
    </xf>
    <xf numFmtId="9" fontId="24" fillId="0" borderId="3" applyAlignment="1" pivotButton="0" quotePrefix="0" xfId="0">
      <alignment vertical="center"/>
    </xf>
    <xf numFmtId="165" fontId="24" fillId="0" borderId="0" applyAlignment="1" pivotButton="0" quotePrefix="0" xfId="0">
      <alignment vertical="center"/>
    </xf>
    <xf numFmtId="9" fontId="24" fillId="8" borderId="3" applyAlignment="1" pivotButton="0" quotePrefix="0" xfId="0">
      <alignment vertical="center"/>
    </xf>
    <xf numFmtId="167" fontId="24" fillId="3" borderId="0" applyAlignment="1" pivotButton="0" quotePrefix="0" xfId="0">
      <alignment vertical="center"/>
    </xf>
    <xf numFmtId="167" fontId="24" fillId="3" borderId="3" applyAlignment="1" pivotButton="0" quotePrefix="0" xfId="0">
      <alignment vertical="center"/>
    </xf>
    <xf numFmtId="0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173" fontId="8" fillId="0" borderId="0" pivotButton="0" quotePrefix="0" xfId="0"/>
    <xf numFmtId="173" fontId="8" fillId="0" borderId="3" pivotButton="0" quotePrefix="0" xfId="0"/>
    <xf numFmtId="173" fontId="11" fillId="0" borderId="0" applyAlignment="1" pivotButton="0" quotePrefix="0" xfId="0">
      <alignment vertical="center"/>
    </xf>
    <xf numFmtId="173" fontId="11" fillId="0" borderId="3" applyAlignment="1" pivotButton="0" quotePrefix="0" xfId="0">
      <alignment vertical="center"/>
    </xf>
    <xf numFmtId="173" fontId="18" fillId="0" borderId="0" pivotButton="0" quotePrefix="0" xfId="0"/>
    <xf numFmtId="173" fontId="18" fillId="0" borderId="3" pivotButton="0" quotePrefix="0" xfId="0"/>
    <xf numFmtId="173" fontId="25" fillId="0" borderId="0" pivotButton="0" quotePrefix="0" xfId="0"/>
    <xf numFmtId="0" fontId="1" fillId="0" borderId="0" applyAlignment="1" pivotButton="0" quotePrefix="0" xfId="0">
      <alignment vertical="center"/>
    </xf>
    <xf numFmtId="173" fontId="1" fillId="0" borderId="0" applyAlignment="1" pivotButton="0" quotePrefix="0" xfId="0">
      <alignment vertical="center"/>
    </xf>
    <xf numFmtId="173" fontId="1" fillId="0" borderId="3" applyAlignment="1" pivotButton="0" quotePrefix="0" xfId="0">
      <alignment vertical="center"/>
    </xf>
    <xf numFmtId="173" fontId="1" fillId="5" borderId="3" applyAlignment="1" pivotButton="0" quotePrefix="0" xfId="0">
      <alignment vertical="center"/>
    </xf>
    <xf numFmtId="0" fontId="24" fillId="0" borderId="0" pivotButton="0" quotePrefix="0" xfId="0"/>
    <xf numFmtId="173" fontId="24" fillId="0" borderId="0" applyAlignment="1" pivotButton="0" quotePrefix="0" xfId="0">
      <alignment vertical="center"/>
    </xf>
    <xf numFmtId="173" fontId="24" fillId="0" borderId="3" applyAlignment="1" pivotButton="0" quotePrefix="0" xfId="0">
      <alignment vertical="center"/>
    </xf>
    <xf numFmtId="173" fontId="24" fillId="8" borderId="3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12" fillId="3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2" fillId="0" borderId="6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32" fillId="0" borderId="3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32" fillId="0" borderId="9" applyAlignment="1" pivotButton="0" quotePrefix="0" xfId="0">
      <alignment vertical="center"/>
    </xf>
    <xf numFmtId="0" fontId="12" fillId="0" borderId="1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0" fontId="39" fillId="10" borderId="0" applyAlignment="1" pivotButton="0" quotePrefix="0" xfId="0">
      <alignment horizontal="center" vertical="center"/>
    </xf>
    <xf numFmtId="38" fontId="22" fillId="0" borderId="0" applyAlignment="1" pivotButton="0" quotePrefix="0" xfId="1">
      <alignment vertical="center"/>
    </xf>
    <xf numFmtId="0" fontId="40" fillId="0" borderId="0" applyAlignment="1" pivotButton="0" quotePrefix="0" xfId="0">
      <alignment vertical="center"/>
    </xf>
    <xf numFmtId="0" fontId="22" fillId="3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horizontal="left" vertical="center"/>
    </xf>
    <xf numFmtId="38" fontId="41" fillId="0" borderId="0" applyAlignment="1" pivotButton="0" quotePrefix="0" xfId="1">
      <alignment vertical="center"/>
    </xf>
    <xf numFmtId="0" fontId="43" fillId="0" borderId="0" applyAlignment="1" pivotButton="0" quotePrefix="0" xfId="0">
      <alignment horizontal="left" vertical="center"/>
    </xf>
    <xf numFmtId="9" fontId="22" fillId="0" borderId="0" applyAlignment="1" pivotButton="0" quotePrefix="0" xfId="1">
      <alignment vertical="center"/>
    </xf>
    <xf numFmtId="168" fontId="22" fillId="0" borderId="0" applyAlignment="1" pivotButton="0" quotePrefix="0" xfId="1">
      <alignment vertical="center"/>
    </xf>
    <xf numFmtId="9" fontId="22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/>
    </xf>
    <xf numFmtId="0" fontId="20" fillId="10" borderId="0" applyAlignment="1" pivotButton="0" quotePrefix="0" xfId="0">
      <alignment horizontal="center" vertical="center"/>
    </xf>
    <xf numFmtId="0" fontId="20" fillId="2" borderId="0" applyAlignment="1" pivotButton="0" quotePrefix="0" xfId="0">
      <alignment vertical="center"/>
    </xf>
    <xf numFmtId="0" fontId="44" fillId="2" borderId="0" applyAlignment="1" pivotButton="0" quotePrefix="0" xfId="0">
      <alignment horizontal="left" vertical="center"/>
    </xf>
    <xf numFmtId="38" fontId="20" fillId="2" borderId="0" applyAlignment="1" pivotButton="0" quotePrefix="0" xfId="1">
      <alignment vertical="center"/>
    </xf>
    <xf numFmtId="38" fontId="18" fillId="0" borderId="0" applyAlignment="1" pivotButton="0" quotePrefix="0" xfId="1">
      <alignment vertical="center"/>
    </xf>
    <xf numFmtId="174" fontId="19" fillId="0" borderId="0" applyAlignment="1" pivotButton="0" quotePrefix="0" xfId="0">
      <alignment horizontal="left" vertical="center"/>
    </xf>
    <xf numFmtId="9" fontId="18" fillId="0" borderId="0" applyAlignment="1" pivotButton="0" quotePrefix="0" xfId="1">
      <alignment vertical="center"/>
    </xf>
    <xf numFmtId="175" fontId="19" fillId="0" borderId="0" applyAlignment="1" pivotButton="0" quotePrefix="0" xfId="0">
      <alignment horizontal="left" vertical="center"/>
    </xf>
    <xf numFmtId="168" fontId="18" fillId="0" borderId="0" applyAlignment="1" pivotButton="0" quotePrefix="0" xfId="1">
      <alignment vertical="center"/>
    </xf>
    <xf numFmtId="1" fontId="18" fillId="0" borderId="0" applyAlignment="1" pivotButton="0" quotePrefix="0" xfId="0">
      <alignment vertical="center"/>
    </xf>
    <xf numFmtId="9" fontId="18" fillId="0" borderId="0" applyAlignment="1" pivotButton="0" quotePrefix="0" xfId="0">
      <alignment vertical="center"/>
    </xf>
    <xf numFmtId="165" fontId="18" fillId="0" borderId="0" applyAlignment="1" pivotButton="0" quotePrefix="0" xfId="0">
      <alignment vertical="center"/>
    </xf>
    <xf numFmtId="0" fontId="44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43" fillId="3" borderId="0" applyAlignment="1" pivotButton="0" quotePrefix="0" xfId="0">
      <alignment horizontal="left" vertical="center"/>
    </xf>
    <xf numFmtId="38" fontId="22" fillId="3" borderId="0" applyAlignment="1" pivotButton="0" quotePrefix="0" xfId="1">
      <alignment vertical="center"/>
    </xf>
    <xf numFmtId="0" fontId="18" fillId="3" borderId="0" applyAlignment="1" pivotButton="0" quotePrefix="0" xfId="0">
      <alignment vertical="center"/>
    </xf>
    <xf numFmtId="38" fontId="18" fillId="3" borderId="0" applyAlignment="1" pivotButton="0" quotePrefix="0" xfId="1">
      <alignment vertical="center"/>
    </xf>
    <xf numFmtId="0" fontId="19" fillId="3" borderId="0" applyAlignment="1" pivotButton="0" quotePrefix="0" xfId="0">
      <alignment horizontal="left" vertical="center"/>
    </xf>
    <xf numFmtId="0" fontId="20" fillId="10" borderId="3" applyAlignment="1" pivotButton="0" quotePrefix="0" xfId="0">
      <alignment horizontal="center" vertical="center"/>
    </xf>
    <xf numFmtId="38" fontId="20" fillId="2" borderId="3" applyAlignment="1" pivotButton="0" quotePrefix="0" xfId="1">
      <alignment vertical="center"/>
    </xf>
    <xf numFmtId="38" fontId="18" fillId="3" borderId="3" applyAlignment="1" pivotButton="0" quotePrefix="0" xfId="1">
      <alignment vertical="center"/>
    </xf>
    <xf numFmtId="38" fontId="18" fillId="0" borderId="3" applyAlignment="1" pivotButton="0" quotePrefix="0" xfId="1">
      <alignment vertical="center"/>
    </xf>
    <xf numFmtId="9" fontId="18" fillId="0" borderId="3" applyAlignment="1" pivotButton="0" quotePrefix="0" xfId="1">
      <alignment vertical="center"/>
    </xf>
    <xf numFmtId="168" fontId="18" fillId="0" borderId="3" applyAlignment="1" pivotButton="0" quotePrefix="0" xfId="1">
      <alignment vertical="center"/>
    </xf>
    <xf numFmtId="9" fontId="18" fillId="0" borderId="3" applyAlignment="1" pivotButton="0" quotePrefix="0" xfId="0">
      <alignment vertical="center"/>
    </xf>
    <xf numFmtId="167" fontId="8" fillId="2" borderId="3" applyAlignment="1" pivotButton="0" quotePrefix="0" xfId="1">
      <alignment vertical="center"/>
    </xf>
    <xf numFmtId="38" fontId="26" fillId="0" borderId="0" applyAlignment="1" pivotButton="0" quotePrefix="0" xfId="0">
      <alignment vertical="center"/>
    </xf>
    <xf numFmtId="38" fontId="26" fillId="0" borderId="4" applyAlignment="1" pivotButton="0" quotePrefix="0" xfId="0">
      <alignment vertical="center"/>
    </xf>
    <xf numFmtId="38" fontId="45" fillId="0" borderId="67" applyAlignment="1" pivotButton="0" quotePrefix="0" xfId="0">
      <alignment vertical="center"/>
    </xf>
    <xf numFmtId="38" fontId="45" fillId="0" borderId="5" applyAlignment="1" pivotButton="0" quotePrefix="0" xfId="0">
      <alignment vertical="center"/>
    </xf>
    <xf numFmtId="38" fontId="45" fillId="0" borderId="69" applyAlignment="1" pivotButton="0" quotePrefix="0" xfId="0">
      <alignment vertical="center"/>
    </xf>
    <xf numFmtId="0" fontId="39" fillId="10" borderId="71" applyAlignment="1" pivotButton="0" quotePrefix="0" xfId="0">
      <alignment horizontal="center" vertical="center"/>
    </xf>
    <xf numFmtId="38" fontId="20" fillId="2" borderId="71" applyAlignment="1" pivotButton="0" quotePrefix="0" xfId="1">
      <alignment vertical="center"/>
    </xf>
    <xf numFmtId="38" fontId="18" fillId="0" borderId="71" applyAlignment="1" pivotButton="0" quotePrefix="0" xfId="1">
      <alignment vertical="center"/>
    </xf>
    <xf numFmtId="38" fontId="22" fillId="3" borderId="71" applyAlignment="1" pivotButton="0" quotePrefix="0" xfId="1">
      <alignment vertical="center"/>
    </xf>
    <xf numFmtId="38" fontId="22" fillId="0" borderId="71" applyAlignment="1" pivotButton="0" quotePrefix="0" xfId="1">
      <alignment vertical="center"/>
    </xf>
    <xf numFmtId="9" fontId="22" fillId="0" borderId="71" applyAlignment="1" pivotButton="0" quotePrefix="0" xfId="1">
      <alignment vertical="center"/>
    </xf>
    <xf numFmtId="9" fontId="22" fillId="0" borderId="71" applyAlignment="1" pivotButton="0" quotePrefix="0" xfId="0">
      <alignment vertical="center"/>
    </xf>
    <xf numFmtId="0" fontId="22" fillId="0" borderId="71" applyAlignment="1" pivotButton="0" quotePrefix="0" xfId="0">
      <alignment vertical="center"/>
    </xf>
    <xf numFmtId="0" fontId="47" fillId="0" borderId="12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50" fillId="11" borderId="0" applyAlignment="1" pivotButton="0" quotePrefix="0" xfId="0">
      <alignment vertical="center"/>
    </xf>
    <xf numFmtId="0" fontId="50" fillId="11" borderId="0" applyAlignment="1" pivotButton="0" quotePrefix="0" xfId="0">
      <alignment horizontal="right" vertical="center"/>
    </xf>
    <xf numFmtId="0" fontId="50" fillId="11" borderId="14" applyAlignment="1" pivotButton="0" quotePrefix="0" xfId="0">
      <alignment horizontal="center" vertical="center"/>
    </xf>
    <xf numFmtId="0" fontId="50" fillId="11" borderId="15" applyAlignment="1" pivotButton="0" quotePrefix="0" xfId="0">
      <alignment horizontal="center" vertical="center"/>
    </xf>
    <xf numFmtId="0" fontId="50" fillId="11" borderId="13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0" fontId="50" fillId="11" borderId="16" applyAlignment="1" pivotButton="0" quotePrefix="0" xfId="0">
      <alignment horizontal="center" vertical="center"/>
    </xf>
    <xf numFmtId="0" fontId="49" fillId="0" borderId="17" applyAlignment="1" pivotButton="0" quotePrefix="0" xfId="0">
      <alignment vertical="center"/>
    </xf>
    <xf numFmtId="0" fontId="50" fillId="11" borderId="17" applyAlignment="1" pivotButton="0" quotePrefix="0" xfId="0">
      <alignment vertical="center"/>
    </xf>
    <xf numFmtId="0" fontId="50" fillId="11" borderId="17" applyAlignment="1" pivotButton="0" quotePrefix="0" xfId="0">
      <alignment horizontal="right" vertical="center"/>
    </xf>
    <xf numFmtId="17" fontId="50" fillId="11" borderId="19" applyAlignment="1" pivotButton="0" quotePrefix="1" xfId="0">
      <alignment horizontal="center" vertical="center"/>
    </xf>
    <xf numFmtId="17" fontId="50" fillId="11" borderId="18" applyAlignment="1" pivotButton="0" quotePrefix="1" xfId="0">
      <alignment horizontal="center" vertical="center"/>
    </xf>
    <xf numFmtId="0" fontId="50" fillId="11" borderId="18" applyAlignment="1" pivotButton="0" quotePrefix="0" xfId="0">
      <alignment horizontal="center" vertical="center"/>
    </xf>
    <xf numFmtId="17" fontId="50" fillId="11" borderId="20" applyAlignment="1" pivotButton="0" quotePrefix="1" xfId="0">
      <alignment horizontal="center" vertical="center"/>
    </xf>
    <xf numFmtId="0" fontId="49" fillId="0" borderId="21" applyAlignment="1" pivotButton="0" quotePrefix="0" xfId="0">
      <alignment vertical="center"/>
    </xf>
    <xf numFmtId="0" fontId="49" fillId="2" borderId="21" applyAlignment="1" pivotButton="0" quotePrefix="0" xfId="0">
      <alignment vertical="center"/>
    </xf>
    <xf numFmtId="0" fontId="49" fillId="2" borderId="63" applyAlignment="1" pivotButton="0" quotePrefix="0" xfId="0">
      <alignment horizontal="right" vertical="center"/>
    </xf>
    <xf numFmtId="164" fontId="49" fillId="2" borderId="22" applyAlignment="1" pivotButton="0" quotePrefix="0" xfId="0">
      <alignment vertical="center"/>
    </xf>
    <xf numFmtId="164" fontId="49" fillId="15" borderId="22" applyAlignment="1" pivotButton="0" quotePrefix="0" xfId="0">
      <alignment horizontal="right" vertical="center"/>
    </xf>
    <xf numFmtId="0" fontId="48" fillId="15" borderId="0" applyAlignment="1" pivotButton="0" quotePrefix="0" xfId="0">
      <alignment vertical="center"/>
    </xf>
    <xf numFmtId="164" fontId="21" fillId="15" borderId="23" applyAlignment="1" pivotButton="0" quotePrefix="0" xfId="0">
      <alignment vertical="center"/>
    </xf>
    <xf numFmtId="164" fontId="21" fillId="15" borderId="22" applyAlignment="1" pivotButton="0" quotePrefix="0" xfId="0">
      <alignment vertical="center"/>
    </xf>
    <xf numFmtId="164" fontId="21" fillId="15" borderId="24" applyAlignment="1" pivotButton="0" quotePrefix="0" xfId="0">
      <alignment vertical="center"/>
    </xf>
    <xf numFmtId="164" fontId="49" fillId="2" borderId="23" applyAlignment="1" pivotButton="0" quotePrefix="0" xfId="0">
      <alignment vertical="center"/>
    </xf>
    <xf numFmtId="164" fontId="49" fillId="2" borderId="68" applyAlignment="1" pivotButton="0" quotePrefix="0" xfId="0">
      <alignment vertical="center"/>
    </xf>
    <xf numFmtId="0" fontId="49" fillId="0" borderId="62" applyAlignment="1" pivotButton="0" quotePrefix="0" xfId="0">
      <alignment horizontal="right" vertical="center"/>
    </xf>
    <xf numFmtId="164" fontId="21" fillId="0" borderId="61" applyAlignment="1" pivotButton="0" quotePrefix="0" xfId="0">
      <alignment horizontal="right" vertical="center"/>
    </xf>
    <xf numFmtId="164" fontId="21" fillId="0" borderId="25" applyAlignment="1" pivotButton="0" quotePrefix="0" xfId="0">
      <alignment horizontal="right" vertical="center"/>
    </xf>
    <xf numFmtId="164" fontId="21" fillId="0" borderId="26" applyAlignment="1" pivotButton="0" quotePrefix="0" xfId="0">
      <alignment vertical="center"/>
    </xf>
    <xf numFmtId="164" fontId="21" fillId="0" borderId="25" applyAlignment="1" pivotButton="0" quotePrefix="0" xfId="0">
      <alignment vertical="center"/>
    </xf>
    <xf numFmtId="164" fontId="21" fillId="0" borderId="59" applyAlignment="1" pivotButton="0" quotePrefix="0" xfId="0">
      <alignment vertical="center"/>
    </xf>
    <xf numFmtId="0" fontId="49" fillId="0" borderId="0" applyAlignment="1" pivotButton="0" quotePrefix="0" xfId="0">
      <alignment horizontal="right" vertical="center"/>
    </xf>
    <xf numFmtId="0" fontId="24" fillId="0" borderId="65" applyAlignment="1" pivotButton="0" quotePrefix="0" xfId="0">
      <alignment vertical="center"/>
    </xf>
    <xf numFmtId="0" fontId="24" fillId="0" borderId="60" applyAlignment="1" pivotButton="0" quotePrefix="0" xfId="0">
      <alignment vertical="center"/>
    </xf>
    <xf numFmtId="164" fontId="21" fillId="0" borderId="59" applyAlignment="1" pivotButton="0" quotePrefix="0" xfId="0">
      <alignment horizontal="right" vertical="center"/>
    </xf>
    <xf numFmtId="0" fontId="48" fillId="0" borderId="66" applyAlignment="1" pivotButton="0" quotePrefix="0" xfId="0">
      <alignment vertical="center"/>
    </xf>
    <xf numFmtId="164" fontId="21" fillId="0" borderId="27" applyAlignment="1" pivotButton="0" quotePrefix="0" xfId="0">
      <alignment vertical="center"/>
    </xf>
    <xf numFmtId="164" fontId="49" fillId="0" borderId="70" applyAlignment="1" pivotButton="0" quotePrefix="0" xfId="0">
      <alignment vertical="center"/>
    </xf>
    <xf numFmtId="0" fontId="49" fillId="0" borderId="28" applyAlignment="1" pivotButton="0" quotePrefix="0" xfId="0">
      <alignment vertical="center"/>
    </xf>
    <xf numFmtId="0" fontId="21" fillId="0" borderId="28" applyAlignment="1" pivotButton="0" quotePrefix="0" xfId="0">
      <alignment horizontal="right" vertical="center"/>
    </xf>
    <xf numFmtId="164" fontId="21" fillId="0" borderId="30" applyAlignment="1" pivotButton="0" quotePrefix="0" xfId="0">
      <alignment vertical="center"/>
    </xf>
    <xf numFmtId="164" fontId="21" fillId="0" borderId="29" applyAlignment="1" pivotButton="0" quotePrefix="0" xfId="0">
      <alignment vertical="center"/>
    </xf>
    <xf numFmtId="164" fontId="21" fillId="0" borderId="29" applyAlignment="1" pivotButton="0" quotePrefix="0" xfId="0">
      <alignment horizontal="right" vertical="center"/>
    </xf>
    <xf numFmtId="164" fontId="21" fillId="0" borderId="31" applyAlignment="1" pivotButton="0" quotePrefix="0" xfId="0">
      <alignment vertical="center"/>
    </xf>
    <xf numFmtId="0" fontId="49" fillId="0" borderId="32" applyAlignment="1" pivotButton="0" quotePrefix="0" xfId="0">
      <alignment vertical="center"/>
    </xf>
    <xf numFmtId="0" fontId="21" fillId="0" borderId="32" applyAlignment="1" pivotButton="0" quotePrefix="0" xfId="0">
      <alignment horizontal="right" vertical="center"/>
    </xf>
    <xf numFmtId="164" fontId="21" fillId="0" borderId="34" applyAlignment="1" pivotButton="0" quotePrefix="0" xfId="0">
      <alignment vertical="center"/>
    </xf>
    <xf numFmtId="164" fontId="21" fillId="0" borderId="33" applyAlignment="1" pivotButton="0" quotePrefix="0" xfId="0">
      <alignment vertical="center"/>
    </xf>
    <xf numFmtId="164" fontId="21" fillId="0" borderId="33" applyAlignment="1" pivotButton="0" quotePrefix="0" xfId="0">
      <alignment horizontal="right" vertical="center"/>
    </xf>
    <xf numFmtId="164" fontId="21" fillId="0" borderId="35" applyAlignment="1" pivotButton="0" quotePrefix="0" xfId="0">
      <alignment vertical="center"/>
    </xf>
    <xf numFmtId="0" fontId="49" fillId="0" borderId="36" applyAlignment="1" pivotButton="0" quotePrefix="0" xfId="0">
      <alignment vertical="center"/>
    </xf>
    <xf numFmtId="0" fontId="21" fillId="0" borderId="36" applyAlignment="1" pivotButton="0" quotePrefix="0" xfId="0">
      <alignment horizontal="right" vertical="center"/>
    </xf>
    <xf numFmtId="164" fontId="21" fillId="0" borderId="38" applyAlignment="1" pivotButton="0" quotePrefix="0" xfId="0">
      <alignment vertical="center"/>
    </xf>
    <xf numFmtId="164" fontId="21" fillId="0" borderId="37" applyAlignment="1" pivotButton="0" quotePrefix="0" xfId="0">
      <alignment vertical="center"/>
    </xf>
    <xf numFmtId="164" fontId="21" fillId="0" borderId="39" applyAlignment="1" pivotButton="0" quotePrefix="0" xfId="0">
      <alignment vertical="center"/>
    </xf>
    <xf numFmtId="0" fontId="21" fillId="0" borderId="40" applyAlignment="1" pivotButton="0" quotePrefix="0" xfId="0">
      <alignment vertical="center"/>
    </xf>
    <xf numFmtId="176" fontId="21" fillId="0" borderId="41" applyAlignment="1" pivotButton="0" quotePrefix="0" xfId="0">
      <alignment horizontal="left" vertical="center"/>
    </xf>
    <xf numFmtId="176" fontId="21" fillId="0" borderId="42" applyAlignment="1" pivotButton="0" quotePrefix="0" xfId="0">
      <alignment horizontal="right" vertical="center"/>
    </xf>
    <xf numFmtId="164" fontId="21" fillId="0" borderId="44" applyAlignment="1" pivotButton="0" quotePrefix="0" xfId="0">
      <alignment vertical="center"/>
    </xf>
    <xf numFmtId="164" fontId="21" fillId="0" borderId="45" applyAlignment="1" pivotButton="0" quotePrefix="0" xfId="0">
      <alignment vertical="center"/>
    </xf>
    <xf numFmtId="10" fontId="21" fillId="0" borderId="43" applyAlignment="1" pivotButton="0" quotePrefix="0" xfId="0">
      <alignment horizontal="right" vertical="center"/>
    </xf>
    <xf numFmtId="164" fontId="21" fillId="0" borderId="46" applyAlignment="1" pivotButton="0" quotePrefix="0" xfId="0">
      <alignment vertical="center"/>
    </xf>
    <xf numFmtId="0" fontId="49" fillId="0" borderId="47" applyAlignment="1" pivotButton="0" quotePrefix="0" xfId="0">
      <alignment vertical="center"/>
    </xf>
    <xf numFmtId="0" fontId="21" fillId="0" borderId="47" applyAlignment="1" pivotButton="0" quotePrefix="0" xfId="0">
      <alignment vertical="center"/>
    </xf>
    <xf numFmtId="164" fontId="49" fillId="0" borderId="48" applyAlignment="1" pivotButton="0" quotePrefix="0" xfId="0">
      <alignment horizontal="right" vertical="center"/>
    </xf>
    <xf numFmtId="164" fontId="21" fillId="0" borderId="49" applyAlignment="1" pivotButton="0" quotePrefix="0" xfId="0">
      <alignment vertical="center"/>
    </xf>
    <xf numFmtId="164" fontId="21" fillId="0" borderId="48" applyAlignment="1" pivotButton="0" quotePrefix="0" xfId="0">
      <alignment vertical="center"/>
    </xf>
    <xf numFmtId="164" fontId="21" fillId="0" borderId="5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9" fillId="0" borderId="40" applyAlignment="1" pivotButton="0" quotePrefix="0" xfId="0">
      <alignment vertical="center"/>
    </xf>
    <xf numFmtId="10" fontId="21" fillId="0" borderId="45" applyAlignment="1" pivotButton="0" quotePrefix="0" xfId="0">
      <alignment horizontal="right" vertical="center"/>
    </xf>
    <xf numFmtId="0" fontId="49" fillId="0" borderId="47" applyAlignment="1" pivotButton="0" quotePrefix="0" xfId="0">
      <alignment horizontal="right" vertical="center"/>
    </xf>
    <xf numFmtId="164" fontId="49" fillId="0" borderId="49" applyAlignment="1" pivotButton="0" quotePrefix="0" xfId="0">
      <alignment horizontal="right" vertical="center"/>
    </xf>
    <xf numFmtId="176" fontId="21" fillId="12" borderId="41" applyAlignment="1" pivotButton="0" quotePrefix="0" xfId="0">
      <alignment horizontal="left" vertical="center"/>
    </xf>
    <xf numFmtId="176" fontId="21" fillId="12" borderId="42" applyAlignment="1" pivotButton="0" quotePrefix="0" xfId="0">
      <alignment horizontal="right" vertical="center"/>
    </xf>
    <xf numFmtId="164" fontId="21" fillId="12" borderId="26" applyAlignment="1" pivotButton="0" quotePrefix="0" xfId="0">
      <alignment vertical="center"/>
    </xf>
    <xf numFmtId="164" fontId="21" fillId="12" borderId="25" applyAlignment="1" pivotButton="0" quotePrefix="0" xfId="0">
      <alignment vertical="center"/>
    </xf>
    <xf numFmtId="10" fontId="21" fillId="12" borderId="43" applyAlignment="1" pivotButton="0" quotePrefix="0" xfId="0">
      <alignment horizontal="right" vertical="center"/>
    </xf>
    <xf numFmtId="0" fontId="48" fillId="12" borderId="0" applyAlignment="1" pivotButton="0" quotePrefix="0" xfId="0">
      <alignment vertical="center"/>
    </xf>
    <xf numFmtId="164" fontId="21" fillId="12" borderId="27" applyAlignment="1" pivotButton="0" quotePrefix="0" xfId="0">
      <alignment vertical="center"/>
    </xf>
    <xf numFmtId="0" fontId="49" fillId="0" borderId="52" applyAlignment="1" pivotButton="0" quotePrefix="0" xfId="0">
      <alignment vertical="center"/>
    </xf>
    <xf numFmtId="0" fontId="21" fillId="0" borderId="52" applyAlignment="1" pivotButton="0" quotePrefix="0" xfId="0">
      <alignment vertical="center"/>
    </xf>
    <xf numFmtId="0" fontId="21" fillId="0" borderId="52" applyAlignment="1" pivotButton="0" quotePrefix="0" xfId="0">
      <alignment horizontal="right" vertical="center"/>
    </xf>
    <xf numFmtId="164" fontId="21" fillId="0" borderId="53" applyAlignment="1" pivotButton="0" quotePrefix="0" xfId="0">
      <alignment horizontal="right" vertical="center"/>
    </xf>
    <xf numFmtId="164" fontId="21" fillId="0" borderId="54" applyAlignment="1" pivotButton="0" quotePrefix="0" xfId="0">
      <alignment horizontal="right" vertical="center"/>
    </xf>
    <xf numFmtId="164" fontId="49" fillId="0" borderId="26" applyAlignment="1" pivotButton="0" quotePrefix="0" xfId="0">
      <alignment vertical="center"/>
    </xf>
    <xf numFmtId="164" fontId="49" fillId="0" borderId="25" applyAlignment="1" pivotButton="0" quotePrefix="0" xfId="0">
      <alignment vertical="center"/>
    </xf>
    <xf numFmtId="0" fontId="21" fillId="12" borderId="0" applyAlignment="1" pivotButton="0" quotePrefix="0" xfId="0">
      <alignment vertical="center"/>
    </xf>
    <xf numFmtId="0" fontId="21" fillId="12" borderId="0" applyAlignment="1" pivotButton="0" quotePrefix="0" xfId="0">
      <alignment horizontal="right" vertical="center"/>
    </xf>
    <xf numFmtId="164" fontId="21" fillId="12" borderId="25" applyAlignment="1" pivotButton="0" quotePrefix="0" xfId="0">
      <alignment horizontal="right" vertical="center"/>
    </xf>
    <xf numFmtId="164" fontId="49" fillId="12" borderId="26" applyAlignment="1" pivotButton="0" quotePrefix="0" xfId="0">
      <alignment vertical="center"/>
    </xf>
    <xf numFmtId="164" fontId="49" fillId="12" borderId="25" applyAlignment="1" pivotButton="0" quotePrefix="0" xfId="0">
      <alignment vertical="center"/>
    </xf>
    <xf numFmtId="164" fontId="21" fillId="13" borderId="26" applyAlignment="1" pivotButton="0" quotePrefix="0" xfId="0">
      <alignment vertical="center"/>
    </xf>
    <xf numFmtId="164" fontId="21" fillId="13" borderId="25" applyAlignment="1" pivotButton="0" quotePrefix="0" xfId="0">
      <alignment vertical="center"/>
    </xf>
    <xf numFmtId="164" fontId="21" fillId="12" borderId="0" applyAlignment="1" pivotButton="0" quotePrefix="0" xfId="0">
      <alignment vertical="center"/>
    </xf>
    <xf numFmtId="0" fontId="21" fillId="0" borderId="40" applyAlignment="1" pivotButton="0" quotePrefix="0" xfId="0">
      <alignment horizontal="right" vertical="center"/>
    </xf>
    <xf numFmtId="164" fontId="21" fillId="0" borderId="45" applyAlignment="1" pivotButton="0" quotePrefix="0" xfId="0">
      <alignment horizontal="right" vertical="center"/>
    </xf>
    <xf numFmtId="164" fontId="49" fillId="0" borderId="44" applyAlignment="1" pivotButton="0" quotePrefix="0" xfId="0">
      <alignment vertical="center"/>
    </xf>
    <xf numFmtId="164" fontId="49" fillId="0" borderId="45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176" fontId="21" fillId="12" borderId="55" applyAlignment="1" pivotButton="0" quotePrefix="0" xfId="0">
      <alignment horizontal="left" vertical="center"/>
    </xf>
    <xf numFmtId="176" fontId="21" fillId="12" borderId="17" applyAlignment="1" pivotButton="0" quotePrefix="0" xfId="0">
      <alignment horizontal="right" vertical="center"/>
    </xf>
    <xf numFmtId="164" fontId="21" fillId="12" borderId="57" applyAlignment="1" pivotButton="0" quotePrefix="0" xfId="0">
      <alignment vertical="center"/>
    </xf>
    <xf numFmtId="164" fontId="21" fillId="12" borderId="56" applyAlignment="1" pivotButton="0" quotePrefix="0" xfId="0">
      <alignment vertical="center"/>
    </xf>
    <xf numFmtId="10" fontId="21" fillId="12" borderId="56" applyAlignment="1" pivotButton="0" quotePrefix="0" xfId="0">
      <alignment horizontal="right" vertical="center"/>
    </xf>
    <xf numFmtId="164" fontId="21" fillId="12" borderId="58" applyAlignment="1" pivotButton="0" quotePrefix="0" xfId="0">
      <alignment vertical="center"/>
    </xf>
    <xf numFmtId="0" fontId="21" fillId="0" borderId="21" applyAlignment="1" pivotButton="0" quotePrefix="0" xfId="0">
      <alignment vertical="center"/>
    </xf>
    <xf numFmtId="0" fontId="21" fillId="0" borderId="21" applyAlignment="1" pivotButton="0" quotePrefix="0" xfId="0">
      <alignment horizontal="right" vertical="center"/>
    </xf>
    <xf numFmtId="0" fontId="49" fillId="14" borderId="0" applyAlignment="1" pivotButton="0" quotePrefix="0" xfId="0">
      <alignment vertical="center"/>
    </xf>
    <xf numFmtId="0" fontId="21" fillId="14" borderId="0" applyAlignment="1" pivotButton="0" quotePrefix="0" xfId="0">
      <alignment vertical="center"/>
    </xf>
    <xf numFmtId="0" fontId="21" fillId="14" borderId="0" applyAlignment="1" pivotButton="0" quotePrefix="0" xfId="0">
      <alignment horizontal="right" vertical="center"/>
    </xf>
    <xf numFmtId="0" fontId="48" fillId="14" borderId="0" applyAlignment="1" pivotButton="0" quotePrefix="0" xfId="0">
      <alignment vertical="center"/>
    </xf>
    <xf numFmtId="38" fontId="49" fillId="0" borderId="0" applyAlignment="1" pivotButton="0" quotePrefix="0" xfId="0">
      <alignment vertical="center"/>
    </xf>
    <xf numFmtId="164" fontId="49" fillId="0" borderId="0" applyAlignment="1" pivotButton="0" quotePrefix="0" xfId="0">
      <alignment vertical="center"/>
    </xf>
    <xf numFmtId="164" fontId="21" fillId="0" borderId="0" applyAlignment="1" pivotButton="0" quotePrefix="0" xfId="0">
      <alignment vertical="center"/>
    </xf>
    <xf numFmtId="164" fontId="21" fillId="2" borderId="26" applyAlignment="1" pivotButton="0" quotePrefix="0" xfId="0">
      <alignment vertical="center"/>
    </xf>
    <xf numFmtId="164" fontId="21" fillId="2" borderId="25" applyAlignment="1" pivotButton="0" quotePrefix="0" xfId="0">
      <alignment vertical="center"/>
    </xf>
    <xf numFmtId="164" fontId="49" fillId="0" borderId="25" applyAlignment="1" pivotButton="0" quotePrefix="0" xfId="0">
      <alignment horizontal="right" vertical="center"/>
    </xf>
    <xf numFmtId="164" fontId="21" fillId="2" borderId="27" applyAlignment="1" pivotButton="0" quotePrefix="0" xfId="0">
      <alignment vertical="center"/>
    </xf>
    <xf numFmtId="9" fontId="49" fillId="2" borderId="47" applyAlignment="1" pivotButton="0" quotePrefix="0" xfId="0">
      <alignment vertical="center"/>
    </xf>
    <xf numFmtId="164" fontId="49" fillId="2" borderId="49" applyAlignment="1" pivotButton="0" quotePrefix="0" xfId="0">
      <alignment vertical="center"/>
    </xf>
    <xf numFmtId="164" fontId="49" fillId="2" borderId="48" applyAlignment="1" pivotButton="0" quotePrefix="0" xfId="0">
      <alignment vertical="center"/>
    </xf>
    <xf numFmtId="164" fontId="49" fillId="0" borderId="72" applyAlignment="1" pivotButton="0" quotePrefix="0" xfId="0">
      <alignment horizontal="right" vertical="center"/>
    </xf>
    <xf numFmtId="164" fontId="49" fillId="0" borderId="73" applyAlignment="1" pivotButton="0" quotePrefix="0" xfId="0">
      <alignment horizontal="right" vertical="center"/>
    </xf>
    <xf numFmtId="164" fontId="49" fillId="0" borderId="74" applyAlignment="1" pivotButton="0" quotePrefix="0" xfId="0">
      <alignment horizontal="right" vertical="center"/>
    </xf>
    <xf numFmtId="164" fontId="49" fillId="0" borderId="75" applyAlignment="1" pivotButton="0" quotePrefix="0" xfId="0">
      <alignment horizontal="right" vertical="center"/>
    </xf>
    <xf numFmtId="164" fontId="21" fillId="12" borderId="76" applyAlignment="1" pivotButton="0" quotePrefix="0" xfId="0">
      <alignment vertical="center"/>
    </xf>
    <xf numFmtId="164" fontId="21" fillId="12" borderId="77" applyAlignment="1" pivotButton="0" quotePrefix="0" xfId="0">
      <alignment vertical="center"/>
    </xf>
    <xf numFmtId="164" fontId="21" fillId="12" borderId="78" applyAlignment="1" pivotButton="0" quotePrefix="0" xfId="0">
      <alignment vertical="center"/>
    </xf>
    <xf numFmtId="164" fontId="49" fillId="0" borderId="79" applyAlignment="1" pivotButton="0" quotePrefix="0" xfId="0">
      <alignment horizontal="right" vertical="center"/>
    </xf>
    <xf numFmtId="164" fontId="21" fillId="0" borderId="76" applyAlignment="1" pivotButton="0" quotePrefix="0" xfId="0">
      <alignment vertical="center"/>
    </xf>
    <xf numFmtId="164" fontId="49" fillId="0" borderId="80" applyAlignment="1" pivotButton="0" quotePrefix="0" xfId="0">
      <alignment horizontal="right" vertical="center"/>
    </xf>
    <xf numFmtId="164" fontId="49" fillId="0" borderId="8" applyAlignment="1" pivotButton="0" quotePrefix="0" xfId="0">
      <alignment horizontal="right" vertical="center"/>
    </xf>
    <xf numFmtId="164" fontId="49" fillId="0" borderId="81" applyAlignment="1" pivotButton="0" quotePrefix="0" xfId="0">
      <alignment horizontal="right" vertical="center"/>
    </xf>
    <xf numFmtId="164" fontId="49" fillId="2" borderId="82" applyAlignment="1" pivotButton="0" quotePrefix="0" xfId="0">
      <alignment vertical="center"/>
    </xf>
    <xf numFmtId="164" fontId="49" fillId="2" borderId="73" applyAlignment="1" pivotButton="0" quotePrefix="0" xfId="0">
      <alignment vertical="center"/>
    </xf>
    <xf numFmtId="164" fontId="49" fillId="0" borderId="61" applyAlignment="1" pivotButton="0" quotePrefix="0" xfId="0">
      <alignment horizontal="right" vertical="center"/>
    </xf>
    <xf numFmtId="10" fontId="21" fillId="0" borderId="51" applyAlignment="1" pivotButton="0" quotePrefix="0" xfId="0">
      <alignment horizontal="right" vertical="center"/>
    </xf>
    <xf numFmtId="0" fontId="49" fillId="2" borderId="83" applyAlignment="1" pivotButton="0" quotePrefix="0" xfId="0">
      <alignment horizontal="right" vertical="center"/>
    </xf>
    <xf numFmtId="0" fontId="49" fillId="2" borderId="62" applyAlignment="1" pivotButton="0" quotePrefix="0" xfId="0">
      <alignment horizontal="right" vertical="center"/>
    </xf>
    <xf numFmtId="0" fontId="21" fillId="0" borderId="62" applyAlignment="1" pivotButton="0" quotePrefix="0" xfId="0">
      <alignment horizontal="right" vertical="center"/>
    </xf>
    <xf numFmtId="0" fontId="21" fillId="0" borderId="84" applyAlignment="1" pivotButton="0" quotePrefix="0" xfId="0">
      <alignment horizontal="right" vertical="center"/>
    </xf>
    <xf numFmtId="164" fontId="21" fillId="0" borderId="77" applyAlignment="1" pivotButton="0" quotePrefix="0" xfId="0">
      <alignment vertical="center"/>
    </xf>
    <xf numFmtId="164" fontId="21" fillId="2" borderId="4" applyAlignment="1" pivotButton="0" quotePrefix="0" xfId="0">
      <alignment vertical="center"/>
    </xf>
    <xf numFmtId="164" fontId="21" fillId="0" borderId="4" applyAlignment="1" pivotButton="0" quotePrefix="0" xfId="0">
      <alignment vertical="center"/>
    </xf>
    <xf numFmtId="164" fontId="21" fillId="2" borderId="65" applyAlignment="1" pivotButton="0" quotePrefix="0" xfId="0">
      <alignment vertical="center"/>
    </xf>
    <xf numFmtId="164" fontId="21" fillId="0" borderId="65" applyAlignment="1" pivotButton="0" quotePrefix="0" xfId="0">
      <alignment vertical="center"/>
    </xf>
    <xf numFmtId="164" fontId="21" fillId="0" borderId="86" applyAlignment="1" pivotButton="0" quotePrefix="0" xfId="0">
      <alignment vertical="center"/>
    </xf>
    <xf numFmtId="164" fontId="21" fillId="2" borderId="60" applyAlignment="1" pivotButton="0" quotePrefix="0" xfId="0">
      <alignment vertical="center"/>
    </xf>
    <xf numFmtId="164" fontId="21" fillId="0" borderId="60" applyAlignment="1" pivotButton="0" quotePrefix="0" xfId="0">
      <alignment vertical="center"/>
    </xf>
    <xf numFmtId="164" fontId="21" fillId="0" borderId="87" applyAlignment="1" pivotButton="0" quotePrefix="0" xfId="0">
      <alignment vertical="center"/>
    </xf>
    <xf numFmtId="164" fontId="21" fillId="0" borderId="88" applyAlignment="1" pivotButton="0" quotePrefix="0" xfId="0">
      <alignment vertical="center"/>
    </xf>
    <xf numFmtId="164" fontId="49" fillId="2" borderId="64" applyAlignment="1" pivotButton="0" quotePrefix="0" xfId="0">
      <alignment vertical="center"/>
    </xf>
    <xf numFmtId="38" fontId="26" fillId="0" borderId="3" applyAlignment="1" pivotButton="0" quotePrefix="0" xfId="0">
      <alignment vertical="center"/>
    </xf>
    <xf numFmtId="38" fontId="26" fillId="0" borderId="60" applyAlignment="1" pivotButton="0" quotePrefix="0" xfId="0">
      <alignment vertical="center"/>
    </xf>
    <xf numFmtId="164" fontId="49" fillId="2" borderId="85" applyAlignment="1" pivotButton="0" quotePrefix="0" xfId="0">
      <alignment vertical="center"/>
    </xf>
    <xf numFmtId="164" fontId="49" fillId="2" borderId="74" applyAlignment="1" pivotButton="0" quotePrefix="0" xfId="0">
      <alignment vertical="center"/>
    </xf>
    <xf numFmtId="164" fontId="49" fillId="2" borderId="8" applyAlignment="1" pivotButton="0" quotePrefix="0" xfId="0">
      <alignment vertical="center"/>
    </xf>
    <xf numFmtId="0" fontId="24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4" fontId="49" fillId="2" borderId="64" applyAlignment="1" pivotButton="0" quotePrefix="0" xfId="0">
      <alignment vertical="center"/>
    </xf>
    <xf numFmtId="164" fontId="49" fillId="2" borderId="22" applyAlignment="1" pivotButton="0" quotePrefix="0" xfId="0">
      <alignment vertical="center"/>
    </xf>
    <xf numFmtId="164" fontId="49" fillId="15" borderId="22" applyAlignment="1" pivotButton="0" quotePrefix="0" xfId="0">
      <alignment horizontal="right" vertical="center"/>
    </xf>
    <xf numFmtId="164" fontId="21" fillId="15" borderId="23" applyAlignment="1" pivotButton="0" quotePrefix="0" xfId="0">
      <alignment vertical="center"/>
    </xf>
    <xf numFmtId="164" fontId="21" fillId="15" borderId="22" applyAlignment="1" pivotButton="0" quotePrefix="0" xfId="0">
      <alignment vertical="center"/>
    </xf>
    <xf numFmtId="164" fontId="21" fillId="15" borderId="24" applyAlignment="1" pivotButton="0" quotePrefix="0" xfId="0">
      <alignment vertical="center"/>
    </xf>
    <xf numFmtId="164" fontId="49" fillId="2" borderId="23" applyAlignment="1" pivotButton="0" quotePrefix="0" xfId="0">
      <alignment vertical="center"/>
    </xf>
    <xf numFmtId="164" fontId="49" fillId="2" borderId="68" applyAlignment="1" pivotButton="0" quotePrefix="0" xfId="0">
      <alignment vertical="center"/>
    </xf>
    <xf numFmtId="164" fontId="21" fillId="0" borderId="61" applyAlignment="1" pivotButton="0" quotePrefix="0" xfId="0">
      <alignment horizontal="right" vertical="center"/>
    </xf>
    <xf numFmtId="164" fontId="21" fillId="0" borderId="25" applyAlignment="1" pivotButton="0" quotePrefix="0" xfId="0">
      <alignment horizontal="right" vertical="center"/>
    </xf>
    <xf numFmtId="164" fontId="21" fillId="0" borderId="26" applyAlignment="1" pivotButton="0" quotePrefix="0" xfId="0">
      <alignment vertical="center"/>
    </xf>
    <xf numFmtId="164" fontId="21" fillId="0" borderId="25" applyAlignment="1" pivotButton="0" quotePrefix="0" xfId="0">
      <alignment vertical="center"/>
    </xf>
    <xf numFmtId="164" fontId="21" fillId="0" borderId="59" applyAlignment="1" pivotButton="0" quotePrefix="0" xfId="0">
      <alignment vertical="center"/>
    </xf>
    <xf numFmtId="164" fontId="21" fillId="0" borderId="59" applyAlignment="1" pivotButton="0" quotePrefix="0" xfId="0">
      <alignment horizontal="right" vertical="center"/>
    </xf>
    <xf numFmtId="164" fontId="21" fillId="0" borderId="27" applyAlignment="1" pivotButton="0" quotePrefix="0" xfId="0">
      <alignment vertical="center"/>
    </xf>
    <xf numFmtId="164" fontId="49" fillId="0" borderId="70" applyAlignment="1" pivotButton="0" quotePrefix="0" xfId="0">
      <alignment vertical="center"/>
    </xf>
    <xf numFmtId="164" fontId="21" fillId="0" borderId="30" applyAlignment="1" pivotButton="0" quotePrefix="0" xfId="0">
      <alignment vertical="center"/>
    </xf>
    <xf numFmtId="164" fontId="21" fillId="0" borderId="29" applyAlignment="1" pivotButton="0" quotePrefix="0" xfId="0">
      <alignment vertical="center"/>
    </xf>
    <xf numFmtId="164" fontId="21" fillId="0" borderId="29" applyAlignment="1" pivotButton="0" quotePrefix="0" xfId="0">
      <alignment horizontal="right" vertical="center"/>
    </xf>
    <xf numFmtId="164" fontId="21" fillId="0" borderId="31" applyAlignment="1" pivotButton="0" quotePrefix="0" xfId="0">
      <alignment vertical="center"/>
    </xf>
    <xf numFmtId="164" fontId="21" fillId="0" borderId="34" applyAlignment="1" pivotButton="0" quotePrefix="0" xfId="0">
      <alignment vertical="center"/>
    </xf>
    <xf numFmtId="164" fontId="21" fillId="0" borderId="33" applyAlignment="1" pivotButton="0" quotePrefix="0" xfId="0">
      <alignment vertical="center"/>
    </xf>
    <xf numFmtId="164" fontId="21" fillId="0" borderId="33" applyAlignment="1" pivotButton="0" quotePrefix="0" xfId="0">
      <alignment horizontal="right" vertical="center"/>
    </xf>
    <xf numFmtId="164" fontId="21" fillId="0" borderId="35" applyAlignment="1" pivotButton="0" quotePrefix="0" xfId="0">
      <alignment vertical="center"/>
    </xf>
    <xf numFmtId="164" fontId="21" fillId="0" borderId="38" applyAlignment="1" pivotButton="0" quotePrefix="0" xfId="0">
      <alignment vertical="center"/>
    </xf>
    <xf numFmtId="164" fontId="21" fillId="0" borderId="37" applyAlignment="1" pivotButton="0" quotePrefix="0" xfId="0">
      <alignment vertical="center"/>
    </xf>
    <xf numFmtId="164" fontId="21" fillId="0" borderId="39" applyAlignment="1" pivotButton="0" quotePrefix="0" xfId="0">
      <alignment vertical="center"/>
    </xf>
    <xf numFmtId="176" fontId="21" fillId="0" borderId="41" applyAlignment="1" pivotButton="0" quotePrefix="0" xfId="0">
      <alignment horizontal="left" vertical="center"/>
    </xf>
    <xf numFmtId="176" fontId="21" fillId="0" borderId="42" applyAlignment="1" pivotButton="0" quotePrefix="0" xfId="0">
      <alignment horizontal="right" vertical="center"/>
    </xf>
    <xf numFmtId="164" fontId="21" fillId="0" borderId="77" applyAlignment="1" pivotButton="0" quotePrefix="0" xfId="0">
      <alignment vertical="center"/>
    </xf>
    <xf numFmtId="10" fontId="21" fillId="0" borderId="76" applyAlignment="1" pivotButton="0" quotePrefix="0" xfId="0">
      <alignment vertical="center"/>
    </xf>
    <xf numFmtId="164" fontId="21" fillId="0" borderId="44" applyAlignment="1" pivotButton="0" quotePrefix="0" xfId="0">
      <alignment vertical="center"/>
    </xf>
    <xf numFmtId="164" fontId="21" fillId="0" borderId="45" applyAlignment="1" pivotButton="0" quotePrefix="0" xfId="0">
      <alignment vertical="center"/>
    </xf>
    <xf numFmtId="164" fontId="21" fillId="0" borderId="46" applyAlignment="1" pivotButton="0" quotePrefix="0" xfId="0">
      <alignment vertical="center"/>
    </xf>
    <xf numFmtId="164" fontId="49" fillId="2" borderId="85" applyAlignment="1" pivotButton="0" quotePrefix="0" xfId="0">
      <alignment vertical="center"/>
    </xf>
    <xf numFmtId="164" fontId="49" fillId="2" borderId="74" applyAlignment="1" pivotButton="0" quotePrefix="0" xfId="0">
      <alignment vertical="center"/>
    </xf>
    <xf numFmtId="164" fontId="49" fillId="2" borderId="8" applyAlignment="1" pivotButton="0" quotePrefix="0" xfId="0">
      <alignment vertical="center"/>
    </xf>
    <xf numFmtId="164" fontId="49" fillId="0" borderId="73" applyAlignment="1" pivotButton="0" quotePrefix="0" xfId="0">
      <alignment horizontal="right" vertical="center"/>
    </xf>
    <xf numFmtId="164" fontId="49" fillId="0" borderId="48" applyAlignment="1" pivotButton="0" quotePrefix="0" xfId="0">
      <alignment horizontal="right" vertical="center"/>
    </xf>
    <xf numFmtId="164" fontId="21" fillId="0" borderId="49" applyAlignment="1" pivotButton="0" quotePrefix="0" xfId="0">
      <alignment vertical="center"/>
    </xf>
    <xf numFmtId="164" fontId="21" fillId="0" borderId="48" applyAlignment="1" pivotButton="0" quotePrefix="0" xfId="0">
      <alignment vertical="center"/>
    </xf>
    <xf numFmtId="164" fontId="21" fillId="0" borderId="50" applyAlignment="1" pivotButton="0" quotePrefix="0" xfId="0">
      <alignment vertical="center"/>
    </xf>
    <xf numFmtId="164" fontId="49" fillId="2" borderId="49" applyAlignment="1" pivotButton="0" quotePrefix="0" xfId="0">
      <alignment vertical="center"/>
    </xf>
    <xf numFmtId="164" fontId="49" fillId="2" borderId="48" applyAlignment="1" pivotButton="0" quotePrefix="0" xfId="0">
      <alignment vertical="center"/>
    </xf>
    <xf numFmtId="164" fontId="49" fillId="2" borderId="82" applyAlignment="1" pivotButton="0" quotePrefix="0" xfId="0">
      <alignment vertical="center"/>
    </xf>
    <xf numFmtId="164" fontId="49" fillId="2" borderId="73" applyAlignment="1" pivotButton="0" quotePrefix="0" xfId="0">
      <alignment vertical="center"/>
    </xf>
    <xf numFmtId="164" fontId="21" fillId="2" borderId="65" applyAlignment="1" pivotButton="0" quotePrefix="0" xfId="0">
      <alignment vertical="center"/>
    </xf>
    <xf numFmtId="164" fontId="21" fillId="2" borderId="60" applyAlignment="1" pivotButton="0" quotePrefix="0" xfId="0">
      <alignment vertical="center"/>
    </xf>
    <xf numFmtId="164" fontId="21" fillId="2" borderId="4" applyAlignment="1" pivotButton="0" quotePrefix="0" xfId="0">
      <alignment vertical="center"/>
    </xf>
    <xf numFmtId="164" fontId="49" fillId="0" borderId="61" applyAlignment="1" pivotButton="0" quotePrefix="0" xfId="0">
      <alignment horizontal="right" vertical="center"/>
    </xf>
    <xf numFmtId="164" fontId="49" fillId="0" borderId="25" applyAlignment="1" pivotButton="0" quotePrefix="0" xfId="0">
      <alignment horizontal="right" vertical="center"/>
    </xf>
    <xf numFmtId="164" fontId="21" fillId="2" borderId="26" applyAlignment="1" pivotButton="0" quotePrefix="0" xfId="0">
      <alignment vertical="center"/>
    </xf>
    <xf numFmtId="164" fontId="21" fillId="2" borderId="25" applyAlignment="1" pivotButton="0" quotePrefix="0" xfId="0">
      <alignment vertical="center"/>
    </xf>
    <xf numFmtId="164" fontId="21" fillId="2" borderId="27" applyAlignment="1" pivotButton="0" quotePrefix="0" xfId="0">
      <alignment vertical="center"/>
    </xf>
    <xf numFmtId="164" fontId="21" fillId="0" borderId="65" applyAlignment="1" pivotButton="0" quotePrefix="0" xfId="0">
      <alignment vertical="center"/>
    </xf>
    <xf numFmtId="164" fontId="21" fillId="0" borderId="60" applyAlignment="1" pivotButton="0" quotePrefix="0" xfId="0">
      <alignment vertical="center"/>
    </xf>
    <xf numFmtId="164" fontId="21" fillId="0" borderId="4" applyAlignment="1" pivotButton="0" quotePrefix="0" xfId="0">
      <alignment vertical="center"/>
    </xf>
    <xf numFmtId="164" fontId="21" fillId="0" borderId="86" applyAlignment="1" pivotButton="0" quotePrefix="0" xfId="0">
      <alignment vertical="center"/>
    </xf>
    <xf numFmtId="164" fontId="21" fillId="0" borderId="87" applyAlignment="1" pivotButton="0" quotePrefix="0" xfId="0">
      <alignment vertical="center"/>
    </xf>
    <xf numFmtId="164" fontId="21" fillId="0" borderId="88" applyAlignment="1" pivotButton="0" quotePrefix="0" xfId="0">
      <alignment vertical="center"/>
    </xf>
    <xf numFmtId="164" fontId="49" fillId="0" borderId="72" applyAlignment="1" pivotButton="0" quotePrefix="0" xfId="0">
      <alignment horizontal="right" vertical="center"/>
    </xf>
    <xf numFmtId="164" fontId="49" fillId="0" borderId="74" applyAlignment="1" pivotButton="0" quotePrefix="0" xfId="0">
      <alignment horizontal="right" vertical="center"/>
    </xf>
    <xf numFmtId="164" fontId="49" fillId="0" borderId="75" applyAlignment="1" pivotButton="0" quotePrefix="0" xfId="0">
      <alignment horizontal="right" vertical="center"/>
    </xf>
    <xf numFmtId="164" fontId="49" fillId="0" borderId="79" applyAlignment="1" pivotButton="0" quotePrefix="0" xfId="0">
      <alignment horizontal="right" vertical="center"/>
    </xf>
    <xf numFmtId="164" fontId="49" fillId="0" borderId="80" applyAlignment="1" pivotButton="0" quotePrefix="0" xfId="0">
      <alignment horizontal="right" vertical="center"/>
    </xf>
    <xf numFmtId="164" fontId="49" fillId="0" borderId="8" applyAlignment="1" pivotButton="0" quotePrefix="0" xfId="0">
      <alignment horizontal="right" vertical="center"/>
    </xf>
    <xf numFmtId="164" fontId="49" fillId="0" borderId="81" applyAlignment="1" pivotButton="0" quotePrefix="0" xfId="0">
      <alignment horizontal="right" vertical="center"/>
    </xf>
    <xf numFmtId="176" fontId="21" fillId="12" borderId="41" applyAlignment="1" pivotButton="0" quotePrefix="0" xfId="0">
      <alignment horizontal="left" vertical="center"/>
    </xf>
    <xf numFmtId="176" fontId="21" fillId="12" borderId="42" applyAlignment="1" pivotButton="0" quotePrefix="0" xfId="0">
      <alignment horizontal="right" vertical="center"/>
    </xf>
    <xf numFmtId="164" fontId="21" fillId="12" borderId="77" applyAlignment="1" pivotButton="0" quotePrefix="0" xfId="0">
      <alignment vertical="center"/>
    </xf>
    <xf numFmtId="10" fontId="21" fillId="12" borderId="76" applyAlignment="1" pivotButton="0" quotePrefix="0" xfId="0">
      <alignment vertical="center"/>
    </xf>
    <xf numFmtId="164" fontId="21" fillId="12" borderId="26" applyAlignment="1" pivotButton="0" quotePrefix="0" xfId="0">
      <alignment vertical="center"/>
    </xf>
    <xf numFmtId="164" fontId="21" fillId="12" borderId="25" applyAlignment="1" pivotButton="0" quotePrefix="0" xfId="0">
      <alignment vertical="center"/>
    </xf>
    <xf numFmtId="164" fontId="21" fillId="12" borderId="27" applyAlignment="1" pivotButton="0" quotePrefix="0" xfId="0">
      <alignment vertical="center"/>
    </xf>
    <xf numFmtId="164" fontId="21" fillId="12" borderId="76" applyAlignment="1" pivotButton="0" quotePrefix="0" xfId="0">
      <alignment vertical="center"/>
    </xf>
    <xf numFmtId="164" fontId="21" fillId="12" borderId="78" applyAlignment="1" pivotButton="0" quotePrefix="0" xfId="0">
      <alignment vertical="center"/>
    </xf>
    <xf numFmtId="164" fontId="21" fillId="0" borderId="53" applyAlignment="1" pivotButton="0" quotePrefix="0" xfId="0">
      <alignment horizontal="right" vertical="center"/>
    </xf>
    <xf numFmtId="164" fontId="21" fillId="0" borderId="54" applyAlignment="1" pivotButton="0" quotePrefix="0" xfId="0">
      <alignment horizontal="right" vertical="center"/>
    </xf>
    <xf numFmtId="164" fontId="49" fillId="0" borderId="26" applyAlignment="1" pivotButton="0" quotePrefix="0" xfId="0">
      <alignment vertical="center"/>
    </xf>
    <xf numFmtId="164" fontId="49" fillId="0" borderId="25" applyAlignment="1" pivotButton="0" quotePrefix="0" xfId="0">
      <alignment vertical="center"/>
    </xf>
    <xf numFmtId="164" fontId="21" fillId="12" borderId="25" applyAlignment="1" pivotButton="0" quotePrefix="0" xfId="0">
      <alignment horizontal="right" vertical="center"/>
    </xf>
    <xf numFmtId="164" fontId="49" fillId="12" borderId="26" applyAlignment="1" pivotButton="0" quotePrefix="0" xfId="0">
      <alignment vertical="center"/>
    </xf>
    <xf numFmtId="164" fontId="49" fillId="12" borderId="25" applyAlignment="1" pivotButton="0" quotePrefix="0" xfId="0">
      <alignment vertical="center"/>
    </xf>
    <xf numFmtId="164" fontId="21" fillId="13" borderId="26" applyAlignment="1" pivotButton="0" quotePrefix="0" xfId="0">
      <alignment vertical="center"/>
    </xf>
    <xf numFmtId="164" fontId="21" fillId="13" borderId="25" applyAlignment="1" pivotButton="0" quotePrefix="0" xfId="0">
      <alignment vertical="center"/>
    </xf>
    <xf numFmtId="164" fontId="21" fillId="12" borderId="0" applyAlignment="1" pivotButton="0" quotePrefix="0" xfId="0">
      <alignment vertical="center"/>
    </xf>
    <xf numFmtId="164" fontId="21" fillId="0" borderId="45" applyAlignment="1" pivotButton="0" quotePrefix="0" xfId="0">
      <alignment horizontal="right" vertical="center"/>
    </xf>
    <xf numFmtId="164" fontId="49" fillId="0" borderId="44" applyAlignment="1" pivotButton="0" quotePrefix="0" xfId="0">
      <alignment vertical="center"/>
    </xf>
    <xf numFmtId="164" fontId="49" fillId="0" borderId="45" applyAlignment="1" pivotButton="0" quotePrefix="0" xfId="0">
      <alignment vertical="center"/>
    </xf>
    <xf numFmtId="164" fontId="49" fillId="0" borderId="49" applyAlignment="1" pivotButton="0" quotePrefix="0" xfId="0">
      <alignment horizontal="right" vertical="center"/>
    </xf>
    <xf numFmtId="176" fontId="21" fillId="12" borderId="55" applyAlignment="1" pivotButton="0" quotePrefix="0" xfId="0">
      <alignment horizontal="left" vertical="center"/>
    </xf>
    <xf numFmtId="176" fontId="21" fillId="12" borderId="17" applyAlignment="1" pivotButton="0" quotePrefix="0" xfId="0">
      <alignment horizontal="right" vertical="center"/>
    </xf>
    <xf numFmtId="164" fontId="21" fillId="12" borderId="57" applyAlignment="1" pivotButton="0" quotePrefix="0" xfId="0">
      <alignment vertical="center"/>
    </xf>
    <xf numFmtId="10" fontId="21" fillId="12" borderId="56" applyAlignment="1" pivotButton="0" quotePrefix="0" xfId="0">
      <alignment vertical="center"/>
    </xf>
    <xf numFmtId="164" fontId="21" fillId="12" borderId="56" applyAlignment="1" pivotButton="0" quotePrefix="0" xfId="0">
      <alignment vertical="center"/>
    </xf>
    <xf numFmtId="164" fontId="21" fillId="12" borderId="58" applyAlignment="1" pivotButton="0" quotePrefix="0" xfId="0">
      <alignment vertical="center"/>
    </xf>
    <xf numFmtId="164" fontId="49" fillId="0" borderId="0" applyAlignment="1" pivotButton="0" quotePrefix="0" xfId="0">
      <alignment vertical="center"/>
    </xf>
    <xf numFmtId="164" fontId="21" fillId="0" borderId="0" applyAlignment="1" pivotButton="0" quotePrefix="0" xfId="0">
      <alignment vertical="center"/>
    </xf>
    <xf numFmtId="10" fontId="21" fillId="0" borderId="86" applyAlignment="1" pivotButton="0" quotePrefix="0" xfId="0">
      <alignment vertical="center"/>
    </xf>
    <xf numFmtId="10" fontId="21" fillId="0" borderId="87" applyAlignment="1" pivotButton="0" quotePrefix="0" xfId="0">
      <alignment vertical="center"/>
    </xf>
    <xf numFmtId="10" fontId="21" fillId="0" borderId="44" applyAlignment="1" pivotButton="0" quotePrefix="0" xfId="0">
      <alignment vertical="center"/>
    </xf>
    <xf numFmtId="10" fontId="21" fillId="0" borderId="25" applyAlignment="1" pivotButton="0" quotePrefix="0" xfId="0">
      <alignment vertical="center"/>
    </xf>
    <xf numFmtId="10" fontId="21" fillId="0" borderId="45" applyAlignment="1" pivotButton="0" quotePrefix="0" xfId="0">
      <alignment vertical="center"/>
    </xf>
    <xf numFmtId="10" fontId="21" fillId="0" borderId="88" applyAlignment="1" pivotButton="0" quotePrefix="0" xfId="0">
      <alignment vertical="center"/>
    </xf>
    <xf numFmtId="174" fontId="19" fillId="0" borderId="0" applyAlignment="1" pivotButton="0" quotePrefix="0" xfId="0">
      <alignment horizontal="left" vertical="center"/>
    </xf>
    <xf numFmtId="175" fontId="19" fillId="0" borderId="0" applyAlignment="1" pivotButton="0" quotePrefix="0" xfId="0">
      <alignment horizontal="left" vertical="center"/>
    </xf>
    <xf numFmtId="168" fontId="18" fillId="0" borderId="0" applyAlignment="1" pivotButton="0" quotePrefix="0" xfId="1">
      <alignment vertical="center"/>
    </xf>
    <xf numFmtId="168" fontId="18" fillId="0" borderId="3" applyAlignment="1" pivotButton="0" quotePrefix="0" xfId="1">
      <alignment vertical="center"/>
    </xf>
    <xf numFmtId="165" fontId="18" fillId="0" borderId="0" applyAlignment="1" pivotButton="0" quotePrefix="0" xfId="0">
      <alignment vertical="center"/>
    </xf>
    <xf numFmtId="168" fontId="22" fillId="0" borderId="0" applyAlignment="1" pivotButton="0" quotePrefix="0" xfId="1">
      <alignment vertical="center"/>
    </xf>
    <xf numFmtId="164" fontId="11" fillId="0" borderId="1" applyAlignment="1" pivotButton="0" quotePrefix="0" xfId="0">
      <alignment vertical="center"/>
    </xf>
    <xf numFmtId="165" fontId="8" fillId="0" borderId="0" pivotButton="0" quotePrefix="0" xfId="0"/>
    <xf numFmtId="165" fontId="8" fillId="0" borderId="3" pivotButton="0" quotePrefix="0" xfId="0"/>
    <xf numFmtId="165" fontId="8" fillId="3" borderId="0" pivotButton="0" quotePrefix="0" xfId="0"/>
    <xf numFmtId="165" fontId="8" fillId="3" borderId="3" pivotButton="0" quotePrefix="0" xfId="0"/>
    <xf numFmtId="166" fontId="8" fillId="0" borderId="0" pivotButton="0" quotePrefix="0" xfId="0"/>
    <xf numFmtId="166" fontId="8" fillId="0" borderId="3" pivotButton="0" quotePrefix="0" xfId="0"/>
    <xf numFmtId="164" fontId="11" fillId="0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73" fontId="8" fillId="0" borderId="0" pivotButton="0" quotePrefix="0" xfId="0"/>
    <xf numFmtId="173" fontId="8" fillId="0" borderId="3" pivotButton="0" quotePrefix="0" xfId="0"/>
    <xf numFmtId="167" fontId="8" fillId="2" borderId="0" applyAlignment="1" pivotButton="0" quotePrefix="0" xfId="1">
      <alignment vertical="center"/>
    </xf>
    <xf numFmtId="167" fontId="8" fillId="2" borderId="3" applyAlignment="1" pivotButton="0" quotePrefix="0" xfId="1">
      <alignment vertical="center"/>
    </xf>
    <xf numFmtId="165" fontId="11" fillId="0" borderId="0" pivotButton="0" quotePrefix="0" xfId="0"/>
    <xf numFmtId="165" fontId="11" fillId="0" borderId="4" pivotButton="0" quotePrefix="0" xfId="0"/>
    <xf numFmtId="165" fontId="11" fillId="3" borderId="0" pivotButton="0" quotePrefix="0" xfId="0"/>
    <xf numFmtId="165" fontId="11" fillId="3" borderId="4" pivotButton="0" quotePrefix="0" xfId="0"/>
    <xf numFmtId="168" fontId="11" fillId="0" borderId="0" applyAlignment="1" pivotButton="0" quotePrefix="0" xfId="1">
      <alignment vertical="center"/>
    </xf>
    <xf numFmtId="168" fontId="11" fillId="0" borderId="3" applyAlignment="1" pivotButton="0" quotePrefix="0" xfId="1">
      <alignment vertical="center"/>
    </xf>
    <xf numFmtId="167" fontId="11" fillId="0" borderId="0" applyAlignment="1" pivotButton="0" quotePrefix="0" xfId="1">
      <alignment vertical="center"/>
    </xf>
    <xf numFmtId="167" fontId="11" fillId="0" borderId="4" applyAlignment="1" pivotButton="0" quotePrefix="0" xfId="1">
      <alignment vertical="center"/>
    </xf>
    <xf numFmtId="172" fontId="11" fillId="0" borderId="0" applyAlignment="1" pivotButton="0" quotePrefix="0" xfId="2">
      <alignment vertical="center"/>
    </xf>
    <xf numFmtId="172" fontId="11" fillId="0" borderId="4" applyAlignment="1" pivotButton="0" quotePrefix="0" xfId="2">
      <alignment vertical="center"/>
    </xf>
    <xf numFmtId="173" fontId="11" fillId="0" borderId="0" applyAlignment="1" pivotButton="0" quotePrefix="0" xfId="0">
      <alignment vertical="center"/>
    </xf>
    <xf numFmtId="173" fontId="11" fillId="0" borderId="3" applyAlignment="1" pivotButton="0" quotePrefix="0" xfId="0">
      <alignment vertical="center"/>
    </xf>
    <xf numFmtId="167" fontId="18" fillId="2" borderId="0" applyAlignment="1" pivotButton="0" quotePrefix="0" xfId="1">
      <alignment vertical="center"/>
    </xf>
    <xf numFmtId="167" fontId="18" fillId="2" borderId="3" applyAlignment="1" pivotButton="0" quotePrefix="0" xfId="1">
      <alignment vertical="center"/>
    </xf>
    <xf numFmtId="165" fontId="18" fillId="0" borderId="0" pivotButton="0" quotePrefix="0" xfId="0"/>
    <xf numFmtId="165" fontId="18" fillId="0" borderId="3" pivotButton="0" quotePrefix="0" xfId="0"/>
    <xf numFmtId="165" fontId="18" fillId="3" borderId="0" pivotButton="0" quotePrefix="0" xfId="0"/>
    <xf numFmtId="165" fontId="18" fillId="3" borderId="3" pivotButton="0" quotePrefix="0" xfId="0"/>
    <xf numFmtId="168" fontId="18" fillId="0" borderId="0" pivotButton="0" quotePrefix="0" xfId="1"/>
    <xf numFmtId="168" fontId="18" fillId="0" borderId="3" pivotButton="0" quotePrefix="0" xfId="1"/>
    <xf numFmtId="168" fontId="25" fillId="0" borderId="0" pivotButton="0" quotePrefix="0" xfId="1"/>
    <xf numFmtId="170" fontId="18" fillId="0" borderId="0" pivotButton="0" quotePrefix="0" xfId="1"/>
    <xf numFmtId="167" fontId="18" fillId="0" borderId="3" pivotButton="0" quotePrefix="0" xfId="1"/>
    <xf numFmtId="167" fontId="18" fillId="0" borderId="0" pivotButton="0" quotePrefix="0" xfId="1"/>
    <xf numFmtId="171" fontId="18" fillId="0" borderId="3" applyAlignment="1" pivotButton="0" quotePrefix="0" xfId="0">
      <alignment vertical="center"/>
    </xf>
    <xf numFmtId="171" fontId="18" fillId="0" borderId="0" applyAlignment="1" pivotButton="0" quotePrefix="0" xfId="0">
      <alignment vertical="center"/>
    </xf>
    <xf numFmtId="173" fontId="18" fillId="0" borderId="0" pivotButton="0" quotePrefix="0" xfId="0"/>
    <xf numFmtId="173" fontId="18" fillId="0" borderId="3" pivotButton="0" quotePrefix="0" xfId="0"/>
    <xf numFmtId="173" fontId="25" fillId="0" borderId="0" pivotButton="0" quotePrefix="0" xfId="0"/>
    <xf numFmtId="167" fontId="24" fillId="2" borderId="0" applyAlignment="1" pivotButton="0" quotePrefix="0" xfId="0">
      <alignment vertical="center"/>
    </xf>
    <xf numFmtId="169" fontId="0" fillId="5" borderId="3" applyAlignment="1" pivotButton="0" quotePrefix="0" xfId="0">
      <alignment vertical="center"/>
    </xf>
    <xf numFmtId="169" fontId="0" fillId="2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0" fillId="0" borderId="3" applyAlignment="1" pivotButton="0" quotePrefix="0" xfId="0">
      <alignment vertical="center"/>
    </xf>
    <xf numFmtId="167" fontId="0" fillId="5" borderId="3" applyAlignment="1" pivotButton="0" quotePrefix="0" xfId="0">
      <alignment vertical="center"/>
    </xf>
    <xf numFmtId="169" fontId="0" fillId="3" borderId="0" applyAlignment="1" pivotButton="0" quotePrefix="0" xfId="1">
      <alignment vertical="center"/>
    </xf>
    <xf numFmtId="169" fontId="0" fillId="3" borderId="3" applyAlignment="1" pivotButton="0" quotePrefix="0" xfId="1">
      <alignment vertical="center"/>
    </xf>
    <xf numFmtId="167" fontId="0" fillId="3" borderId="0" applyAlignment="1" pivotButton="0" quotePrefix="0" xfId="1">
      <alignment vertical="center"/>
    </xf>
    <xf numFmtId="167" fontId="0" fillId="5" borderId="3" applyAlignment="1" pivotButton="0" quotePrefix="0" xfId="1">
      <alignment vertical="center"/>
    </xf>
    <xf numFmtId="173" fontId="1" fillId="0" borderId="0" applyAlignment="1" pivotButton="0" quotePrefix="0" xfId="0">
      <alignment vertical="center"/>
    </xf>
    <xf numFmtId="173" fontId="1" fillId="0" borderId="3" applyAlignment="1" pivotButton="0" quotePrefix="0" xfId="0">
      <alignment vertical="center"/>
    </xf>
    <xf numFmtId="173" fontId="1" fillId="5" borderId="3" applyAlignment="1" pivotButton="0" quotePrefix="0" xfId="0">
      <alignment vertical="center"/>
    </xf>
    <xf numFmtId="167" fontId="24" fillId="7" borderId="0" applyAlignment="1" pivotButton="0" quotePrefix="0" xfId="0">
      <alignment vertical="center"/>
    </xf>
    <xf numFmtId="167" fontId="24" fillId="7" borderId="3" applyAlignment="1" pivotButton="0" quotePrefix="0" xfId="0">
      <alignment vertical="center"/>
    </xf>
    <xf numFmtId="167" fontId="24" fillId="8" borderId="3" pivotButton="0" quotePrefix="0" xfId="0"/>
    <xf numFmtId="167" fontId="24" fillId="2" borderId="0" pivotButton="0" quotePrefix="0" xfId="0"/>
    <xf numFmtId="167" fontId="24" fillId="3" borderId="0" applyAlignment="1" pivotButton="0" quotePrefix="0" xfId="0">
      <alignment vertical="center"/>
    </xf>
    <xf numFmtId="167" fontId="24" fillId="3" borderId="3" applyAlignment="1" pivotButton="0" quotePrefix="0" xfId="0">
      <alignment vertical="center"/>
    </xf>
    <xf numFmtId="164" fontId="29" fillId="0" borderId="0" applyAlignment="1" pivotButton="0" quotePrefix="0" xfId="0">
      <alignment vertical="center"/>
    </xf>
    <xf numFmtId="164" fontId="29" fillId="0" borderId="3" applyAlignment="1" pivotButton="0" quotePrefix="0" xfId="0">
      <alignment vertical="center"/>
    </xf>
    <xf numFmtId="164" fontId="29" fillId="8" borderId="3" applyAlignment="1" pivotButton="0" quotePrefix="0" xfId="0">
      <alignment vertical="center"/>
    </xf>
    <xf numFmtId="164" fontId="24" fillId="0" borderId="2" applyAlignment="1" pivotButton="0" quotePrefix="0" xfId="0">
      <alignment vertical="center"/>
    </xf>
    <xf numFmtId="164" fontId="24" fillId="0" borderId="0" applyAlignment="1" pivotButton="0" quotePrefix="0" xfId="4">
      <alignment vertical="center"/>
    </xf>
    <xf numFmtId="164" fontId="24" fillId="0" borderId="3" applyAlignment="1" pivotButton="0" quotePrefix="0" xfId="4">
      <alignment vertical="center"/>
    </xf>
    <xf numFmtId="164" fontId="24" fillId="8" borderId="3" applyAlignment="1" pivotButton="0" quotePrefix="0" xfId="4">
      <alignment vertical="center"/>
    </xf>
    <xf numFmtId="165" fontId="24" fillId="0" borderId="0" applyAlignment="1" pivotButton="0" quotePrefix="0" xfId="0">
      <alignment vertical="center"/>
    </xf>
    <xf numFmtId="173" fontId="24" fillId="0" borderId="0" applyAlignment="1" pivotButton="0" quotePrefix="0" xfId="0">
      <alignment vertical="center"/>
    </xf>
    <xf numFmtId="173" fontId="24" fillId="0" borderId="3" applyAlignment="1" pivotButton="0" quotePrefix="0" xfId="0">
      <alignment vertical="center"/>
    </xf>
    <xf numFmtId="173" fontId="24" fillId="8" borderId="3" applyAlignment="1" pivotButton="0" quotePrefix="0" xfId="0">
      <alignment vertical="center"/>
    </xf>
    <xf numFmtId="0" fontId="52" fillId="0" borderId="0" pivotButton="0" quotePrefix="0" xfId="0"/>
    <xf numFmtId="0" fontId="53" fillId="0" borderId="0" pivotButton="0" quotePrefix="0" xfId="0"/>
    <xf numFmtId="0" fontId="54" fillId="16" borderId="0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0" fontId="53" fillId="0" borderId="89" pivotButton="0" quotePrefix="0" xfId="0"/>
    <xf numFmtId="3" fontId="55" fillId="17" borderId="89" pivotButton="0" quotePrefix="0" xfId="0"/>
    <xf numFmtId="3" fontId="53" fillId="0" borderId="89" pivotButton="0" quotePrefix="0" xfId="0"/>
    <xf numFmtId="0" fontId="56" fillId="0" borderId="0" pivotButton="0" quotePrefix="0" xfId="0"/>
    <xf numFmtId="0" fontId="57" fillId="0" borderId="0" pivotButton="0" quotePrefix="0" xfId="0"/>
    <xf numFmtId="3" fontId="57" fillId="0" borderId="0" pivotButton="0" quotePrefix="0" xfId="0"/>
    <xf numFmtId="3" fontId="0" fillId="0" borderId="0" pivotButton="0" quotePrefix="0" xfId="0"/>
    <xf numFmtId="165" fontId="55" fillId="17" borderId="89" pivotButton="0" quotePrefix="0" xfId="0"/>
    <xf numFmtId="165" fontId="53" fillId="0" borderId="89" pivotButton="0" quotePrefix="0" xfId="0"/>
    <xf numFmtId="0" fontId="58" fillId="0" borderId="0" applyAlignment="1" pivotButton="0" quotePrefix="0" xfId="0">
      <alignment vertical="top" wrapText="1"/>
    </xf>
    <xf numFmtId="0" fontId="59" fillId="0" borderId="0" applyAlignment="1" pivotButton="0" quotePrefix="0" xfId="0">
      <alignment vertical="top" wrapText="1"/>
    </xf>
    <xf numFmtId="0" fontId="60" fillId="0" borderId="0" applyAlignment="1" pivotButton="0" quotePrefix="0" xfId="0">
      <alignment vertical="top" wrapText="1"/>
    </xf>
    <xf numFmtId="0" fontId="61" fillId="16" borderId="0" applyAlignment="1" pivotButton="0" quotePrefix="0" xfId="0">
      <alignment vertical="top" wrapText="1"/>
    </xf>
    <xf numFmtId="0" fontId="61" fillId="16" borderId="0" pivotButton="0" quotePrefix="0" xfId="0"/>
    <xf numFmtId="0" fontId="57" fillId="0" borderId="0" applyAlignment="1" pivotButton="0" quotePrefix="0" xfId="0">
      <alignment vertical="top" wrapText="1"/>
    </xf>
    <xf numFmtId="0" fontId="59" fillId="0" borderId="0" pivotButton="0" quotePrefix="0" xfId="0"/>
    <xf numFmtId="177" fontId="59" fillId="0" borderId="0" pivotButton="0" quotePrefix="0" xfId="0"/>
  </cellXfs>
  <cellStyles count="5">
    <cellStyle name="標準" xfId="0" builtinId="0"/>
    <cellStyle name="桁区切り" xfId="1" builtinId="6"/>
    <cellStyle name="通貨" xfId="2" builtinId="7"/>
    <cellStyle name="ハイパーリンク" xfId="3" builtinId="8"/>
    <cellStyle name="Excel Built-in Comma [0]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修正版v2</author>
  </authors>
  <commentList>
    <comment ref="C5" authorId="0" shapeId="0">
      <text>
        <t>【計算ルール】月次列＝当月売上（期末契約社数×月額単価）。Y1〜Y5列＝M1〜M12の合計(SUM)。契約社数はストック型（前月＋新規－解約）。</t>
      </text>
    </comment>
    <comment ref="C20" authorId="0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comments/comment2.xml><?xml version="1.0" encoding="utf-8"?>
<comments xmlns="http://schemas.openxmlformats.org/spreadsheetml/2006/main">
  <authors>
    <author>修正版v2</author>
  </authors>
  <commentList>
    <comment ref="C5" authorId="0" shapeId="0">
      <text>
        <t>【計算ルール】月次列＝当月売上（期末契約社数×月額単価）。Y1〜Y5列＝M1〜M12の合計(SUM)。契約社数はストック型（前月＋新規－解約）。</t>
      </text>
    </comment>
    <comment ref="C20" authorId="0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comments/comment3.xml><?xml version="1.0" encoding="utf-8"?>
<comments xmlns="http://schemas.openxmlformats.org/spreadsheetml/2006/main">
  <authors>
    <author>修正版v2</author>
  </authors>
  <commentList>
    <comment ref="C5" authorId="0" shapeId="0">
      <text>
        <t>【計算ルール】月次列＝当月売上（期末契約社数×月額単価）。Y1〜Y5列＝M1〜M12の合計(SUM)。契約社数はストック型（前月＋新規－解約）。</t>
      </text>
    </comment>
    <comment ref="C18" authorId="0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comments/comment4.xml><?xml version="1.0" encoding="utf-8"?>
<comments xmlns="http://schemas.openxmlformats.org/spreadsheetml/2006/main">
  <authors>
    <author>修正版</author>
    <author>修正版v2</author>
  </authors>
  <commentList>
    <comment ref="C4" authorId="0" shapeId="0">
      <text>
        <t>【要確認】「※Y2から開拓」だがY1にも売上（受注）が計上されている。Y1＝テスト販売/先行導入か、記載修正かを要判断。数値・記載は未変更。</t>
      </text>
    </comment>
    <comment ref="C5" authorId="1" shapeId="0">
      <text>
        <t>【計算ルール】月次列＝当月売上（期末契約社数×月額単価）。Y1〜Y5列＝M1〜M12の合計(SUM)。契約社数はストック型（前月＋新規－解約）。</t>
      </text>
    </comment>
    <comment ref="C21" authorId="1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comments/comment5.xml><?xml version="1.0" encoding="utf-8"?>
<comments xmlns="http://schemas.openxmlformats.org/spreadsheetml/2006/main">
  <authors>
    <author>修正版v2</author>
  </authors>
  <commentList>
    <comment ref="C5" authorId="0" shapeId="0">
      <text>
        <t>【計算ルール】月次列＝当月売上（期末契約社数×月額単価）。Y1〜Y5列＝M1〜M12の合計(SUM)。契約社数はストック型（前月＋新規－解約）。</t>
      </text>
    </comment>
    <comment ref="C21" authorId="0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-stat.go.jp/stat-search/files?tclass=000001230645&amp;cycle=7&amp;year=20240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04"/>
  <sheetViews>
    <sheetView tabSelected="1" zoomScale="83" zoomScaleNormal="400" workbookViewId="0">
      <selection activeCell="H7" sqref="H7"/>
    </sheetView>
  </sheetViews>
  <sheetFormatPr baseColWidth="10" defaultColWidth="12.42578125" defaultRowHeight="20"/>
  <cols>
    <col width="9.42578125" customWidth="1" style="114" min="1" max="1"/>
    <col width="11.28515625" customWidth="1" style="114" min="2" max="2"/>
    <col width="16.28515625" customWidth="1" style="114" min="3" max="3"/>
    <col width="3" customWidth="1" style="114" min="4" max="4"/>
    <col width="14.28515625" customWidth="1" style="114" min="5" max="9"/>
    <col hidden="1" width="14.28515625" customWidth="1" style="114" min="10" max="14"/>
    <col width="7.42578125" customWidth="1" style="114" min="15" max="15"/>
    <col hidden="1" width="14.28515625" customWidth="1" style="114" min="16" max="27"/>
    <col width="14.28515625" customWidth="1" style="114" min="28" max="87"/>
    <col width="12.42578125" customWidth="1" style="114" min="88" max="16384"/>
  </cols>
  <sheetData>
    <row r="1" ht="18" customHeight="1" s="145">
      <c r="A1" s="232" t="inlineStr">
        <is>
          <t>全社PL</t>
        </is>
      </c>
      <c r="B1" s="233" t="n"/>
      <c r="C1" s="233" t="n"/>
      <c r="D1" s="234" t="n"/>
      <c r="J1" s="234">
        <f>IFERROR(I5/E5,"-")</f>
        <v>21.7325677412852</v>
      </c>
      <c r="K1" s="234" t="str">
        <f>IF(K5&gt;0,K5/J5,"-")</f>
        <v>-</v>
      </c>
      <c r="L1" s="234" t="str">
        <f>IF(L5&gt;0,L5/K5,"-")</f>
        <v>-</v>
      </c>
      <c r="M1" s="234" t="str">
        <f>IF(M5&gt;0,M5/L5,"-")</f>
        <v>-</v>
      </c>
      <c r="N1" s="234" t="str">
        <f>IF(N5&gt;0,N5/M5,"-")</f>
        <v>-</v>
      </c>
      <c r="O1" s="235" t="n"/>
    </row>
    <row r="2" ht="18" customHeight="1" s="145" thickBot="1">
      <c r="A2" s="233" t="n"/>
      <c r="B2" s="233" t="n"/>
      <c r="C2" s="233" t="n"/>
      <c r="D2" s="234" t="n"/>
      <c r="E2" s="211" t="inlineStr">
        <is>
          <t>Y1</t>
        </is>
      </c>
      <c r="F2" s="192" t="inlineStr">
        <is>
          <t>Y2</t>
        </is>
      </c>
      <c r="G2" s="192" t="inlineStr">
        <is>
          <t>Y3</t>
        </is>
      </c>
      <c r="H2" s="192" t="inlineStr">
        <is>
          <t>Y4</t>
        </is>
      </c>
      <c r="I2" s="192" t="inlineStr">
        <is>
          <t>Y5</t>
        </is>
      </c>
      <c r="J2" s="234" t="inlineStr">
        <is>
          <t>5カ年</t>
        </is>
      </c>
      <c r="K2" s="234" t="n"/>
      <c r="L2" s="234" t="n"/>
      <c r="M2" s="234" t="n"/>
      <c r="N2" s="234" t="n"/>
      <c r="O2" s="235" t="n"/>
      <c r="P2" s="236" t="inlineStr">
        <is>
          <t>実績</t>
        </is>
      </c>
      <c r="Q2" s="236" t="inlineStr">
        <is>
          <t>実績</t>
        </is>
      </c>
      <c r="R2" s="236" t="inlineStr">
        <is>
          <t>実績</t>
        </is>
      </c>
      <c r="S2" s="236" t="inlineStr">
        <is>
          <t>実績</t>
        </is>
      </c>
      <c r="T2" s="236" t="inlineStr">
        <is>
          <t>実績</t>
        </is>
      </c>
      <c r="U2" s="236" t="inlineStr">
        <is>
          <t>実績</t>
        </is>
      </c>
      <c r="V2" s="236" t="inlineStr">
        <is>
          <t>実績</t>
        </is>
      </c>
      <c r="W2" s="236" t="inlineStr">
        <is>
          <t>実績</t>
        </is>
      </c>
      <c r="X2" s="236" t="inlineStr">
        <is>
          <t>実績</t>
        </is>
      </c>
      <c r="Y2" s="236" t="inlineStr">
        <is>
          <t>実績</t>
        </is>
      </c>
      <c r="Z2" s="236" t="inlineStr">
        <is>
          <t>実績</t>
        </is>
      </c>
      <c r="AA2" s="236" t="inlineStr">
        <is>
          <t>実績</t>
        </is>
      </c>
      <c r="AB2" s="192" t="inlineStr">
        <is>
          <t>M1</t>
        </is>
      </c>
      <c r="AC2" s="192" t="inlineStr">
        <is>
          <t>M2</t>
        </is>
      </c>
      <c r="AD2" s="192" t="inlineStr">
        <is>
          <t>M3</t>
        </is>
      </c>
      <c r="AE2" s="192" t="inlineStr">
        <is>
          <t>M4</t>
        </is>
      </c>
      <c r="AF2" s="192" t="inlineStr">
        <is>
          <t>M5</t>
        </is>
      </c>
      <c r="AG2" s="192" t="inlineStr">
        <is>
          <t>M6</t>
        </is>
      </c>
      <c r="AH2" s="192" t="inlineStr">
        <is>
          <t>M7</t>
        </is>
      </c>
      <c r="AI2" s="192" t="inlineStr">
        <is>
          <t>M8</t>
        </is>
      </c>
      <c r="AJ2" s="192" t="inlineStr">
        <is>
          <t>M9</t>
        </is>
      </c>
      <c r="AK2" s="192" t="inlineStr">
        <is>
          <t>M10</t>
        </is>
      </c>
      <c r="AL2" s="192" t="inlineStr">
        <is>
          <t>M11</t>
        </is>
      </c>
      <c r="AM2" s="192" t="inlineStr">
        <is>
          <t>M12</t>
        </is>
      </c>
      <c r="AN2" s="192" t="inlineStr">
        <is>
          <t>M13</t>
        </is>
      </c>
      <c r="AO2" s="192" t="inlineStr">
        <is>
          <t>M1４</t>
        </is>
      </c>
      <c r="AP2" s="192" t="inlineStr">
        <is>
          <t>M15</t>
        </is>
      </c>
      <c r="AQ2" s="192" t="inlineStr">
        <is>
          <t>M16</t>
        </is>
      </c>
      <c r="AR2" s="192" t="inlineStr">
        <is>
          <t>M17</t>
        </is>
      </c>
      <c r="AS2" s="192" t="inlineStr">
        <is>
          <t>M18</t>
        </is>
      </c>
      <c r="AT2" s="192" t="inlineStr">
        <is>
          <t>M19</t>
        </is>
      </c>
      <c r="AU2" s="192" t="inlineStr">
        <is>
          <t>M20</t>
        </is>
      </c>
      <c r="AV2" s="192" t="inlineStr">
        <is>
          <t>M21</t>
        </is>
      </c>
      <c r="AW2" s="192" t="inlineStr">
        <is>
          <t>M22</t>
        </is>
      </c>
      <c r="AX2" s="192" t="inlineStr">
        <is>
          <t>M23</t>
        </is>
      </c>
      <c r="AY2" s="192" t="inlineStr">
        <is>
          <t>M24</t>
        </is>
      </c>
      <c r="AZ2" s="192" t="inlineStr">
        <is>
          <t>M25</t>
        </is>
      </c>
      <c r="BA2" s="192" t="inlineStr">
        <is>
          <t>M26</t>
        </is>
      </c>
      <c r="BB2" s="192" t="inlineStr">
        <is>
          <t>M27</t>
        </is>
      </c>
      <c r="BC2" s="192" t="inlineStr">
        <is>
          <t>M28</t>
        </is>
      </c>
      <c r="BD2" s="192" t="inlineStr">
        <is>
          <t>M29</t>
        </is>
      </c>
      <c r="BE2" s="192" t="inlineStr">
        <is>
          <t>M30</t>
        </is>
      </c>
      <c r="BF2" s="192" t="inlineStr">
        <is>
          <t>M31</t>
        </is>
      </c>
      <c r="BG2" s="192" t="inlineStr">
        <is>
          <t>M32</t>
        </is>
      </c>
      <c r="BH2" s="192" t="inlineStr">
        <is>
          <t>M33</t>
        </is>
      </c>
      <c r="BI2" s="192" t="inlineStr">
        <is>
          <t>M34</t>
        </is>
      </c>
      <c r="BJ2" s="192" t="inlineStr">
        <is>
          <t>M35</t>
        </is>
      </c>
      <c r="BK2" s="192" t="inlineStr">
        <is>
          <t>M36</t>
        </is>
      </c>
      <c r="BL2" s="192" t="inlineStr">
        <is>
          <t>M37</t>
        </is>
      </c>
      <c r="BM2" s="192" t="inlineStr">
        <is>
          <t>M38</t>
        </is>
      </c>
      <c r="BN2" s="192" t="inlineStr">
        <is>
          <t>M39</t>
        </is>
      </c>
      <c r="BO2" s="192" t="inlineStr">
        <is>
          <t>M40</t>
        </is>
      </c>
      <c r="BP2" s="192" t="inlineStr">
        <is>
          <t>M41</t>
        </is>
      </c>
      <c r="BQ2" s="192" t="inlineStr">
        <is>
          <t>M42</t>
        </is>
      </c>
      <c r="BR2" s="192" t="inlineStr">
        <is>
          <t>M43</t>
        </is>
      </c>
      <c r="BS2" s="192" t="inlineStr">
        <is>
          <t>M44</t>
        </is>
      </c>
      <c r="BT2" s="192" t="inlineStr">
        <is>
          <t>M45</t>
        </is>
      </c>
      <c r="BU2" s="192" t="inlineStr">
        <is>
          <t>M46</t>
        </is>
      </c>
      <c r="BV2" s="192" t="inlineStr">
        <is>
          <t>M47</t>
        </is>
      </c>
      <c r="BW2" s="192" t="inlineStr">
        <is>
          <t>M48</t>
        </is>
      </c>
      <c r="BX2" s="192" t="inlineStr">
        <is>
          <t>M49</t>
        </is>
      </c>
      <c r="BY2" s="192" t="inlineStr">
        <is>
          <t>M50</t>
        </is>
      </c>
      <c r="BZ2" s="192" t="inlineStr">
        <is>
          <t>M51</t>
        </is>
      </c>
      <c r="CA2" s="192" t="inlineStr">
        <is>
          <t>M52</t>
        </is>
      </c>
      <c r="CB2" s="192" t="inlineStr">
        <is>
          <t>M53</t>
        </is>
      </c>
      <c r="CC2" s="192" t="inlineStr">
        <is>
          <t>M54</t>
        </is>
      </c>
      <c r="CD2" s="192" t="inlineStr">
        <is>
          <t>M55</t>
        </is>
      </c>
      <c r="CE2" s="192" t="inlineStr">
        <is>
          <t>M56</t>
        </is>
      </c>
      <c r="CF2" s="192" t="inlineStr">
        <is>
          <t>M57</t>
        </is>
      </c>
      <c r="CG2" s="192" t="inlineStr">
        <is>
          <t>M58</t>
        </is>
      </c>
      <c r="CH2" s="192" t="inlineStr">
        <is>
          <t>M59</t>
        </is>
      </c>
      <c r="CI2" s="192" t="inlineStr">
        <is>
          <t>M60</t>
        </is>
      </c>
    </row>
    <row r="3" ht="18" customHeight="1" s="145">
      <c r="A3" s="237" t="n"/>
      <c r="B3" s="237" t="n"/>
      <c r="C3" s="238" t="n"/>
      <c r="D3" s="239" t="n"/>
      <c r="E3" s="240" t="inlineStr">
        <is>
          <t>計画</t>
        </is>
      </c>
      <c r="F3" s="241" t="inlineStr">
        <is>
          <t>計画</t>
        </is>
      </c>
      <c r="G3" s="241" t="inlineStr">
        <is>
          <t>計画</t>
        </is>
      </c>
      <c r="H3" s="241" t="inlineStr">
        <is>
          <t>計画</t>
        </is>
      </c>
      <c r="I3" s="241" t="inlineStr">
        <is>
          <t>計画</t>
        </is>
      </c>
      <c r="J3" s="242" t="inlineStr">
        <is>
          <t>計画</t>
        </is>
      </c>
      <c r="K3" s="242" t="inlineStr">
        <is>
          <t>計画</t>
        </is>
      </c>
      <c r="L3" s="242" t="inlineStr">
        <is>
          <t>計画</t>
        </is>
      </c>
      <c r="M3" s="242" t="inlineStr">
        <is>
          <t>計画</t>
        </is>
      </c>
      <c r="N3" s="242" t="inlineStr">
        <is>
          <t>計画</t>
        </is>
      </c>
      <c r="O3" s="243" t="n"/>
      <c r="P3" s="240" t="inlineStr">
        <is>
          <t>22年6月期</t>
        </is>
      </c>
      <c r="Q3" s="241" t="inlineStr">
        <is>
          <t>22年6月期</t>
        </is>
      </c>
      <c r="R3" s="241" t="inlineStr">
        <is>
          <t>22年6月期</t>
        </is>
      </c>
      <c r="S3" s="241" t="inlineStr">
        <is>
          <t>22年6月期</t>
        </is>
      </c>
      <c r="T3" s="241" t="inlineStr">
        <is>
          <t>22年6月期</t>
        </is>
      </c>
      <c r="U3" s="241" t="inlineStr">
        <is>
          <t>22年6月期</t>
        </is>
      </c>
      <c r="V3" s="241" t="inlineStr">
        <is>
          <t>22年6月期</t>
        </is>
      </c>
      <c r="W3" s="241" t="inlineStr">
        <is>
          <t>22年6月期</t>
        </is>
      </c>
      <c r="X3" s="241" t="inlineStr">
        <is>
          <t>22年6月期</t>
        </is>
      </c>
      <c r="Y3" s="241" t="inlineStr">
        <is>
          <t>22年6月期</t>
        </is>
      </c>
      <c r="Z3" s="241" t="inlineStr">
        <is>
          <t>22年6月期</t>
        </is>
      </c>
      <c r="AA3" s="244" t="inlineStr">
        <is>
          <t>22年6月期</t>
        </is>
      </c>
      <c r="AB3" s="240" t="inlineStr">
        <is>
          <t>23年6月期</t>
        </is>
      </c>
      <c r="AC3" s="240" t="inlineStr">
        <is>
          <t>23年6月期</t>
        </is>
      </c>
      <c r="AD3" s="240" t="inlineStr">
        <is>
          <t>23年6月期</t>
        </is>
      </c>
      <c r="AE3" s="240" t="inlineStr">
        <is>
          <t>23年6月期</t>
        </is>
      </c>
      <c r="AF3" s="240" t="inlineStr">
        <is>
          <t>23年6月期</t>
        </is>
      </c>
      <c r="AG3" s="240" t="inlineStr">
        <is>
          <t>23年6月期</t>
        </is>
      </c>
      <c r="AH3" s="240" t="inlineStr">
        <is>
          <t>23年6月期</t>
        </is>
      </c>
      <c r="AI3" s="240" t="inlineStr">
        <is>
          <t>23年6月期</t>
        </is>
      </c>
      <c r="AJ3" s="240" t="inlineStr">
        <is>
          <t>23年6月期</t>
        </is>
      </c>
      <c r="AK3" s="240" t="inlineStr">
        <is>
          <t>23年6月期</t>
        </is>
      </c>
      <c r="AL3" s="240" t="inlineStr">
        <is>
          <t>23年6月期</t>
        </is>
      </c>
      <c r="AM3" s="240" t="inlineStr">
        <is>
          <t>23年6月期</t>
        </is>
      </c>
      <c r="AN3" s="240" t="inlineStr">
        <is>
          <t>24年6月期</t>
        </is>
      </c>
      <c r="AO3" s="241" t="inlineStr">
        <is>
          <t>24年6月期</t>
        </is>
      </c>
      <c r="AP3" s="241" t="inlineStr">
        <is>
          <t>24年6月期</t>
        </is>
      </c>
      <c r="AQ3" s="241" t="inlineStr">
        <is>
          <t>24年6月期</t>
        </is>
      </c>
      <c r="AR3" s="241" t="inlineStr">
        <is>
          <t>24年6月期</t>
        </is>
      </c>
      <c r="AS3" s="241" t="inlineStr">
        <is>
          <t>24年6月期</t>
        </is>
      </c>
      <c r="AT3" s="241" t="inlineStr">
        <is>
          <t>24年6月期</t>
        </is>
      </c>
      <c r="AU3" s="241" t="inlineStr">
        <is>
          <t>24年6月期</t>
        </is>
      </c>
      <c r="AV3" s="241" t="inlineStr">
        <is>
          <t>24年6月期</t>
        </is>
      </c>
      <c r="AW3" s="241" t="inlineStr">
        <is>
          <t>24年6月期</t>
        </is>
      </c>
      <c r="AX3" s="241" t="inlineStr">
        <is>
          <t>24年6月期</t>
        </is>
      </c>
      <c r="AY3" s="244" t="inlineStr">
        <is>
          <t>24年6月期</t>
        </is>
      </c>
      <c r="AZ3" s="240" t="inlineStr">
        <is>
          <t>25年6月期</t>
        </is>
      </c>
      <c r="BA3" s="241" t="inlineStr">
        <is>
          <t>25年6月期</t>
        </is>
      </c>
      <c r="BB3" s="241" t="inlineStr">
        <is>
          <t>25年6月期</t>
        </is>
      </c>
      <c r="BC3" s="241" t="inlineStr">
        <is>
          <t>25年6月期</t>
        </is>
      </c>
      <c r="BD3" s="241" t="inlineStr">
        <is>
          <t>25年6月期</t>
        </is>
      </c>
      <c r="BE3" s="241" t="inlineStr">
        <is>
          <t>25年6月期</t>
        </is>
      </c>
      <c r="BF3" s="241" t="inlineStr">
        <is>
          <t>25年6月期</t>
        </is>
      </c>
      <c r="BG3" s="241" t="inlineStr">
        <is>
          <t>25年6月期</t>
        </is>
      </c>
      <c r="BH3" s="241" t="inlineStr">
        <is>
          <t>25年6月期</t>
        </is>
      </c>
      <c r="BI3" s="241" t="inlineStr">
        <is>
          <t>25年6月期</t>
        </is>
      </c>
      <c r="BJ3" s="241" t="inlineStr">
        <is>
          <t>25年6月期</t>
        </is>
      </c>
      <c r="BK3" s="244" t="inlineStr">
        <is>
          <t>25年6月期</t>
        </is>
      </c>
      <c r="BL3" s="240" t="inlineStr">
        <is>
          <t>26年6月期</t>
        </is>
      </c>
      <c r="BM3" s="241" t="inlineStr">
        <is>
          <t>26年6月期</t>
        </is>
      </c>
      <c r="BN3" s="241" t="inlineStr">
        <is>
          <t>26年6月期</t>
        </is>
      </c>
      <c r="BO3" s="241" t="inlineStr">
        <is>
          <t>26年6月期</t>
        </is>
      </c>
      <c r="BP3" s="241" t="inlineStr">
        <is>
          <t>26年6月期</t>
        </is>
      </c>
      <c r="BQ3" s="241" t="inlineStr">
        <is>
          <t>26年6月期</t>
        </is>
      </c>
      <c r="BR3" s="241" t="inlineStr">
        <is>
          <t>26年6月期</t>
        </is>
      </c>
      <c r="BS3" s="241" t="inlineStr">
        <is>
          <t>26年6月期</t>
        </is>
      </c>
      <c r="BT3" s="241" t="inlineStr">
        <is>
          <t>26年6月期</t>
        </is>
      </c>
      <c r="BU3" s="241" t="inlineStr">
        <is>
          <t>26年6月期</t>
        </is>
      </c>
      <c r="BV3" s="241" t="inlineStr">
        <is>
          <t>26年6月期</t>
        </is>
      </c>
      <c r="BW3" s="244" t="inlineStr">
        <is>
          <t>26年6月期</t>
        </is>
      </c>
      <c r="BX3" s="240" t="inlineStr">
        <is>
          <t>27年6月期</t>
        </is>
      </c>
      <c r="BY3" s="241" t="inlineStr">
        <is>
          <t>27年6月期</t>
        </is>
      </c>
      <c r="BZ3" s="241" t="inlineStr">
        <is>
          <t>27年6月期</t>
        </is>
      </c>
      <c r="CA3" s="241" t="inlineStr">
        <is>
          <t>27年6月期</t>
        </is>
      </c>
      <c r="CB3" s="241" t="inlineStr">
        <is>
          <t>27年6月期</t>
        </is>
      </c>
      <c r="CC3" s="241" t="inlineStr">
        <is>
          <t>27年6月期</t>
        </is>
      </c>
      <c r="CD3" s="241" t="inlineStr">
        <is>
          <t>27年6月期</t>
        </is>
      </c>
      <c r="CE3" s="241" t="inlineStr">
        <is>
          <t>27年6月期</t>
        </is>
      </c>
      <c r="CF3" s="241" t="inlineStr">
        <is>
          <t>27年6月期</t>
        </is>
      </c>
      <c r="CG3" s="241" t="inlineStr">
        <is>
          <t>27年6月期</t>
        </is>
      </c>
      <c r="CH3" s="241" t="inlineStr">
        <is>
          <t>27年6月期</t>
        </is>
      </c>
      <c r="CI3" s="244" t="inlineStr">
        <is>
          <t>27年6月期</t>
        </is>
      </c>
    </row>
    <row r="4" ht="18" customHeight="1" s="145" thickBot="1">
      <c r="A4" s="245" t="n"/>
      <c r="B4" s="245" t="n"/>
      <c r="C4" s="246" t="inlineStr">
        <is>
          <t>Ref.</t>
        </is>
      </c>
      <c r="D4" s="247" t="n"/>
      <c r="E4" s="248" t="str">
        <f>AB3</f>
        <v>23年6月期</v>
      </c>
      <c r="F4" s="249" t="str">
        <f>AN3</f>
        <v>24年6月期</v>
      </c>
      <c r="G4" s="249" t="str">
        <f>AZ3</f>
        <v>25年6月期</v>
      </c>
      <c r="H4" s="249" t="str">
        <f>BL3</f>
        <v>26年6月期</v>
      </c>
      <c r="I4" s="249" t="str">
        <f>BX3</f>
        <v>27年6月期</v>
      </c>
      <c r="J4" s="250" t="inlineStr">
        <is>
          <t>5カ年合計</t>
        </is>
      </c>
      <c r="K4" s="250" t="inlineStr">
        <is>
          <t>29年6月期</t>
        </is>
      </c>
      <c r="L4" s="250" t="inlineStr">
        <is>
          <t>30年6月期</t>
        </is>
      </c>
      <c r="M4" s="250" t="inlineStr">
        <is>
          <t>31年6月期</t>
        </is>
      </c>
      <c r="N4" s="250" t="inlineStr">
        <is>
          <t>32年6月期</t>
        </is>
      </c>
      <c r="O4" s="243" t="n"/>
      <c r="P4" s="248" t="inlineStr">
        <is>
          <t>21年7月</t>
        </is>
      </c>
      <c r="Q4" s="249" t="inlineStr">
        <is>
          <t>21年8月</t>
        </is>
      </c>
      <c r="R4" s="249" t="inlineStr">
        <is>
          <t>21年9月</t>
        </is>
      </c>
      <c r="S4" s="249" t="inlineStr">
        <is>
          <t>21年10月</t>
        </is>
      </c>
      <c r="T4" s="249" t="inlineStr">
        <is>
          <t>21年11月</t>
        </is>
      </c>
      <c r="U4" s="249" t="inlineStr">
        <is>
          <t>21年12月</t>
        </is>
      </c>
      <c r="V4" s="249" t="inlineStr">
        <is>
          <t>22年1月</t>
        </is>
      </c>
      <c r="W4" s="249" t="inlineStr">
        <is>
          <t>22年2月</t>
        </is>
      </c>
      <c r="X4" s="249" t="inlineStr">
        <is>
          <t>22年3月</t>
        </is>
      </c>
      <c r="Y4" s="249" t="inlineStr">
        <is>
          <t>22年4月</t>
        </is>
      </c>
      <c r="Z4" s="249" t="inlineStr">
        <is>
          <t>22年5月</t>
        </is>
      </c>
      <c r="AA4" s="251" t="inlineStr">
        <is>
          <t>22年6月</t>
        </is>
      </c>
      <c r="AB4" s="248" t="inlineStr">
        <is>
          <t>22年7月</t>
        </is>
      </c>
      <c r="AC4" s="249" t="inlineStr">
        <is>
          <t>22年8月</t>
        </is>
      </c>
      <c r="AD4" s="249" t="inlineStr">
        <is>
          <t>22年9月</t>
        </is>
      </c>
      <c r="AE4" s="249" t="inlineStr">
        <is>
          <t>22年10月</t>
        </is>
      </c>
      <c r="AF4" s="249" t="inlineStr">
        <is>
          <t>22年11月</t>
        </is>
      </c>
      <c r="AG4" s="249" t="inlineStr">
        <is>
          <t>22年12月</t>
        </is>
      </c>
      <c r="AH4" s="249" t="inlineStr">
        <is>
          <t>23年1月</t>
        </is>
      </c>
      <c r="AI4" s="249" t="inlineStr">
        <is>
          <t>23年2月</t>
        </is>
      </c>
      <c r="AJ4" s="249" t="inlineStr">
        <is>
          <t>23年3月</t>
        </is>
      </c>
      <c r="AK4" s="249" t="inlineStr">
        <is>
          <t>23年4月</t>
        </is>
      </c>
      <c r="AL4" s="249" t="inlineStr">
        <is>
          <t>23年5月</t>
        </is>
      </c>
      <c r="AM4" s="251" t="inlineStr">
        <is>
          <t>23年6月</t>
        </is>
      </c>
      <c r="AN4" s="248" t="inlineStr">
        <is>
          <t>23年7月</t>
        </is>
      </c>
      <c r="AO4" s="249" t="inlineStr">
        <is>
          <t>23年8月</t>
        </is>
      </c>
      <c r="AP4" s="249" t="inlineStr">
        <is>
          <t>23年9月</t>
        </is>
      </c>
      <c r="AQ4" s="249" t="inlineStr">
        <is>
          <t>23年10月</t>
        </is>
      </c>
      <c r="AR4" s="249" t="inlineStr">
        <is>
          <t>23年11月</t>
        </is>
      </c>
      <c r="AS4" s="249" t="inlineStr">
        <is>
          <t>23年12月</t>
        </is>
      </c>
      <c r="AT4" s="249" t="inlineStr">
        <is>
          <t>24年1月</t>
        </is>
      </c>
      <c r="AU4" s="249" t="inlineStr">
        <is>
          <t>24年2月</t>
        </is>
      </c>
      <c r="AV4" s="249" t="inlineStr">
        <is>
          <t>24年3月</t>
        </is>
      </c>
      <c r="AW4" s="249" t="inlineStr">
        <is>
          <t>24年4月</t>
        </is>
      </c>
      <c r="AX4" s="249" t="inlineStr">
        <is>
          <t>24年5月</t>
        </is>
      </c>
      <c r="AY4" s="251" t="inlineStr">
        <is>
          <t>24年6月</t>
        </is>
      </c>
      <c r="AZ4" s="248" t="inlineStr">
        <is>
          <t>24年7月</t>
        </is>
      </c>
      <c r="BA4" s="249" t="inlineStr">
        <is>
          <t>24年8月</t>
        </is>
      </c>
      <c r="BB4" s="249" t="inlineStr">
        <is>
          <t>24年9月</t>
        </is>
      </c>
      <c r="BC4" s="249" t="inlineStr">
        <is>
          <t>24年10月</t>
        </is>
      </c>
      <c r="BD4" s="249" t="inlineStr">
        <is>
          <t>24年11月</t>
        </is>
      </c>
      <c r="BE4" s="249" t="inlineStr">
        <is>
          <t>24年12月</t>
        </is>
      </c>
      <c r="BF4" s="249" t="inlineStr">
        <is>
          <t>25年1月</t>
        </is>
      </c>
      <c r="BG4" s="249" t="inlineStr">
        <is>
          <t>25年2月</t>
        </is>
      </c>
      <c r="BH4" s="249" t="inlineStr">
        <is>
          <t>25年3月</t>
        </is>
      </c>
      <c r="BI4" s="249" t="inlineStr">
        <is>
          <t>25年4月</t>
        </is>
      </c>
      <c r="BJ4" s="249" t="inlineStr">
        <is>
          <t>25年5月</t>
        </is>
      </c>
      <c r="BK4" s="251" t="inlineStr">
        <is>
          <t>25年6月</t>
        </is>
      </c>
      <c r="BL4" s="248" t="inlineStr">
        <is>
          <t>25年7月</t>
        </is>
      </c>
      <c r="BM4" s="249" t="inlineStr">
        <is>
          <t>25年8月</t>
        </is>
      </c>
      <c r="BN4" s="249" t="inlineStr">
        <is>
          <t>25年9月</t>
        </is>
      </c>
      <c r="BO4" s="249" t="inlineStr">
        <is>
          <t>25年10月</t>
        </is>
      </c>
      <c r="BP4" s="249" t="inlineStr">
        <is>
          <t>25年11月</t>
        </is>
      </c>
      <c r="BQ4" s="249" t="inlineStr">
        <is>
          <t>25年12月</t>
        </is>
      </c>
      <c r="BR4" s="249" t="inlineStr">
        <is>
          <t>26年1月</t>
        </is>
      </c>
      <c r="BS4" s="249" t="inlineStr">
        <is>
          <t>26年2月</t>
        </is>
      </c>
      <c r="BT4" s="249" t="inlineStr">
        <is>
          <t>26年3月</t>
        </is>
      </c>
      <c r="BU4" s="249" t="inlineStr">
        <is>
          <t>26年4月</t>
        </is>
      </c>
      <c r="BV4" s="249" t="inlineStr">
        <is>
          <t>26年5月</t>
        </is>
      </c>
      <c r="BW4" s="251" t="inlineStr">
        <is>
          <t>26年6月</t>
        </is>
      </c>
      <c r="BX4" s="248" t="inlineStr">
        <is>
          <t>26年7月</t>
        </is>
      </c>
      <c r="BY4" s="249" t="inlineStr">
        <is>
          <t>26年8月</t>
        </is>
      </c>
      <c r="BZ4" s="249" t="inlineStr">
        <is>
          <t>26年9月</t>
        </is>
      </c>
      <c r="CA4" s="249" t="inlineStr">
        <is>
          <t>26年10月</t>
        </is>
      </c>
      <c r="CB4" s="249" t="inlineStr">
        <is>
          <t>26年11月</t>
        </is>
      </c>
      <c r="CC4" s="249" t="inlineStr">
        <is>
          <t>26年12月</t>
        </is>
      </c>
      <c r="CD4" s="249" t="inlineStr">
        <is>
          <t>27年1月</t>
        </is>
      </c>
      <c r="CE4" s="249" t="inlineStr">
        <is>
          <t>27年2月</t>
        </is>
      </c>
      <c r="CF4" s="249" t="inlineStr">
        <is>
          <t>27年3月</t>
        </is>
      </c>
      <c r="CG4" s="249" t="inlineStr">
        <is>
          <t>27年4月</t>
        </is>
      </c>
      <c r="CH4" s="249" t="inlineStr">
        <is>
          <t>27年5月</t>
        </is>
      </c>
      <c r="CI4" s="251" t="inlineStr">
        <is>
          <t>27年6月</t>
        </is>
      </c>
    </row>
    <row r="5" ht="18" customHeight="1" s="145">
      <c r="A5" s="252" t="inlineStr">
        <is>
          <t>売上高</t>
        </is>
      </c>
      <c r="B5" s="252" t="n"/>
      <c r="C5" s="253" t="inlineStr">
        <is>
          <t>TaXel 全体</t>
        </is>
      </c>
      <c r="D5" s="254" t="inlineStr">
        <is>
          <t>円</t>
        </is>
      </c>
      <c r="E5" s="398">
        <f>SUM(E6:E12)</f>
        <v>23100792.0277175</v>
      </c>
      <c r="F5" s="399">
        <f>SUM(F6:F12)</f>
        <v>107598324.230985</v>
      </c>
      <c r="G5" s="399">
        <f>SUM(G6:G12)</f>
        <v>217984996.625496</v>
      </c>
      <c r="H5" s="399">
        <f>SUM(H6:H12)</f>
        <v>347061203.118584</v>
      </c>
      <c r="I5" s="399">
        <f>SUM(I6:I12)</f>
        <v>502039527.619712</v>
      </c>
      <c r="J5" s="400">
        <f>SUM(E5:I5)</f>
        <v>1197784843.62249</v>
      </c>
      <c r="K5" s="400">
        <f>SUMIF($P$3:$CN$3,K$4,$P5:$CN5)</f>
        <v>0.0</v>
      </c>
      <c r="L5" s="400">
        <f>SUMIF($P$3:$CN$3,L$4,$P5:$CN5)</f>
        <v>0.0</v>
      </c>
      <c r="M5" s="400">
        <f>SUMIF($P$3:$CN$3,M$4,$P5:$CN5)</f>
        <v>0.0</v>
      </c>
      <c r="N5" s="400">
        <f>SUMIF($P$3:$CN$3,N$4,$P5:$CN5)</f>
        <v>0.0</v>
      </c>
      <c r="O5" s="257" t="n"/>
      <c r="P5" s="401">
        <f>SUM(P6)</f>
        <v>0.0</v>
      </c>
      <c r="Q5" s="402">
        <f>SUM(Q6)</f>
        <v>0.0</v>
      </c>
      <c r="R5" s="402">
        <f>SUM(R6)</f>
        <v>0.0</v>
      </c>
      <c r="S5" s="402">
        <f>SUM(S6)</f>
        <v>0.0</v>
      </c>
      <c r="T5" s="402">
        <f>SUM(T6)</f>
        <v>0.0</v>
      </c>
      <c r="U5" s="402">
        <f>SUM(U6)</f>
        <v>0.0</v>
      </c>
      <c r="V5" s="402">
        <f>SUM(V6)</f>
        <v>0.0</v>
      </c>
      <c r="W5" s="402">
        <f>SUM(W6)</f>
        <v>0.0</v>
      </c>
      <c r="X5" s="402">
        <f>SUM(X6)</f>
        <v>0.0</v>
      </c>
      <c r="Y5" s="402">
        <f>SUM(Y6)</f>
        <v>0.0</v>
      </c>
      <c r="Z5" s="402">
        <f>SUM(Z6)</f>
        <v>0.0</v>
      </c>
      <c r="AA5" s="403">
        <f>SUM(AA6)</f>
        <v>0.0</v>
      </c>
      <c r="AB5" s="404">
        <f>SUM(AB6:AB12)</f>
        <v>0.0</v>
      </c>
      <c r="AC5" s="399">
        <f>SUM(AC6:AC12)</f>
        <v>56598.4211422529</v>
      </c>
      <c r="AD5" s="399">
        <f>SUM(AD6:AD12)</f>
        <v>331721.390930672</v>
      </c>
      <c r="AE5" s="399">
        <f>SUM(AE6:AE12)</f>
        <v>601899.766323323</v>
      </c>
      <c r="AF5" s="399">
        <f>SUM(AF6:AF12)</f>
        <v>860371.301708121</v>
      </c>
      <c r="AG5" s="399">
        <f>SUM(AG6:AG12)</f>
        <v>1170767.70752748</v>
      </c>
      <c r="AH5" s="399">
        <f>SUM(AH6:AH12)</f>
        <v>1805576.03523044</v>
      </c>
      <c r="AI5" s="399">
        <f>SUM(AI6:AI12)</f>
        <v>2434908.04637935</v>
      </c>
      <c r="AJ5" s="399">
        <f>SUM(AJ6:AJ12)</f>
        <v>3115471.68844754</v>
      </c>
      <c r="AK5" s="399">
        <f>SUM(AK6:AK12)</f>
        <v>3782906.74017436</v>
      </c>
      <c r="AL5" s="399">
        <f>SUM(AL6:AL12)</f>
        <v>4114274.92586664</v>
      </c>
      <c r="AM5" s="399">
        <f>SUM(AM6:AM12)</f>
        <v>4826296.00398733</v>
      </c>
      <c r="AN5" s="399">
        <f>SUM(AN6:AN12)</f>
        <v>5194621.32804561</v>
      </c>
      <c r="AO5" s="399">
        <f>SUM(AO6:AO12)</f>
        <v>5886323.96562272</v>
      </c>
      <c r="AP5" s="399">
        <f>SUM(AP6:AP12)</f>
        <v>6628134.79159054</v>
      </c>
      <c r="AQ5" s="399">
        <f>SUM(AQ6:AQ12)</f>
        <v>7355716.053539</v>
      </c>
      <c r="AR5" s="399">
        <f>SUM(AR6:AR12)</f>
        <v>7746151.4952485</v>
      </c>
      <c r="AS5" s="399">
        <f>SUM(AS6:AS12)</f>
        <v>8516182.45426606</v>
      </c>
      <c r="AT5" s="399">
        <f>SUM(AT6:AT12)</f>
        <v>9271481.43160327</v>
      </c>
      <c r="AU5" s="399">
        <f>SUM(AU6:AU12)</f>
        <v>10019142.2193937</v>
      </c>
      <c r="AV5" s="399">
        <f>SUM(AV6:AV12)</f>
        <v>10815916.0025706</v>
      </c>
      <c r="AW5" s="399">
        <f>SUM(AW6:AW12)</f>
        <v>11267484.932584</v>
      </c>
      <c r="AX5" s="399">
        <f>SUM(AX6:AX12)</f>
        <v>12040952.2589971</v>
      </c>
      <c r="AY5" s="399">
        <f>SUM(AY6:AY12)</f>
        <v>12856217.2975242</v>
      </c>
      <c r="AZ5" s="399">
        <f>SUM(AZ6:AZ12)</f>
        <v>13711280.2399794</v>
      </c>
      <c r="BA5" s="399">
        <f>SUM(BA6:BA12)</f>
        <v>14222311.1673853</v>
      </c>
      <c r="BB5" s="399">
        <f>SUM(BB6:BB12)</f>
        <v>15112945.3398697</v>
      </c>
      <c r="BC5" s="399">
        <f>SUM(BC6:BC12)</f>
        <v>15989055.4185424</v>
      </c>
      <c r="BD5" s="399">
        <f>SUM(BD6:BD12)</f>
        <v>16864546.8485539</v>
      </c>
      <c r="BE5" s="399">
        <f>SUM(BE6:BE12)</f>
        <v>17775483.1886259</v>
      </c>
      <c r="BF5" s="399">
        <f>SUM(BF6:BF12)</f>
        <v>18685320.0691059</v>
      </c>
      <c r="BG5" s="399">
        <f>SUM(BG6:BG12)</f>
        <v>19250391.0630881</v>
      </c>
      <c r="BH5" s="399">
        <f>SUM(BH6:BH12)</f>
        <v>20194342.5304699</v>
      </c>
      <c r="BI5" s="399">
        <f>SUM(BI6:BI12)</f>
        <v>21123058.0640294</v>
      </c>
      <c r="BJ5" s="399">
        <f>SUM(BJ6:BJ12)</f>
        <v>22043592.7375338</v>
      </c>
      <c r="BK5" s="399">
        <f>SUM(BK6:BK12)</f>
        <v>23012669.9583121</v>
      </c>
      <c r="BL5" s="399">
        <f>SUM(BL6:BL12)</f>
        <v>23636178.4310789</v>
      </c>
      <c r="BM5" s="399">
        <f>SUM(BM6:BM12)</f>
        <v>24581178.2641052</v>
      </c>
      <c r="BN5" s="399">
        <f>SUM(BN6:BN12)</f>
        <v>25567536.6854665</v>
      </c>
      <c r="BO5" s="399">
        <f>SUM(BO6:BO12)</f>
        <v>26544935.391054</v>
      </c>
      <c r="BP5" s="399">
        <f>SUM(BP6:BP12)</f>
        <v>27513511.1757136</v>
      </c>
      <c r="BQ5" s="399">
        <f>SUM(BQ6:BQ12)</f>
        <v>28523136.0240262</v>
      </c>
      <c r="BR5" s="399">
        <f>SUM(BR6:BR12)</f>
        <v>29523496.316301</v>
      </c>
      <c r="BS5" s="399">
        <f>SUM(BS6:BS12)</f>
        <v>30184733.4608086</v>
      </c>
      <c r="BT5" s="399">
        <f>SUM(BT6:BT12)</f>
        <v>31216723.9856387</v>
      </c>
      <c r="BU5" s="399">
        <f>SUM(BU6:BU12)</f>
        <v>32232297.608255</v>
      </c>
      <c r="BV5" s="399">
        <f>SUM(BV6:BV12)</f>
        <v>33245388.2518042</v>
      </c>
      <c r="BW5" s="399">
        <f>SUM(BW6:BW12)</f>
        <v>34292087.5243317</v>
      </c>
      <c r="BX5" s="399">
        <f>SUM(BX6:BX12)</f>
        <v>35461280.4523939</v>
      </c>
      <c r="BY5" s="399">
        <f>SUM(BY6:BY12)</f>
        <v>36615734.0365686</v>
      </c>
      <c r="BZ5" s="399">
        <f>SUM(BZ6:BZ12)</f>
        <v>37812187.6842684</v>
      </c>
      <c r="CA5" s="399">
        <f>SUM(CA6:CA12)</f>
        <v>39000501.7013926</v>
      </c>
      <c r="CB5" s="399">
        <f>SUM(CB6:CB12)</f>
        <v>39850763.0923959</v>
      </c>
      <c r="CC5" s="399">
        <f>SUM(CC6:CC12)</f>
        <v>41079656.3287084</v>
      </c>
      <c r="CD5" s="399">
        <f>SUM(CD6:CD12)</f>
        <v>42293265.3405262</v>
      </c>
      <c r="CE5" s="399">
        <f>SUM(CE6:CE12)</f>
        <v>43498597.8483637</v>
      </c>
      <c r="CF5" s="399">
        <f>SUM(CF6:CF12)</f>
        <v>44745479.4537359</v>
      </c>
      <c r="CG5" s="399">
        <f>SUM(CG6:CG12)</f>
        <v>45983775.0346281</v>
      </c>
      <c r="CH5" s="399">
        <f>SUM(CH6:CH12)</f>
        <v>47213576.120924</v>
      </c>
      <c r="CI5" s="405">
        <f>SUM(CI6:CI12)</f>
        <v>48484710.5258061</v>
      </c>
    </row>
    <row r="6" ht="18" customHeight="1" s="145">
      <c r="A6" s="237" t="n"/>
      <c r="B6" s="237" t="inlineStr">
        <is>
          <t>SaaS事業</t>
        </is>
      </c>
      <c r="C6" s="237" t="inlineStr">
        <is>
          <t>SaaS</t>
        </is>
      </c>
      <c r="D6" s="263" t="n"/>
      <c r="E6" s="219">
        <f>SUMIF($AB$3:$CI$3,E$4,$AB6:$CI6)</f>
        <v>13155039.002765</v>
      </c>
      <c r="F6" s="391">
        <f>SUMIF($AB$3:$CI$3,F$4,$AB6:$CI6)</f>
        <v>54970474.5696967</v>
      </c>
      <c r="G6" s="391">
        <f>SUMIF($AB$3:$CI$3,G$4,$AB6:$CI6)</f>
        <v>113001022.39506</v>
      </c>
      <c r="H6" s="392">
        <f>SUMIF($AB$3:$CI$3,H$4,$AB6:$CI6)</f>
        <v>185629949.11089</v>
      </c>
      <c r="I6" s="220">
        <f>SUMIF($AB$3:$CI$3,I$4,$AB6:$CI6)</f>
        <v>276761272.629352</v>
      </c>
      <c r="J6" s="406">
        <f>SUM(E6:I6)</f>
        <v>643517757.707764</v>
      </c>
      <c r="K6" s="407">
        <f>SUMIF($P$3:$CN$3,K$4,$P6:$CN6)</f>
        <v>0.0</v>
      </c>
      <c r="L6" s="407">
        <f>SUMIF($P$3:$CN$3,L$4,$P6:$CN6)</f>
        <v>0.0</v>
      </c>
      <c r="M6" s="407">
        <f>SUMIF($P$3:$CN$3,M$4,$P6:$CN6)</f>
        <v>0.0</v>
      </c>
      <c r="N6" s="407">
        <f>SUMIF($P$3:$CN$3,N$4,$P6:$CN6)</f>
        <v>0.0</v>
      </c>
      <c r="O6" s="235" t="n"/>
      <c r="P6" s="408" t="n"/>
      <c r="Q6" s="409" t="n"/>
      <c r="R6" s="409" t="n"/>
      <c r="S6" s="409" t="n"/>
      <c r="T6" s="409" t="n"/>
      <c r="U6" s="409" t="n"/>
      <c r="V6" s="409" t="n"/>
      <c r="W6" s="409" t="n"/>
      <c r="X6" s="409" t="n"/>
      <c r="Y6" s="409" t="n"/>
      <c r="Z6" s="409" t="n"/>
      <c r="AA6" s="410" t="n"/>
      <c r="AB6" s="221">
        <f>SaaS!F5</f>
        <v>0.0</v>
      </c>
      <c r="AC6" s="222">
        <f>SaaS!G5</f>
        <v>42876.1461422529</v>
      </c>
      <c r="AD6" s="222">
        <f>SaaS!H5</f>
        <v>256399.353930672</v>
      </c>
      <c r="AE6" s="222">
        <f>SaaS!I5</f>
        <v>465652.097563323</v>
      </c>
      <c r="AF6" s="222">
        <f>SaaS!J5</f>
        <v>670719.786323322</v>
      </c>
      <c r="AG6" s="222">
        <f>SaaS!K5</f>
        <v>914562.267450373</v>
      </c>
      <c r="AH6" s="222">
        <f>SaaS!L5</f>
        <v>1153527.89895488</v>
      </c>
      <c r="AI6" s="222">
        <f>SaaS!M5</f>
        <v>1387714.2178293</v>
      </c>
      <c r="AJ6" s="222">
        <f>SaaS!N5</f>
        <v>1660092.95646849</v>
      </c>
      <c r="AK6" s="222">
        <f>SaaS!O5</f>
        <v>1927024.12033489</v>
      </c>
      <c r="AL6" s="222">
        <f>SaaS!P5</f>
        <v>2188616.66092396</v>
      </c>
      <c r="AM6" s="222">
        <f>SaaS!Q5</f>
        <v>2487853.4968435</v>
      </c>
      <c r="AN6" s="222">
        <f>SaaS!R5</f>
        <v>2781105.59604466</v>
      </c>
      <c r="AO6" s="222">
        <f>SaaS!S5</f>
        <v>3068492.65326179</v>
      </c>
      <c r="AP6" s="222">
        <f>SaaS!T5</f>
        <v>3393008.11547683</v>
      </c>
      <c r="AQ6" s="222">
        <f>SaaS!U5</f>
        <v>3711033.26844757</v>
      </c>
      <c r="AR6" s="222">
        <f>SaaS!V5</f>
        <v>4022697.91835889</v>
      </c>
      <c r="AS6" s="222">
        <f>SaaS!W5</f>
        <v>4371005.42141424</v>
      </c>
      <c r="AT6" s="222">
        <f>SaaS!X5</f>
        <v>4712346.77440849</v>
      </c>
      <c r="AU6" s="222">
        <f>SaaS!Y5</f>
        <v>5046861.30034285</v>
      </c>
      <c r="AV6" s="222">
        <f>SaaS!Z5</f>
        <v>5417561.68190077</v>
      </c>
      <c r="AW6" s="222">
        <f>SaaS!AA5</f>
        <v>5780848.05582754</v>
      </c>
      <c r="AX6" s="222">
        <f>SaaS!AB5</f>
        <v>6136868.70227577</v>
      </c>
      <c r="AY6" s="222">
        <f>SaaS!AC5</f>
        <v>6528645.08193729</v>
      </c>
      <c r="AZ6" s="222">
        <f>SaaS!AD5</f>
        <v>6945229.15941526</v>
      </c>
      <c r="BA6" s="222">
        <f>SaaS!AE5</f>
        <v>7355564.47573107</v>
      </c>
      <c r="BB6" s="222">
        <f>SaaS!AF5</f>
        <v>7802620.90844439</v>
      </c>
      <c r="BC6" s="222">
        <f>SaaS!AG5</f>
        <v>8242971.49466701</v>
      </c>
      <c r="BD6" s="222">
        <f>SaaS!AH5</f>
        <v>8676716.8220963</v>
      </c>
      <c r="BE6" s="222">
        <f>SaaS!AI5</f>
        <v>9146832.11575639</v>
      </c>
      <c r="BF6" s="222">
        <f>SaaS!AJ5</f>
        <v>9609895.68001159</v>
      </c>
      <c r="BG6" s="222">
        <f>SaaS!AK5</f>
        <v>10066013.290803</v>
      </c>
      <c r="BH6" s="222">
        <f>SaaS!AL5</f>
        <v>10558165.2835747</v>
      </c>
      <c r="BI6" s="222">
        <f>SaaS!AM5</f>
        <v>11042934.9964549</v>
      </c>
      <c r="BJ6" s="222">
        <f>SaaS!AN5</f>
        <v>11520433.1636418</v>
      </c>
      <c r="BK6" s="222">
        <f>SaaS!AO5</f>
        <v>12033645.0044633</v>
      </c>
      <c r="BL6" s="222">
        <f>SaaS!AP5</f>
        <v>12539158.6676724</v>
      </c>
      <c r="BM6" s="222">
        <f>SaaS!AQ5</f>
        <v>13037089.6259333</v>
      </c>
      <c r="BN6" s="222">
        <f>SaaS!AR5</f>
        <v>13570427.7659626</v>
      </c>
      <c r="BO6" s="222">
        <f>SaaS!AS5</f>
        <v>14095765.8338915</v>
      </c>
      <c r="BP6" s="222">
        <f>SaaS!AT5</f>
        <v>14613223.8308014</v>
      </c>
      <c r="BQ6" s="222">
        <f>SaaS!AU5</f>
        <v>15165796.1038999</v>
      </c>
      <c r="BR6" s="222">
        <f>SaaS!AV5</f>
        <v>15710079.792902</v>
      </c>
      <c r="BS6" s="222">
        <f>SaaS!AW5</f>
        <v>16246199.226569</v>
      </c>
      <c r="BT6" s="222">
        <f>SaaS!AX5</f>
        <v>16817153.0148733</v>
      </c>
      <c r="BU6" s="222">
        <f>SaaS!AY5</f>
        <v>17379542.496353</v>
      </c>
      <c r="BV6" s="222">
        <f>SaaS!AZ5</f>
        <v>17933496.1356105</v>
      </c>
      <c r="BW6" s="222">
        <f>SaaS!BA5</f>
        <v>18522016.6164214</v>
      </c>
      <c r="BX6" s="222">
        <f>SaaS!BB5</f>
        <v>19194319.3731022</v>
      </c>
      <c r="BY6" s="222">
        <f>SaaS!BC5</f>
        <v>19859899.1022163</v>
      </c>
      <c r="BZ6" s="222">
        <f>SaaS!BD5</f>
        <v>20561699.1801814</v>
      </c>
      <c r="CA6" s="222">
        <f>SaaS!BE5</f>
        <v>21256481.2573669</v>
      </c>
      <c r="CB6" s="222">
        <f>SaaS!BF5</f>
        <v>21944315.5137806</v>
      </c>
      <c r="CC6" s="222">
        <f>SaaS!BG5</f>
        <v>22668147.5737723</v>
      </c>
      <c r="CD6" s="222">
        <f>SaaS!BH5</f>
        <v>23384741.3131642</v>
      </c>
      <c r="CE6" s="222">
        <f>SaaS!BI5</f>
        <v>24094169.1151621</v>
      </c>
      <c r="CF6" s="222">
        <f>SaaS!BJ5</f>
        <v>24839378.7852823</v>
      </c>
      <c r="CG6" s="222">
        <f>SaaS!BK5</f>
        <v>25577136.3587013</v>
      </c>
      <c r="CH6" s="222">
        <f>SaaS!BL5</f>
        <v>26307516.3563861</v>
      </c>
      <c r="CI6" s="223">
        <f>SaaS!BM5</f>
        <v>27073468.7002363</v>
      </c>
    </row>
    <row r="7" ht="18" customHeight="1" s="145">
      <c r="A7" s="237" t="n"/>
      <c r="B7" s="237" t="inlineStr">
        <is>
          <t>コンサルティング事業</t>
        </is>
      </c>
      <c r="C7" s="237" t="inlineStr">
        <is>
          <t>事業・組織再生コンサル</t>
        </is>
      </c>
      <c r="D7" s="269" t="n"/>
      <c r="E7" s="270">
        <f>SUMIF($AB$3:$CI$3,E$4,$AB7:$CI7)</f>
        <v>6270000.0</v>
      </c>
      <c r="F7" s="271">
        <f>SUMIF($AB$3:$CI$3,F$4,$AB7:$CI7)</f>
        <v>37950000.0</v>
      </c>
      <c r="G7" s="271">
        <f>SUMIF($AB$3:$CI$3,G$4,$AB7:$CI7)</f>
        <v>75900000.0</v>
      </c>
      <c r="H7" s="271">
        <f>SUMIF($AB$3:$CI$3,H$4,$AB7:$CI7)</f>
        <v>115170000.0</v>
      </c>
      <c r="I7" s="114">
        <f>SUMIF($AB$3:$CI$3,I$4,$AB7:$CI7)</f>
        <v>157740000.0</v>
      </c>
      <c r="J7" s="407">
        <f>SUM(E7:I7)</f>
        <v>393030000.0</v>
      </c>
      <c r="K7" s="407">
        <f>SUMIF($P$3:$CN$3,K$4,$P7:$CN7)</f>
        <v>0.0</v>
      </c>
      <c r="L7" s="407">
        <f>SUMIF($P$3:$CN$3,L$4,$P7:$CN7)</f>
        <v>0.0</v>
      </c>
      <c r="M7" s="407">
        <f>SUMIF($P$3:$CN$3,M$4,$P7:$CN7)</f>
        <v>0.0</v>
      </c>
      <c r="N7" s="411">
        <f>SUMIF($P$3:$CN$3,N$4,$P7:$CN7)</f>
        <v>0.0</v>
      </c>
      <c r="O7" s="273" t="n"/>
      <c r="P7" s="408" t="n"/>
      <c r="Q7" s="409" t="n"/>
      <c r="R7" s="409" t="n"/>
      <c r="S7" s="409" t="n"/>
      <c r="T7" s="409" t="n"/>
      <c r="U7" s="409" t="n"/>
      <c r="V7" s="409" t="n"/>
      <c r="W7" s="409" t="n"/>
      <c r="X7" s="409" t="n"/>
      <c r="Y7" s="409" t="n"/>
      <c r="Z7" s="409" t="n"/>
      <c r="AA7" s="412" t="n"/>
      <c r="AB7" s="408">
        <f>'事業・組織再生コンサル'!F4</f>
        <v>0.0</v>
      </c>
      <c r="AC7" s="409">
        <f>'事業・組織再生コンサル'!G4</f>
        <v>0.0</v>
      </c>
      <c r="AD7" s="409">
        <f>'事業・組織再生コンサル'!H4</f>
        <v>0.0</v>
      </c>
      <c r="AE7" s="409">
        <f>'事業・組織再生コンサル'!I4</f>
        <v>0.0</v>
      </c>
      <c r="AF7" s="409">
        <f>'事業・組織再生コンサル'!J4</f>
        <v>0.0</v>
      </c>
      <c r="AG7" s="409">
        <f>'事業・組織再生コンサル'!K4</f>
        <v>0.0</v>
      </c>
      <c r="AH7" s="409">
        <f>'事業・組織再生コンサル'!L4</f>
        <v>330000.0</v>
      </c>
      <c r="AI7" s="409">
        <f>'事業・組織再生コンサル'!M4</f>
        <v>660000.0</v>
      </c>
      <c r="AJ7" s="409">
        <f>'事業・組織再生コンサル'!N4</f>
        <v>990000.0</v>
      </c>
      <c r="AK7" s="409">
        <f>'事業・組織再生コンサル'!O4</f>
        <v>1320000.0</v>
      </c>
      <c r="AL7" s="409">
        <f>'事業・組織再生コンサル'!P4</f>
        <v>1320000.0</v>
      </c>
      <c r="AM7" s="412">
        <f>'事業・組織再生コンサル'!Q4</f>
        <v>1650000.0</v>
      </c>
      <c r="AN7" s="408">
        <f>'事業・組織再生コンサル'!R4</f>
        <v>1650000.0</v>
      </c>
      <c r="AO7" s="409">
        <f>'事業・組織再生コンサル'!S4</f>
        <v>1980000.0</v>
      </c>
      <c r="AP7" s="409">
        <f>'事業・組織再生コンサル'!T4</f>
        <v>2310000.0</v>
      </c>
      <c r="AQ7" s="409">
        <f>'事業・組織再生コンサル'!U4</f>
        <v>2640000.0</v>
      </c>
      <c r="AR7" s="409">
        <f>'事業・組織再生コンサル'!V4</f>
        <v>2640000.0</v>
      </c>
      <c r="AS7" s="409">
        <f>'事業・組織再生コンサル'!W4</f>
        <v>2970000.0</v>
      </c>
      <c r="AT7" s="409">
        <f>'事業・組織再生コンサル'!X4</f>
        <v>3300000.0</v>
      </c>
      <c r="AU7" s="409">
        <f>'事業・組織再生コンサル'!Y4</f>
        <v>3630000.0</v>
      </c>
      <c r="AV7" s="409">
        <f>'事業・組織再生コンサル'!Z4</f>
        <v>3960000.0</v>
      </c>
      <c r="AW7" s="409">
        <f>'事業・組織再生コンサル'!AA4</f>
        <v>3960000.0</v>
      </c>
      <c r="AX7" s="409">
        <f>'事業・組織再生コンサル'!AB4</f>
        <v>4290000.0</v>
      </c>
      <c r="AY7" s="409">
        <f>'事業・組織再生コンサル'!AC4</f>
        <v>4620000.0</v>
      </c>
      <c r="AZ7" s="408">
        <f>'事業・組織再生コンサル'!AD4</f>
        <v>4950000.0</v>
      </c>
      <c r="BA7" s="409">
        <f>'事業・組織再生コンサル'!AE4</f>
        <v>4950000.0</v>
      </c>
      <c r="BB7" s="409">
        <f>'事業・組織再生コンサル'!AF4</f>
        <v>5280000.0</v>
      </c>
      <c r="BC7" s="409">
        <f>'事業・組織再生コンサル'!AG4</f>
        <v>5610000.0</v>
      </c>
      <c r="BD7" s="409">
        <f>'事業・組織再生コンサル'!AH4</f>
        <v>5940000.0</v>
      </c>
      <c r="BE7" s="409">
        <f>'事業・組織再生コンサル'!AI4</f>
        <v>6270000.0</v>
      </c>
      <c r="BF7" s="409">
        <f>'事業・組織再生コンサル'!AJ4</f>
        <v>6600000.0</v>
      </c>
      <c r="BG7" s="409">
        <f>'事業・組織再生コンサル'!AK4</f>
        <v>6600000.0</v>
      </c>
      <c r="BH7" s="409">
        <f>'事業・組織再生コンサル'!AL4</f>
        <v>6930000.0</v>
      </c>
      <c r="BI7" s="409">
        <f>'事業・組織再生コンサル'!AM4</f>
        <v>7260000.0</v>
      </c>
      <c r="BJ7" s="409">
        <f>'事業・組織再生コンサル'!AN4</f>
        <v>7590000.0</v>
      </c>
      <c r="BK7" s="409">
        <f>'事業・組織再生コンサル'!AO4</f>
        <v>7920000.0</v>
      </c>
      <c r="BL7" s="408">
        <f>'事業・組織再生コンサル'!AP4</f>
        <v>7920000.0</v>
      </c>
      <c r="BM7" s="409">
        <f>'事業・組織再生コンサル'!AQ4</f>
        <v>8250000.0</v>
      </c>
      <c r="BN7" s="409">
        <f>'事業・組織再生コンサル'!AR4</f>
        <v>8580000.0</v>
      </c>
      <c r="BO7" s="409">
        <f>'事業・組織再生コンサル'!AS4</f>
        <v>8910000.0</v>
      </c>
      <c r="BP7" s="409">
        <f>'事業・組織再生コンサル'!AT4</f>
        <v>9240000.0</v>
      </c>
      <c r="BQ7" s="409">
        <f>'事業・組織再生コンサル'!AU4</f>
        <v>9570000.0</v>
      </c>
      <c r="BR7" s="409">
        <f>'事業・組織再生コンサル'!AV4</f>
        <v>9900000.0</v>
      </c>
      <c r="BS7" s="409">
        <f>'事業・組織再生コンサル'!AW4</f>
        <v>9900000.0</v>
      </c>
      <c r="BT7" s="409">
        <f>'事業・組織再生コンサル'!AX4</f>
        <v>10230000.0</v>
      </c>
      <c r="BU7" s="409">
        <f>'事業・組織再生コンサル'!AY4</f>
        <v>10560000.0</v>
      </c>
      <c r="BV7" s="409">
        <f>'事業・組織再生コンサル'!AZ4</f>
        <v>10890000.0</v>
      </c>
      <c r="BW7" s="409">
        <f>'事業・組織再生コンサル'!BA4</f>
        <v>11220000.0</v>
      </c>
      <c r="BX7" s="408">
        <f>'事業・組織再生コンサル'!BB4</f>
        <v>11550000.0</v>
      </c>
      <c r="BY7" s="409">
        <f>'事業・組織再生コンサル'!BC4</f>
        <v>11880000.0</v>
      </c>
      <c r="BZ7" s="409">
        <f>'事業・組織再生コンサル'!BD4</f>
        <v>12210000.0</v>
      </c>
      <c r="CA7" s="409">
        <f>'事業・組織再生コンサル'!BE4</f>
        <v>12540000.0</v>
      </c>
      <c r="CB7" s="409">
        <f>'事業・組織再生コンサル'!BF4</f>
        <v>12540000.0</v>
      </c>
      <c r="CC7" s="409">
        <f>'事業・組織再生コンサル'!BG4</f>
        <v>12870000.0</v>
      </c>
      <c r="CD7" s="409">
        <f>'事業・組織再生コンサル'!BH4</f>
        <v>13200000.0</v>
      </c>
      <c r="CE7" s="409">
        <f>'事業・組織再生コンサル'!BI4</f>
        <v>13530000.0</v>
      </c>
      <c r="CF7" s="409">
        <f>'事業・組織再生コンサル'!BJ4</f>
        <v>13860000.0</v>
      </c>
      <c r="CG7" s="409">
        <f>'事業・組織再生コンサル'!BK4</f>
        <v>14190000.0</v>
      </c>
      <c r="CH7" s="409">
        <f>'事業・組織再生コンサル'!BL4</f>
        <v>14520000.0</v>
      </c>
      <c r="CI7" s="413">
        <f>'事業・組織再生コンサル'!BM4</f>
        <v>14850000.0</v>
      </c>
    </row>
    <row r="8" ht="18" customHeight="1" s="145">
      <c r="A8" s="237" t="n"/>
      <c r="B8" s="237" t="inlineStr">
        <is>
          <t>紹介事業</t>
        </is>
      </c>
      <c r="C8" s="237" t="inlineStr">
        <is>
          <t>ビジとり</t>
        </is>
      </c>
      <c r="D8" s="269" t="n"/>
      <c r="E8" s="408">
        <f>SUMIF($AB$3:$CI$3,E$4,$AB8:$CI8)</f>
        <v>503095.67182685</v>
      </c>
      <c r="F8" s="409">
        <f>SUMIF($AB$3:$CI$3,F$4,$AB8:$CI8)</f>
        <v>1927248.60086428</v>
      </c>
      <c r="G8" s="409">
        <f>SUMIF($AB$3:$CI$3,G$4,$AB8:$CI8)</f>
        <v>3683881.95018515</v>
      </c>
      <c r="H8" s="409">
        <f>SUMIF($AB$3:$CI$3,H$4,$AB8:$CI8)</f>
        <v>5663952.77568019</v>
      </c>
      <c r="I8" s="409">
        <f>SUMIF($AB$3:$CI$3,I$4,$AB8:$CI8)</f>
        <v>8073839.79106982</v>
      </c>
      <c r="J8" s="407">
        <f>SUM(E8:I8)</f>
        <v>19852018.7896263</v>
      </c>
      <c r="K8" s="407">
        <f>SUMIF($P$3:$CN$3,K$4,$P8:$CN8)</f>
        <v>0.0</v>
      </c>
      <c r="L8" s="407">
        <f>SUMIF($P$3:$CN$3,L$4,$P8:$CN8)</f>
        <v>0.0</v>
      </c>
      <c r="M8" s="407">
        <f>SUMIF($P$3:$CN$3,M$4,$P8:$CN8)</f>
        <v>0.0</v>
      </c>
      <c r="N8" s="407">
        <f>SUMIF($P$3:$CN$3,N$4,$P8:$CN8)</f>
        <v>0.0</v>
      </c>
      <c r="O8" s="235" t="n"/>
      <c r="P8" s="408" t="n"/>
      <c r="Q8" s="409" t="n"/>
      <c r="R8" s="409" t="n"/>
      <c r="S8" s="409" t="n"/>
      <c r="T8" s="409" t="n"/>
      <c r="U8" s="409" t="n"/>
      <c r="V8" s="409" t="n"/>
      <c r="W8" s="409" t="n"/>
      <c r="X8" s="409" t="n"/>
      <c r="Y8" s="409" t="n"/>
      <c r="Z8" s="409" t="n"/>
      <c r="AA8" s="412" t="n"/>
      <c r="AB8" s="408">
        <f>ビジとり!F5</f>
        <v>0.0</v>
      </c>
      <c r="AC8" s="409">
        <f>ビジとり!G5</f>
        <v>1929.375</v>
      </c>
      <c r="AD8" s="409">
        <f>ビジとり!H5</f>
        <v>10572.975</v>
      </c>
      <c r="AE8" s="409">
        <f>ビジとり!I5</f>
        <v>19043.703</v>
      </c>
      <c r="AF8" s="409">
        <f>ビジとり!J5</f>
        <v>26380.32894</v>
      </c>
      <c r="AG8" s="409">
        <f>ビジとり!K5</f>
        <v>35499.5973612</v>
      </c>
      <c r="AH8" s="409">
        <f>ビジとり!L5</f>
        <v>44436.480413976</v>
      </c>
      <c r="AI8" s="409">
        <f>ビジとり!M5</f>
        <v>53194.6258056965</v>
      </c>
      <c r="AJ8" s="409">
        <f>ビジとり!N5</f>
        <v>63706.9832895825</v>
      </c>
      <c r="AK8" s="409">
        <f>ビジとり!O5</f>
        <v>73044.4061237909</v>
      </c>
      <c r="AL8" s="409">
        <f>ビジとり!P5</f>
        <v>82195.0805013151</v>
      </c>
      <c r="AM8" s="412">
        <f>ビジとり!Q5</f>
        <v>93092.1163912888</v>
      </c>
      <c r="AN8" s="408">
        <f>ビジとり!R5</f>
        <v>102806.524063463</v>
      </c>
      <c r="AO8" s="409">
        <f>ビジとり!S5</f>
        <v>112326.643582194</v>
      </c>
      <c r="AP8" s="409">
        <f>ビジとり!T5</f>
        <v>123585.73571055</v>
      </c>
      <c r="AQ8" s="409">
        <f>ビジとり!U5</f>
        <v>133654.958496339</v>
      </c>
      <c r="AR8" s="409">
        <f>ビジとり!V5</f>
        <v>143522.796826412</v>
      </c>
      <c r="AS8" s="409">
        <f>ビジとり!W5</f>
        <v>155122.653389884</v>
      </c>
      <c r="AT8" s="409">
        <f>ビジとり!X5</f>
        <v>165525.825322086</v>
      </c>
      <c r="AU8" s="409">
        <f>ビジとり!Y5</f>
        <v>175720.933815644</v>
      </c>
      <c r="AV8" s="409">
        <f>ビジとり!Z5</f>
        <v>187641.515139332</v>
      </c>
      <c r="AW8" s="409">
        <f>ビジとり!AA5</f>
        <v>198358.997336545</v>
      </c>
      <c r="AX8" s="409">
        <f>ビジとり!AB5</f>
        <v>208862.129889814</v>
      </c>
      <c r="AY8" s="412">
        <f>ビジとり!AC5</f>
        <v>220119.887292018</v>
      </c>
      <c r="AZ8" s="408">
        <f>ビジとり!AD5</f>
        <v>233632.164264407</v>
      </c>
      <c r="BA8" s="409">
        <f>ビジとり!AE5</f>
        <v>245943.28888978</v>
      </c>
      <c r="BB8" s="409">
        <f>ビジとり!AF5</f>
        <v>259968.343834209</v>
      </c>
      <c r="BC8" s="409">
        <f>ビジとり!AG5</f>
        <v>272783.27281711</v>
      </c>
      <c r="BD8" s="409">
        <f>ビジとり!AH5</f>
        <v>286338.628042811</v>
      </c>
      <c r="BE8" s="409">
        <f>ビジとり!AI5</f>
        <v>299656.764552062</v>
      </c>
      <c r="BF8" s="409">
        <f>ビジとり!AJ5</f>
        <v>313706.521172401</v>
      </c>
      <c r="BG8" s="409">
        <f>ビジとり!AK5</f>
        <v>326545.719551884</v>
      </c>
      <c r="BH8" s="409">
        <f>ビジとり!AL5</f>
        <v>341089.606959726</v>
      </c>
      <c r="BI8" s="409">
        <f>ビジとり!AM5</f>
        <v>354414.288837931</v>
      </c>
      <c r="BJ8" s="409">
        <f>ビジとり!AN5</f>
        <v>367505.788783267</v>
      </c>
      <c r="BK8" s="412">
        <f>ビジとり!AO5</f>
        <v>382297.562479559</v>
      </c>
      <c r="BL8" s="408">
        <f>ビジとり!AP5</f>
        <v>395865.792636167</v>
      </c>
      <c r="BM8" s="409">
        <f>ビジとり!AQ5</f>
        <v>409196.578765034</v>
      </c>
      <c r="BN8" s="409">
        <f>ビジとり!AR5</f>
        <v>423258.763636646</v>
      </c>
      <c r="BO8" s="409">
        <f>ビジとり!AS5</f>
        <v>437074.860273005</v>
      </c>
      <c r="BP8" s="409">
        <f>ビジとり!AT5</f>
        <v>450649.175218227</v>
      </c>
      <c r="BQ8" s="409">
        <f>ビジとり!AU5</f>
        <v>464950.627151908</v>
      </c>
      <c r="BR8" s="409">
        <f>ビジとり!AV5</f>
        <v>479001.80367675</v>
      </c>
      <c r="BS8" s="409">
        <f>ビジとり!AW5</f>
        <v>492807.084612407</v>
      </c>
      <c r="BT8" s="409">
        <f>ビジとり!AX5</f>
        <v>507335.46063169</v>
      </c>
      <c r="BU8" s="409">
        <f>ビジとり!AY5</f>
        <v>520644.902570635</v>
      </c>
      <c r="BV8" s="409">
        <f>ビジとり!AZ5</f>
        <v>534686.116775649</v>
      </c>
      <c r="BW8" s="412">
        <f>ビジとり!BA5</f>
        <v>548481.609732075</v>
      </c>
      <c r="BX8" s="408">
        <f>ビジとり!BB5</f>
        <v>568230.323086094</v>
      </c>
      <c r="BY8" s="409">
        <f>ビジとり!BC5</f>
        <v>586718.118239802</v>
      </c>
      <c r="BZ8" s="409">
        <f>ビジとり!BD5</f>
        <v>605893.283966205</v>
      </c>
      <c r="CA8" s="409">
        <f>ビジとり!BE5</f>
        <v>624780.822206713</v>
      </c>
      <c r="CB8" s="409">
        <f>ビジとり!BF5</f>
        <v>643385.047373612</v>
      </c>
      <c r="CC8" s="409">
        <f>ビジとり!BG5</f>
        <v>663639.584163007</v>
      </c>
      <c r="CD8" s="409">
        <f>ビジとり!BH5</f>
        <v>682625.615400562</v>
      </c>
      <c r="CE8" s="409">
        <f>ビジとり!BI5</f>
        <v>701326.856169554</v>
      </c>
      <c r="CF8" s="409">
        <f>ビジとり!BJ5</f>
        <v>720712.265827011</v>
      </c>
      <c r="CG8" s="409">
        <f>ビジとり!BK5</f>
        <v>739806.894339606</v>
      </c>
      <c r="CH8" s="409">
        <f>ビジとり!BL5</f>
        <v>758615.103424511</v>
      </c>
      <c r="CI8" s="412">
        <f>ビジとり!BM5</f>
        <v>778105.876873144</v>
      </c>
    </row>
    <row r="9" ht="18" customHeight="1" s="145">
      <c r="A9" s="237" t="n"/>
      <c r="B9" s="237" t="inlineStr">
        <is>
          <t>紹介事業</t>
        </is>
      </c>
      <c r="C9" s="237" t="inlineStr">
        <is>
          <t>支払い.com</t>
        </is>
      </c>
      <c r="D9" s="269" t="n"/>
      <c r="E9" s="408">
        <f>SUMIF($AB$3:$CI$3,E$4,$AB9:$CI9)</f>
        <v>1036460.25</v>
      </c>
      <c r="F9" s="409">
        <f>SUMIF($AB$3:$CI$3,F$4,$AB9:$CI9)</f>
        <v>4331391.75</v>
      </c>
      <c r="G9" s="409">
        <f>SUMIF($AB$3:$CI$3,G$4,$AB9:$CI9)</f>
        <v>8900813.25</v>
      </c>
      <c r="H9" s="409">
        <f>SUMIF($AB$3:$CI$3,H$4,$AB9:$CI9)</f>
        <v>14619150.0</v>
      </c>
      <c r="I9" s="409">
        <f>SUMIF($AB$3:$CI$3,I$4,$AB9:$CI9)</f>
        <v>21803150.25</v>
      </c>
      <c r="J9" s="407">
        <f>SUM(E9:I9)</f>
        <v>50690965.5</v>
      </c>
      <c r="K9" s="407">
        <f>SUMIF($P$3:$CN$3,K$4,$P9:$CN9)</f>
        <v>0.0</v>
      </c>
      <c r="L9" s="407">
        <f>SUMIF($P$3:$CN$3,L$4,$P9:$CN9)</f>
        <v>0.0</v>
      </c>
      <c r="M9" s="407">
        <f>SUMIF($P$3:$CN$3,M$4,$P9:$CN9)</f>
        <v>0.0</v>
      </c>
      <c r="N9" s="407">
        <f>SUMIF($P$3:$CN$3,N$4,$P9:$CN9)</f>
        <v>0.0</v>
      </c>
      <c r="O9" s="235" t="n"/>
      <c r="P9" s="408" t="n"/>
      <c r="Q9" s="409" t="n"/>
      <c r="R9" s="409" t="n"/>
      <c r="S9" s="409" t="n"/>
      <c r="T9" s="409" t="n"/>
      <c r="U9" s="409" t="n"/>
      <c r="V9" s="409" t="n"/>
      <c r="W9" s="409" t="n"/>
      <c r="X9" s="409" t="n"/>
      <c r="Y9" s="409" t="n"/>
      <c r="Z9" s="409" t="n"/>
      <c r="AA9" s="412" t="n"/>
      <c r="AB9" s="408">
        <f>'支払い.com'!F5</f>
        <v>0.0</v>
      </c>
      <c r="AC9" s="409">
        <f>'支払い.com'!G5</f>
        <v>3748.5</v>
      </c>
      <c r="AD9" s="409">
        <f>'支払い.com'!H5</f>
        <v>20616.75</v>
      </c>
      <c r="AE9" s="409">
        <f>'支払い.com'!I5</f>
        <v>37485.0</v>
      </c>
      <c r="AF9" s="409">
        <f>'支払い.com'!J5</f>
        <v>52479.0</v>
      </c>
      <c r="AG9" s="409">
        <f>'支払い.com'!K5</f>
        <v>71221.5</v>
      </c>
      <c r="AH9" s="409">
        <f>'支払い.com'!L5</f>
        <v>89964.0</v>
      </c>
      <c r="AI9" s="409">
        <f>'支払い.com'!M5</f>
        <v>108706.5</v>
      </c>
      <c r="AJ9" s="409">
        <f>'支払い.com'!N5</f>
        <v>131197.5</v>
      </c>
      <c r="AK9" s="409">
        <f>'支払い.com'!O5</f>
        <v>151814.25</v>
      </c>
      <c r="AL9" s="409">
        <f>'支払い.com'!P5</f>
        <v>172431.0</v>
      </c>
      <c r="AM9" s="412">
        <f>'支払い.com'!Q5</f>
        <v>196796.25</v>
      </c>
      <c r="AN9" s="408">
        <f>'支払い.com'!R5</f>
        <v>219287.25</v>
      </c>
      <c r="AO9" s="409">
        <f>'支払い.com'!S5</f>
        <v>241778.25</v>
      </c>
      <c r="AP9" s="409">
        <f>'支払い.com'!T5</f>
        <v>268017.75</v>
      </c>
      <c r="AQ9" s="409">
        <f>'支払い.com'!U5</f>
        <v>292383.0</v>
      </c>
      <c r="AR9" s="409">
        <f>'支払い.com'!V5</f>
        <v>316748.25</v>
      </c>
      <c r="AS9" s="409">
        <f>'支払い.com'!W5</f>
        <v>344862.0</v>
      </c>
      <c r="AT9" s="409">
        <f>'支払い.com'!X5</f>
        <v>371101.5</v>
      </c>
      <c r="AU9" s="409">
        <f>'支払い.com'!Y5</f>
        <v>397341.0</v>
      </c>
      <c r="AV9" s="409">
        <f>'支払い.com'!Z5</f>
        <v>427329.0</v>
      </c>
      <c r="AW9" s="409">
        <f>'支払い.com'!AA5</f>
        <v>455442.75</v>
      </c>
      <c r="AX9" s="409">
        <f>'支払い.com'!AB5</f>
        <v>483556.5</v>
      </c>
      <c r="AY9" s="412">
        <f>'支払い.com'!AC5</f>
        <v>513544.5</v>
      </c>
      <c r="AZ9" s="408">
        <f>'支払い.com'!AD5</f>
        <v>547281.0</v>
      </c>
      <c r="BA9" s="409">
        <f>'支払い.com'!AE5</f>
        <v>579143.25</v>
      </c>
      <c r="BB9" s="409">
        <f>'支払い.com'!AF5</f>
        <v>614754.0</v>
      </c>
      <c r="BC9" s="409">
        <f>'支払い.com'!AG5</f>
        <v>648490.5</v>
      </c>
      <c r="BD9" s="409">
        <f>'支払い.com'!AH5</f>
        <v>684101.25</v>
      </c>
      <c r="BE9" s="409">
        <f>'支払い.com'!AI5</f>
        <v>719712.0</v>
      </c>
      <c r="BF9" s="409">
        <f>'支払い.com'!AJ5</f>
        <v>757197.0</v>
      </c>
      <c r="BG9" s="409">
        <f>'支払い.com'!AK5</f>
        <v>792807.75</v>
      </c>
      <c r="BH9" s="409">
        <f>'支払い.com'!AL5</f>
        <v>832167.0</v>
      </c>
      <c r="BI9" s="409">
        <f>'支払い.com'!AM5</f>
        <v>869652.0</v>
      </c>
      <c r="BJ9" s="409">
        <f>'支払い.com'!AN5</f>
        <v>907137.0</v>
      </c>
      <c r="BK9" s="412">
        <f>'支払い.com'!AO5</f>
        <v>948370.5</v>
      </c>
      <c r="BL9" s="408">
        <f>'支払い.com'!AP5</f>
        <v>987729.75</v>
      </c>
      <c r="BM9" s="409">
        <f>'支払い.com'!AQ5</f>
        <v>1027089.0</v>
      </c>
      <c r="BN9" s="409">
        <f>'支払い.com'!AR5</f>
        <v>1068322.5</v>
      </c>
      <c r="BO9" s="409">
        <f>'支払い.com'!AS5</f>
        <v>1109556.0</v>
      </c>
      <c r="BP9" s="409">
        <f>'支払い.com'!AT5</f>
        <v>1150789.5</v>
      </c>
      <c r="BQ9" s="409">
        <f>'支払い.com'!AU5</f>
        <v>1193897.25</v>
      </c>
      <c r="BR9" s="409">
        <f>'支払い.com'!AV5</f>
        <v>1237005.0</v>
      </c>
      <c r="BS9" s="409">
        <f>'支払い.com'!AW5</f>
        <v>1280112.75</v>
      </c>
      <c r="BT9" s="409">
        <f>'支払い.com'!AX5</f>
        <v>1325094.75</v>
      </c>
      <c r="BU9" s="409">
        <f>'支払い.com'!AY5</f>
        <v>1368202.5</v>
      </c>
      <c r="BV9" s="409">
        <f>'支払い.com'!AZ5</f>
        <v>1413184.5</v>
      </c>
      <c r="BW9" s="412">
        <f>'支払い.com'!BA5</f>
        <v>1458166.5</v>
      </c>
      <c r="BX9" s="408">
        <f>'支払い.com'!BB5</f>
        <v>1512519.75</v>
      </c>
      <c r="BY9" s="409">
        <f>'支払い.com'!BC5</f>
        <v>1564998.75</v>
      </c>
      <c r="BZ9" s="409">
        <f>'支払い.com'!BD5</f>
        <v>1619352.0</v>
      </c>
      <c r="CA9" s="409">
        <f>'支払い.com'!BE5</f>
        <v>1673705.25</v>
      </c>
      <c r="CB9" s="409">
        <f>'支払い.com'!BF5</f>
        <v>1728058.5</v>
      </c>
      <c r="CC9" s="409">
        <f>'支払い.com'!BG5</f>
        <v>1786160.25</v>
      </c>
      <c r="CD9" s="409">
        <f>'支払い.com'!BH5</f>
        <v>1842387.75</v>
      </c>
      <c r="CE9" s="409">
        <f>'支払い.com'!BI5</f>
        <v>1898615.25</v>
      </c>
      <c r="CF9" s="409">
        <f>'支払い.com'!BJ5</f>
        <v>1956717.0</v>
      </c>
      <c r="CG9" s="409">
        <f>'支払い.com'!BK5</f>
        <v>2014818.75</v>
      </c>
      <c r="CH9" s="409">
        <f>'支払い.com'!BL5</f>
        <v>2072920.5</v>
      </c>
      <c r="CI9" s="412">
        <f>'支払い.com'!BM5</f>
        <v>2132896.5</v>
      </c>
    </row>
    <row r="10" ht="18" customHeight="1" s="145">
      <c r="A10" s="237" t="n"/>
      <c r="B10" s="276" t="inlineStr">
        <is>
          <t>仲介事業</t>
        </is>
      </c>
      <c r="C10" s="237" t="inlineStr">
        <is>
          <t>プライペートバンク仲介</t>
        </is>
      </c>
      <c r="D10" s="277" t="n"/>
      <c r="E10" s="414">
        <f>SUMIF($AB$3:$CI$3,E$4,$AB10:$CI10)</f>
        <v>473115.276689413</v>
      </c>
      <c r="F10" s="415">
        <f>SUMIF($AB$3:$CI$3,F$4,$AB10:$CI10)</f>
        <v>1812400.31689441</v>
      </c>
      <c r="G10" s="415">
        <f>SUMIF($AB$3:$CI$3,G$4,$AB10:$CI10)</f>
        <v>3464352.65845983</v>
      </c>
      <c r="H10" s="415">
        <f>SUMIF($AB$3:$CI$3,H$4,$AB10:$CI10)</f>
        <v>5326427.42659885</v>
      </c>
      <c r="I10" s="415">
        <f>SUMIF($AB$3:$CI$3,I$4,$AB10:$CI10)</f>
        <v>7592704.84841832</v>
      </c>
      <c r="J10" s="416">
        <f>SUM(E10:I10)</f>
        <v>18669000.5270608</v>
      </c>
      <c r="K10" s="416">
        <f>SUMIF($P$3:$CN$3,K$4,$P10:$CN10)</f>
        <v>0.0</v>
      </c>
      <c r="L10" s="416">
        <f>SUMIF($P$3:$CN$3,L$4,$P10:$CN10)</f>
        <v>0.0</v>
      </c>
      <c r="M10" s="416">
        <f>SUMIF($P$3:$CN$3,M$4,$P10:$CN10)</f>
        <v>0.0</v>
      </c>
      <c r="N10" s="416">
        <f>SUMIF($P$3:$CN$3,N$4,$P10:$CN10)</f>
        <v>0.0</v>
      </c>
      <c r="O10" s="235" t="n"/>
      <c r="P10" s="414" t="n"/>
      <c r="Q10" s="415" t="n"/>
      <c r="R10" s="415" t="n"/>
      <c r="S10" s="415" t="n"/>
      <c r="T10" s="415" t="n"/>
      <c r="U10" s="415" t="n"/>
      <c r="V10" s="415" t="n"/>
      <c r="W10" s="415" t="n"/>
      <c r="X10" s="415" t="n"/>
      <c r="Y10" s="415" t="n"/>
      <c r="Z10" s="415" t="n"/>
      <c r="AA10" s="417" t="n"/>
      <c r="AB10" s="414">
        <f>PB!F5</f>
        <v>0.0</v>
      </c>
      <c r="AC10" s="415">
        <f>PB!G5</f>
        <v>1814.4</v>
      </c>
      <c r="AD10" s="415">
        <f>PB!H5</f>
        <v>9942.912</v>
      </c>
      <c r="AE10" s="415">
        <f>PB!I5</f>
        <v>17908.85376</v>
      </c>
      <c r="AF10" s="415">
        <f>PB!J5</f>
        <v>24808.2766848</v>
      </c>
      <c r="AG10" s="415">
        <f>PB!K5</f>
        <v>33384.111151104</v>
      </c>
      <c r="AH10" s="415">
        <f>PB!L5</f>
        <v>41788.4289280819</v>
      </c>
      <c r="AI10" s="415">
        <f>PB!M5</f>
        <v>50024.6603495203</v>
      </c>
      <c r="AJ10" s="415">
        <f>PB!N5</f>
        <v>59910.5671425299</v>
      </c>
      <c r="AK10" s="415">
        <f>PB!O5</f>
        <v>68691.5557996793</v>
      </c>
      <c r="AL10" s="415">
        <f>PB!P5</f>
        <v>77296.9246836857</v>
      </c>
      <c r="AM10" s="417">
        <f>PB!Q5</f>
        <v>87544.586190012</v>
      </c>
      <c r="AN10" s="414">
        <f>PB!R5</f>
        <v>96680.0944662118</v>
      </c>
      <c r="AO10" s="415">
        <f>PB!S5</f>
        <v>105632.892576888</v>
      </c>
      <c r="AP10" s="415">
        <f>PB!T5</f>
        <v>116221.03472535</v>
      </c>
      <c r="AQ10" s="415">
        <f>PB!U5</f>
        <v>125690.214030843</v>
      </c>
      <c r="AR10" s="415">
        <f>PB!V5</f>
        <v>134970.009750226</v>
      </c>
      <c r="AS10" s="415">
        <f>PB!W5</f>
        <v>145878.609555221</v>
      </c>
      <c r="AT10" s="415">
        <f>PB!X5</f>
        <v>155661.837364117</v>
      </c>
      <c r="AU10" s="415">
        <f>PB!Y5</f>
        <v>165249.400616835</v>
      </c>
      <c r="AV10" s="415">
        <f>PB!Z5</f>
        <v>176459.612604498</v>
      </c>
      <c r="AW10" s="415">
        <f>PB!AA5</f>
        <v>186538.420352408</v>
      </c>
      <c r="AX10" s="415">
        <f>PB!AB5</f>
        <v>196415.65194536</v>
      </c>
      <c r="AY10" s="417">
        <f>PB!AC5</f>
        <v>207002.538906453</v>
      </c>
      <c r="AZ10" s="414">
        <f>PB!AD5</f>
        <v>219709.59447559</v>
      </c>
      <c r="BA10" s="415">
        <f>PB!AE5</f>
        <v>231287.076572267</v>
      </c>
      <c r="BB10" s="415">
        <f>PB!AF5</f>
        <v>244476.352732252</v>
      </c>
      <c r="BC10" s="415">
        <f>PB!AG5</f>
        <v>256527.616559438</v>
      </c>
      <c r="BD10" s="415">
        <f>PB!AH5</f>
        <v>269275.183269648</v>
      </c>
      <c r="BE10" s="415">
        <f>PB!AI5</f>
        <v>281799.667562429</v>
      </c>
      <c r="BF10" s="415">
        <f>PB!AJ5</f>
        <v>295012.173380086</v>
      </c>
      <c r="BG10" s="415">
        <f>PB!AK5</f>
        <v>307086.260345935</v>
      </c>
      <c r="BH10" s="415">
        <f>PB!AL5</f>
        <v>320763.450789881</v>
      </c>
      <c r="BI10" s="415">
        <f>PB!AM5</f>
        <v>333294.090401058</v>
      </c>
      <c r="BJ10" s="415">
        <f>PB!AN5</f>
        <v>345605.443819039</v>
      </c>
      <c r="BK10" s="417">
        <f>PB!AO5</f>
        <v>359515.748552206</v>
      </c>
      <c r="BL10" s="414">
        <f>PB!AP5</f>
        <v>372275.422952543</v>
      </c>
      <c r="BM10" s="415">
        <f>PB!AQ5</f>
        <v>384811.803050873</v>
      </c>
      <c r="BN10" s="415">
        <f>PB!AR5</f>
        <v>398035.996497483</v>
      </c>
      <c r="BO10" s="415">
        <f>PB!AS5</f>
        <v>411028.766558777</v>
      </c>
      <c r="BP10" s="415">
        <f>PB!AT5</f>
        <v>423794.163143998</v>
      </c>
      <c r="BQ10" s="415">
        <f>PB!AU5</f>
        <v>437243.365288978</v>
      </c>
      <c r="BR10" s="415">
        <f>PB!AV5</f>
        <v>450457.206396421</v>
      </c>
      <c r="BS10" s="415">
        <f>PB!AW5</f>
        <v>463439.805284484</v>
      </c>
      <c r="BT10" s="415">
        <f>PB!AX5</f>
        <v>477102.408692005</v>
      </c>
      <c r="BU10" s="415">
        <f>PB!AY5</f>
        <v>489618.716539895</v>
      </c>
      <c r="BV10" s="415">
        <f>PB!AZ5</f>
        <v>502823.189000447</v>
      </c>
      <c r="BW10" s="417">
        <f>PB!BA5</f>
        <v>515796.583192939</v>
      </c>
      <c r="BX10" s="414">
        <f>PB!BB5</f>
        <v>534368.434445045</v>
      </c>
      <c r="BY10" s="415">
        <f>PB!BC5</f>
        <v>551754.50792837</v>
      </c>
      <c r="BZ10" s="415">
        <f>PB!BD5</f>
        <v>569786.990309444</v>
      </c>
      <c r="CA10" s="415">
        <f>PB!BE5</f>
        <v>587548.985454802</v>
      </c>
      <c r="CB10" s="415">
        <f>PB!BF5</f>
        <v>605044.55067298</v>
      </c>
      <c r="CC10" s="415">
        <f>PB!BG5</f>
        <v>624092.082412886</v>
      </c>
      <c r="CD10" s="415">
        <f>PB!BH5</f>
        <v>641946.701176692</v>
      </c>
      <c r="CE10" s="415">
        <f>PB!BI5</f>
        <v>659533.500659042</v>
      </c>
      <c r="CF10" s="415">
        <f>PB!BJ5</f>
        <v>677763.698149156</v>
      </c>
      <c r="CG10" s="415">
        <f>PB!BK5</f>
        <v>695720.442676919</v>
      </c>
      <c r="CH10" s="415">
        <f>PB!BL5</f>
        <v>713407.836036765</v>
      </c>
      <c r="CI10" s="417">
        <f>PB!BM5</f>
        <v>731737.118496214</v>
      </c>
    </row>
    <row r="11" ht="18" customHeight="1" s="145">
      <c r="A11" s="237" t="n"/>
      <c r="B11" s="282" t="inlineStr">
        <is>
          <t>紹介事業</t>
        </is>
      </c>
      <c r="C11" s="276" t="inlineStr">
        <is>
          <t>電力コスト削減</t>
        </is>
      </c>
      <c r="D11" s="283" t="n"/>
      <c r="E11" s="418">
        <f>SUMIF($AB$3:$CI$3,E$4,$AB11:$CI11)</f>
        <v>677425.0</v>
      </c>
      <c r="F11" s="419">
        <f>SUMIF($AB$3:$CI$3,F$4,$AB11:$CI11)</f>
        <v>2830975.0</v>
      </c>
      <c r="G11" s="419">
        <f>SUMIF($AB$3:$CI$3,G$4,$AB11:$CI11)</f>
        <v>5817525.0</v>
      </c>
      <c r="H11" s="419">
        <f>SUMIF($AB$3:$CI$3,H$4,$AB11:$CI11)</f>
        <v>9555000.0</v>
      </c>
      <c r="I11" s="419">
        <f>SUMIF($AB$3:$CI$3,I$4,$AB11:$CI11)</f>
        <v>14250425.0</v>
      </c>
      <c r="J11" s="420">
        <f>SUM(E11:I11)</f>
        <v>33131350.0</v>
      </c>
      <c r="K11" s="420">
        <f>SUMIF($P$3:$CN$3,K$4,$P11:$CN11)</f>
        <v>0.0</v>
      </c>
      <c r="L11" s="420">
        <f>SUMIF($P$3:$CN$3,L$4,$P11:$CN11)</f>
        <v>0.0</v>
      </c>
      <c r="M11" s="420">
        <f>SUMIF($P$3:$CN$3,M$4,$P11:$CN11)</f>
        <v>0.0</v>
      </c>
      <c r="N11" s="420">
        <f>SUMIF($P$3:$CN$3,N$4,$P11:$CN11)</f>
        <v>0.0</v>
      </c>
      <c r="O11" s="235" t="n"/>
      <c r="P11" s="418" t="n"/>
      <c r="Q11" s="419" t="n"/>
      <c r="R11" s="419" t="n"/>
      <c r="S11" s="419" t="n"/>
      <c r="T11" s="419" t="n"/>
      <c r="U11" s="419" t="n"/>
      <c r="V11" s="419" t="n"/>
      <c r="W11" s="419" t="n"/>
      <c r="X11" s="419" t="n"/>
      <c r="Y11" s="419" t="n"/>
      <c r="Z11" s="419" t="n"/>
      <c r="AA11" s="421" t="n"/>
      <c r="AB11" s="418">
        <f>電力コスト削減!F5</f>
        <v>0.0</v>
      </c>
      <c r="AC11" s="419">
        <f>電力コスト削減!G5</f>
        <v>2450.0</v>
      </c>
      <c r="AD11" s="419">
        <f>電力コスト削減!H5</f>
        <v>13475.0</v>
      </c>
      <c r="AE11" s="419">
        <f>電力コスト削減!I5</f>
        <v>24500.0</v>
      </c>
      <c r="AF11" s="419">
        <f>電力コスト削減!J5</f>
        <v>34300.0</v>
      </c>
      <c r="AG11" s="419">
        <f>電力コスト削減!K5</f>
        <v>46550.0</v>
      </c>
      <c r="AH11" s="419">
        <f>電力コスト削減!L5</f>
        <v>58800.0</v>
      </c>
      <c r="AI11" s="419">
        <f>電力コスト削減!M5</f>
        <v>71050.0</v>
      </c>
      <c r="AJ11" s="419">
        <f>電力コスト削減!N5</f>
        <v>85750.0</v>
      </c>
      <c r="AK11" s="419">
        <f>電力コスト削減!O5</f>
        <v>99225.0</v>
      </c>
      <c r="AL11" s="419">
        <f>電力コスト削減!P5</f>
        <v>112700.0</v>
      </c>
      <c r="AM11" s="421">
        <f>電力コスト削減!Q5</f>
        <v>128625.0</v>
      </c>
      <c r="AN11" s="418">
        <f>電力コスト削減!R5</f>
        <v>143325.0</v>
      </c>
      <c r="AO11" s="419">
        <f>電力コスト削減!S5</f>
        <v>158025.0</v>
      </c>
      <c r="AP11" s="419">
        <f>電力コスト削減!T5</f>
        <v>175175.0</v>
      </c>
      <c r="AQ11" s="419">
        <f>電力コスト削減!U5</f>
        <v>191100.0</v>
      </c>
      <c r="AR11" s="419">
        <f>電力コスト削減!V5</f>
        <v>207025.0</v>
      </c>
      <c r="AS11" s="419">
        <f>電力コスト削減!W5</f>
        <v>225400.0</v>
      </c>
      <c r="AT11" s="419">
        <f>電力コスト削減!X5</f>
        <v>242550.0</v>
      </c>
      <c r="AU11" s="419">
        <f>電力コスト削減!Y5</f>
        <v>259700.0</v>
      </c>
      <c r="AV11" s="419">
        <f>電力コスト削減!Z5</f>
        <v>279300.0</v>
      </c>
      <c r="AW11" s="419">
        <f>電力コスト削減!AA5</f>
        <v>297675.0</v>
      </c>
      <c r="AX11" s="419">
        <f>電力コスト削減!AB5</f>
        <v>316050.0</v>
      </c>
      <c r="AY11" s="421">
        <f>電力コスト削減!AC5</f>
        <v>335650.0</v>
      </c>
      <c r="AZ11" s="418">
        <f>電力コスト削減!AD5</f>
        <v>357700.0</v>
      </c>
      <c r="BA11" s="419">
        <f>電力コスト削減!AE5</f>
        <v>378525.0</v>
      </c>
      <c r="BB11" s="419">
        <f>電力コスト削減!AF5</f>
        <v>401800.0</v>
      </c>
      <c r="BC11" s="419">
        <f>電力コスト削減!AG5</f>
        <v>423850.0</v>
      </c>
      <c r="BD11" s="419">
        <f>電力コスト削減!AH5</f>
        <v>447125.0</v>
      </c>
      <c r="BE11" s="419">
        <f>電力コスト削減!AI5</f>
        <v>470400.0</v>
      </c>
      <c r="BF11" s="419">
        <f>電力コスト削減!AJ5</f>
        <v>494900.0</v>
      </c>
      <c r="BG11" s="419">
        <f>電力コスト削減!AK5</f>
        <v>518175.0</v>
      </c>
      <c r="BH11" s="419">
        <f>電力コスト削減!AL5</f>
        <v>543900.0</v>
      </c>
      <c r="BI11" s="419">
        <f>電力コスト削減!AM5</f>
        <v>568400.0</v>
      </c>
      <c r="BJ11" s="419">
        <f>電力コスト削減!AN5</f>
        <v>592900.0</v>
      </c>
      <c r="BK11" s="421">
        <f>電力コスト削減!AO5</f>
        <v>619850.0</v>
      </c>
      <c r="BL11" s="418">
        <f>電力コスト削減!AP5</f>
        <v>645575.0</v>
      </c>
      <c r="BM11" s="419">
        <f>電力コスト削減!AQ5</f>
        <v>671300.0</v>
      </c>
      <c r="BN11" s="419">
        <f>電力コスト削減!AR5</f>
        <v>698250.0</v>
      </c>
      <c r="BO11" s="419">
        <f>電力コスト削減!AS5</f>
        <v>725200.0</v>
      </c>
      <c r="BP11" s="419">
        <f>電力コスト削減!AT5</f>
        <v>752150.0</v>
      </c>
      <c r="BQ11" s="419">
        <f>電力コスト削減!AU5</f>
        <v>780325.0</v>
      </c>
      <c r="BR11" s="419">
        <f>電力コスト削減!AV5</f>
        <v>808500.0</v>
      </c>
      <c r="BS11" s="419">
        <f>電力コスト削減!AW5</f>
        <v>836675.0</v>
      </c>
      <c r="BT11" s="419">
        <f>電力コスト削減!AX5</f>
        <v>866075.0</v>
      </c>
      <c r="BU11" s="419">
        <f>電力コスト削減!AY5</f>
        <v>894250.0</v>
      </c>
      <c r="BV11" s="419">
        <f>電力コスト削減!AZ5</f>
        <v>923650.0</v>
      </c>
      <c r="BW11" s="421">
        <f>電力コスト削減!BA5</f>
        <v>953050.0</v>
      </c>
      <c r="BX11" s="418">
        <f>電力コスト削減!BB5</f>
        <v>988575.0</v>
      </c>
      <c r="BY11" s="419">
        <f>電力コスト削減!BC5</f>
        <v>1022875.0</v>
      </c>
      <c r="BZ11" s="419">
        <f>電力コスト削減!BD5</f>
        <v>1058400.0</v>
      </c>
      <c r="CA11" s="419">
        <f>電力コスト削減!BE5</f>
        <v>1093925.0</v>
      </c>
      <c r="CB11" s="419">
        <f>電力コスト削減!BF5</f>
        <v>1129450.0</v>
      </c>
      <c r="CC11" s="419">
        <f>電力コスト削減!BG5</f>
        <v>1167425.0</v>
      </c>
      <c r="CD11" s="419">
        <f>電力コスト削減!BH5</f>
        <v>1204175.0</v>
      </c>
      <c r="CE11" s="419">
        <f>電力コスト削減!BI5</f>
        <v>1240925.0</v>
      </c>
      <c r="CF11" s="419">
        <f>電力コスト削減!BJ5</f>
        <v>1278900.0</v>
      </c>
      <c r="CG11" s="419">
        <f>電力コスト削減!BK5</f>
        <v>1316875.0</v>
      </c>
      <c r="CH11" s="419">
        <f>電力コスト削減!BL5</f>
        <v>1354850.0</v>
      </c>
      <c r="CI11" s="421">
        <f>電力コスト削減!BM5</f>
        <v>1394050.0</v>
      </c>
    </row>
    <row r="12" ht="18" customHeight="1" s="145">
      <c r="A12" s="237" t="n"/>
      <c r="B12" s="288" t="inlineStr">
        <is>
          <t>紹介事業</t>
        </is>
      </c>
      <c r="C12" s="282" t="inlineStr">
        <is>
          <t>売掛金</t>
        </is>
      </c>
      <c r="D12" s="289" t="n"/>
      <c r="E12" s="422">
        <f>SUMIF($AB$3:$CI$3,E$4,$AB12:$CI12)</f>
        <v>985656.826436277</v>
      </c>
      <c r="F12" s="423">
        <f>SUMIF($AB$3:$CI$3,F$4,$AB12:$CI12)</f>
        <v>3775833.99353002</v>
      </c>
      <c r="G12" s="423">
        <f>SUMIF($AB$3:$CI$3,G$4,$AB12:$CI12)</f>
        <v>7217401.37179131</v>
      </c>
      <c r="H12" s="423">
        <f>SUMIF($AB$3:$CI$3,H$4,$AB12:$CI12)</f>
        <v>11096723.8054143</v>
      </c>
      <c r="I12" s="423">
        <f>SUMIF($AB$3:$CI$3,I$4,$AB12:$CI12)</f>
        <v>15818135.1008715</v>
      </c>
      <c r="J12" s="423">
        <f>SUM(E12:I12)</f>
        <v>38893751.0980434</v>
      </c>
      <c r="K12" s="423">
        <f>SUMIF($P$3:$CN$3,K$4,$P12:$CN12)</f>
        <v>0.0</v>
      </c>
      <c r="L12" s="423">
        <f>SUMIF($P$3:$CN$3,L$4,$P12:$CN12)</f>
        <v>0.0</v>
      </c>
      <c r="M12" s="423">
        <f>SUMIF($P$3:$CN$3,M$4,$P12:$CN12)</f>
        <v>0.0</v>
      </c>
      <c r="N12" s="423">
        <f>SUMIF($P$3:$CN$3,N$4,$P12:$CN12)</f>
        <v>0.0</v>
      </c>
      <c r="O12" s="235" t="n"/>
      <c r="P12" s="422" t="n"/>
      <c r="Q12" s="423" t="n"/>
      <c r="R12" s="423" t="n"/>
      <c r="S12" s="423" t="n"/>
      <c r="T12" s="423" t="n"/>
      <c r="U12" s="423" t="n"/>
      <c r="V12" s="423" t="n"/>
      <c r="W12" s="423" t="n"/>
      <c r="X12" s="423" t="n"/>
      <c r="Y12" s="423" t="n"/>
      <c r="Z12" s="423" t="n"/>
      <c r="AA12" s="424" t="n"/>
      <c r="AB12" s="422">
        <f>' 売掛保証（保証型ファクタリング'!F5</f>
        <v>0.0</v>
      </c>
      <c r="AC12" s="423">
        <f>' 売掛保証（保証型ファクタリング'!G5</f>
        <v>3780.0</v>
      </c>
      <c r="AD12" s="423">
        <f>' 売掛保証（保証型ファクタリング'!H5</f>
        <v>20714.4</v>
      </c>
      <c r="AE12" s="423">
        <f>' 売掛保証（保証型ファクタリング'!I5</f>
        <v>37310.112</v>
      </c>
      <c r="AF12" s="423">
        <f>' 売掛保証（保証型ファクタリング'!J5</f>
        <v>51683.90976</v>
      </c>
      <c r="AG12" s="423">
        <f>' 売掛保証（保証型ファクタリング'!K5</f>
        <v>69550.2315648</v>
      </c>
      <c r="AH12" s="423">
        <f>' 売掛保証（保証型ファクタリング'!L5</f>
        <v>87059.226933504</v>
      </c>
      <c r="AI12" s="423">
        <f>' 売掛保証（保証型ファクタリング'!M5</f>
        <v>104218.042394834</v>
      </c>
      <c r="AJ12" s="423">
        <f>' 売掛保証（保証型ファクタリング'!N5</f>
        <v>124813.681546937</v>
      </c>
      <c r="AK12" s="423">
        <f>' 売掛保証（保証型ファクタリング'!O5</f>
        <v>143107.407915998</v>
      </c>
      <c r="AL12" s="423">
        <f>' 売掛保証（保証型ファクタリング'!P5</f>
        <v>161035.259757679</v>
      </c>
      <c r="AM12" s="424">
        <f>' 売掛保証（保証型ファクタリング'!Q5</f>
        <v>182384.554562525</v>
      </c>
      <c r="AN12" s="422">
        <f>' 売掛保証（保証型ファクタリング'!R5</f>
        <v>201416.863471274</v>
      </c>
      <c r="AO12" s="423">
        <f>' 売掛保証（保証型ファクタリング'!S5</f>
        <v>220068.526201849</v>
      </c>
      <c r="AP12" s="423">
        <f>' 売掛保証（保証型ファクタリング'!T5</f>
        <v>242127.155677812</v>
      </c>
      <c r="AQ12" s="423">
        <f>' 売掛保証（保証型ファクタリング'!U5</f>
        <v>261854.612564256</v>
      </c>
      <c r="AR12" s="423">
        <f>' 売掛保証（保証型ファクタリング'!V5</f>
        <v>281187.520312971</v>
      </c>
      <c r="AS12" s="423">
        <f>' 売掛保証（保証型ファクタリング'!W5</f>
        <v>303913.769906711</v>
      </c>
      <c r="AT12" s="423">
        <f>' 売掛保証（保証型ファクタリング'!X5</f>
        <v>324295.494508577</v>
      </c>
      <c r="AU12" s="423">
        <f>' 売掛保証（保証型ファクタリング'!Y5</f>
        <v>344269.584618405</v>
      </c>
      <c r="AV12" s="423">
        <f>' 売掛保証（保証型ファクタリング'!Z5</f>
        <v>367624.192926037</v>
      </c>
      <c r="AW12" s="423">
        <f>' 売掛保証（保証型ファクタリング'!AA5</f>
        <v>388621.709067516</v>
      </c>
      <c r="AX12" s="423">
        <f>' 売掛保証（保証型ファクタリング'!AB5</f>
        <v>409199.274886166</v>
      </c>
      <c r="AY12" s="424">
        <f>' 売掛保証（保証型ファクタリング'!AC5</f>
        <v>431255.289388443</v>
      </c>
      <c r="AZ12" s="422">
        <f>' 売掛保証（保証型ファクタリング'!AD5</f>
        <v>457728.321824145</v>
      </c>
      <c r="BA12" s="423">
        <f>' 売掛保証（保証型ファクタリング'!AE5</f>
        <v>481848.076192223</v>
      </c>
      <c r="BB12" s="423">
        <f>' 売掛保証（保証型ファクタリング'!AF5</f>
        <v>509325.734858859</v>
      </c>
      <c r="BC12" s="423">
        <f>' 売掛保証（保証型ファクタリング'!AG5</f>
        <v>534432.534498829</v>
      </c>
      <c r="BD12" s="423">
        <f>' 売掛保証（保証型ファクタリング'!AH5</f>
        <v>560989.965145099</v>
      </c>
      <c r="BE12" s="423">
        <f>' 売掛保証（保証型ファクタリング'!AI5</f>
        <v>587082.64075506</v>
      </c>
      <c r="BF12" s="423">
        <f>' 売掛保証（保証型ファクタリング'!AJ5</f>
        <v>614608.694541846</v>
      </c>
      <c r="BG12" s="423">
        <f>' 売掛保証（保証型ファクタリング'!AK5</f>
        <v>639763.042387364</v>
      </c>
      <c r="BH12" s="423">
        <f>' 売掛保証（保証型ファクタリング'!AL5</f>
        <v>668257.189145585</v>
      </c>
      <c r="BI12" s="423">
        <f>' 売掛保証（保証型ファクタリング'!AM5</f>
        <v>694362.688335537</v>
      </c>
      <c r="BJ12" s="423">
        <f>' 売掛保証（保証型ファクタリング'!AN5</f>
        <v>720011.341289665</v>
      </c>
      <c r="BK12" s="424">
        <f>' 売掛保証（保証型ファクタリング'!AO5</f>
        <v>748991.142817096</v>
      </c>
      <c r="BL12" s="422">
        <f>' 売掛保証（保証型ファクタリング'!AP5</f>
        <v>775573.797817797</v>
      </c>
      <c r="BM12" s="423">
        <f>' 売掛保証（保証型ファクタリング'!AQ5</f>
        <v>801691.256355986</v>
      </c>
      <c r="BN12" s="423">
        <f>' 売掛保証（保証型ファクタリング'!AR5</f>
        <v>829241.659369756</v>
      </c>
      <c r="BO12" s="423">
        <f>' 売掛保証（保証型ファクタリング'!AS5</f>
        <v>856309.930330785</v>
      </c>
      <c r="BP12" s="423">
        <f>' 売掛保証（保証型ファクタリング'!AT5</f>
        <v>882904.506549996</v>
      </c>
      <c r="BQ12" s="423">
        <f>' 売掛保証（保証型ファクタリング'!AU5</f>
        <v>910923.677685372</v>
      </c>
      <c r="BR12" s="423">
        <f>' 売掛保証（保証型ファクタリング'!AV5</f>
        <v>938452.513325878</v>
      </c>
      <c r="BS12" s="423">
        <f>' 売掛保証（保証型ファクタリング'!AW5</f>
        <v>965499.594342675</v>
      </c>
      <c r="BT12" s="423">
        <f>' 売掛保証（保証型ファクタリング'!AX5</f>
        <v>993963.351441678</v>
      </c>
      <c r="BU12" s="423">
        <f>' 売掛保証（保証型ファクタリング'!AY5</f>
        <v>1020038.99279145</v>
      </c>
      <c r="BV12" s="423">
        <f>' 売掛保証（保証型ファクタリング'!AZ5</f>
        <v>1047548.3104176</v>
      </c>
      <c r="BW12" s="424">
        <f>' 売掛保証（保証型ファクタリング'!BA5</f>
        <v>1074576.21498529</v>
      </c>
      <c r="BX12" s="422">
        <f>' 売掛保証（保証型ファクタリング'!BB5</f>
        <v>1113267.57176051</v>
      </c>
      <c r="BY12" s="423">
        <f>' 売掛保証（保証型ファクタリング'!BC5</f>
        <v>1149488.5581841</v>
      </c>
      <c r="BZ12" s="423">
        <f>' 売掛保証（保証型ファクタリング'!BD5</f>
        <v>1187056.22981134</v>
      </c>
      <c r="CA12" s="423">
        <f>' 売掛保証（保証型ファクタリング'!BE5</f>
        <v>1224060.38636417</v>
      </c>
      <c r="CB12" s="423">
        <f>' 売掛保証（保証型ファクタリング'!BF5</f>
        <v>1260509.48056871</v>
      </c>
      <c r="CC12" s="423">
        <f>' 売掛保証（保証型ファクタリング'!BG5</f>
        <v>1300191.83836018</v>
      </c>
      <c r="CD12" s="423">
        <f>' 売掛保証（保証型ファクタリング'!BH5</f>
        <v>1337388.96078478</v>
      </c>
      <c r="CE12" s="423">
        <f>' 売掛保証（保証型ファクタリング'!BI5</f>
        <v>1374028.126373</v>
      </c>
      <c r="CF12" s="423">
        <f>' 売掛保証（保証型ファクタリング'!BJ5</f>
        <v>1412007.70447741</v>
      </c>
      <c r="CG12" s="423">
        <f>' 売掛保証（保証型ファクタリング'!BK5</f>
        <v>1449417.58891025</v>
      </c>
      <c r="CH12" s="423">
        <f>' 売掛保証（保証型ファクタリング'!BL5</f>
        <v>1486266.32507659</v>
      </c>
      <c r="CI12" s="424">
        <f>' 売掛保証（保証型ファクタリング'!BM5</f>
        <v>1524452.33020045</v>
      </c>
    </row>
    <row r="13" ht="18" customHeight="1" s="145">
      <c r="A13" s="293" t="n"/>
      <c r="B13" s="293" t="n"/>
      <c r="C13" s="425" t="inlineStr">
        <is>
          <t>前期比</t>
        </is>
      </c>
      <c r="D13" s="426" t="inlineStr">
        <is>
          <t>％</t>
        </is>
      </c>
      <c r="E13" s="427" t="n"/>
      <c r="F13" s="428">
        <f>IF(E5&gt;0,(F5-E5)/E5,"-")</f>
        <v>3.65777641311534</v>
      </c>
      <c r="G13" s="428">
        <f>IF(F5&gt;0,(G5-F5)/F5,"-")</f>
        <v>1.02591441998241</v>
      </c>
      <c r="H13" s="428">
        <f>IF(G5&gt;0,(H5-G5)/G5,"-")</f>
        <v>0.592133442627908</v>
      </c>
      <c r="I13" s="428">
        <f>IF(H5&gt;0,(I5-H5)/H5,"-")</f>
        <v>0.446544652956139</v>
      </c>
      <c r="J13" s="298">
        <f>IFERROR((I5/E5)^(1/4)-1,"-")</f>
        <v>1.15912487309246</v>
      </c>
      <c r="K13" s="298" t="str">
        <f>IF(K5&gt;0,(K5-J5)/J5,"-")</f>
        <v>-</v>
      </c>
      <c r="L13" s="298" t="str">
        <f>IF(L5&gt;0,(L5-K5)/K5,"-")</f>
        <v>-</v>
      </c>
      <c r="M13" s="298" t="str">
        <f>IF(M5&gt;0,(M5-L5)/L5,"-")</f>
        <v>-</v>
      </c>
      <c r="N13" s="298" t="str">
        <f>IF(N5&gt;0,(N5-M5)/M5,"-")</f>
        <v>-</v>
      </c>
      <c r="O13" s="235" t="n"/>
      <c r="P13" s="429" t="n"/>
      <c r="Q13" s="430" t="n"/>
      <c r="R13" s="430" t="n"/>
      <c r="S13" s="430" t="n"/>
      <c r="T13" s="430" t="n"/>
      <c r="U13" s="430" t="n"/>
      <c r="V13" s="430" t="n"/>
      <c r="W13" s="430" t="n"/>
      <c r="X13" s="430" t="n"/>
      <c r="Y13" s="430" t="n"/>
      <c r="Z13" s="430" t="n"/>
      <c r="AA13" s="431" t="n"/>
      <c r="AB13" s="429" t="n"/>
      <c r="AC13" s="430" t="n"/>
      <c r="AD13" s="430" t="n"/>
      <c r="AE13" s="430" t="n"/>
      <c r="AF13" s="430" t="n"/>
      <c r="AG13" s="430" t="n"/>
      <c r="AH13" s="430" t="n"/>
      <c r="AI13" s="430" t="n"/>
      <c r="AJ13" s="430" t="n"/>
      <c r="AK13" s="430" t="n"/>
      <c r="AL13" s="430" t="n"/>
      <c r="AM13" s="431" t="n"/>
      <c r="AN13" s="429" t="n"/>
      <c r="AO13" s="430" t="n"/>
      <c r="AP13" s="430" t="n"/>
      <c r="AQ13" s="430" t="n"/>
      <c r="AR13" s="430" t="n"/>
      <c r="AS13" s="430" t="n"/>
      <c r="AT13" s="430" t="n"/>
      <c r="AU13" s="430" t="n"/>
      <c r="AV13" s="430" t="n"/>
      <c r="AW13" s="430" t="n"/>
      <c r="AX13" s="430" t="n"/>
      <c r="AY13" s="431" t="n"/>
      <c r="AZ13" s="429" t="n"/>
      <c r="BA13" s="430" t="n"/>
      <c r="BB13" s="430" t="n"/>
      <c r="BC13" s="430" t="n"/>
      <c r="BD13" s="430" t="n"/>
      <c r="BE13" s="430" t="n"/>
      <c r="BF13" s="430" t="n"/>
      <c r="BG13" s="430" t="n"/>
      <c r="BH13" s="430" t="n"/>
      <c r="BI13" s="430" t="n"/>
      <c r="BJ13" s="430" t="n"/>
      <c r="BK13" s="431" t="n"/>
      <c r="BL13" s="429" t="n"/>
      <c r="BM13" s="430" t="n"/>
      <c r="BN13" s="430" t="n"/>
      <c r="BO13" s="430" t="n"/>
      <c r="BP13" s="430" t="n"/>
      <c r="BQ13" s="430" t="n"/>
      <c r="BR13" s="430" t="n"/>
      <c r="BS13" s="430" t="n"/>
      <c r="BT13" s="430" t="n"/>
      <c r="BU13" s="430" t="n"/>
      <c r="BV13" s="430" t="n"/>
      <c r="BW13" s="431" t="n"/>
      <c r="BX13" s="429" t="n"/>
      <c r="BY13" s="430" t="n"/>
      <c r="BZ13" s="430" t="n"/>
      <c r="CA13" s="430" t="n"/>
      <c r="CB13" s="430" t="n"/>
      <c r="CC13" s="430" t="n"/>
      <c r="CD13" s="430" t="n"/>
      <c r="CE13" s="430" t="n"/>
      <c r="CF13" s="430" t="n"/>
      <c r="CG13" s="430" t="n"/>
      <c r="CH13" s="430" t="n"/>
      <c r="CI13" s="431" t="n"/>
    </row>
    <row r="14" ht="18" customHeight="1" s="145">
      <c r="A14" s="300" t="inlineStr">
        <is>
          <t>売上原価</t>
        </is>
      </c>
      <c r="B14" s="301" t="n"/>
      <c r="C14" s="357" t="inlineStr">
        <is>
          <t>COGS合計</t>
        </is>
      </c>
      <c r="D14" s="376" t="inlineStr">
        <is>
          <t>円</t>
        </is>
      </c>
      <c r="E14" s="432">
        <f>SUMIF($AB$3:$CI$3,E$4,$AB14:$CI14)</f>
        <v>1950363.21762842</v>
      </c>
      <c r="F14" s="433">
        <f>SUMIF($AB$3:$CI$3,F$4,$AB14:$CI14)</f>
        <v>8004320.49102169</v>
      </c>
      <c r="G14" s="433">
        <f>SUMIF($AB$3:$CI$3,G$4,$AB14:$CI14)</f>
        <v>16231490.3971259</v>
      </c>
      <c r="H14" s="433">
        <f>SUMIF($AB$3:$CI$3,H$4,$AB14:$CI14)</f>
        <v>26316702.9705331</v>
      </c>
      <c r="I14" s="434">
        <f>SUMIF($AB$3:$CI$3,I$4,$AB14:$CI14)</f>
        <v>39109407.219837</v>
      </c>
      <c r="J14" s="435">
        <f>SUM(E14:I14)</f>
        <v>91612284.2961461</v>
      </c>
      <c r="K14" s="436">
        <f>SUMIF($P$3:$CN$3,K$4,$P14:$CN14)</f>
        <v>0.0</v>
      </c>
      <c r="L14" s="436">
        <f>SUMIF($P$3:$CN$3,L$4,$P14:$CN14)</f>
        <v>0.0</v>
      </c>
      <c r="M14" s="436">
        <f>SUMIF($P$3:$CN$3,M$4,$P14:$CN14)</f>
        <v>0.0</v>
      </c>
      <c r="N14" s="436">
        <f>SUMIF($P$3:$CN$3,N$4,$P14:$CN14)</f>
        <v>0.0</v>
      </c>
      <c r="O14" s="235" t="n"/>
      <c r="P14" s="437" t="n"/>
      <c r="Q14" s="438" t="n"/>
      <c r="R14" s="438" t="n"/>
      <c r="S14" s="438" t="n"/>
      <c r="T14" s="438" t="n"/>
      <c r="U14" s="438" t="n"/>
      <c r="V14" s="438" t="n"/>
      <c r="W14" s="438" t="n"/>
      <c r="X14" s="438" t="n"/>
      <c r="Y14" s="438" t="n"/>
      <c r="Z14" s="438" t="n"/>
      <c r="AA14" s="439" t="n"/>
      <c r="AB14" s="440">
        <f>SUM(AB17:AB20)</f>
        <v>50000.0</v>
      </c>
      <c r="AC14" s="441">
        <f>SUM(AC17:AC20)</f>
        <v>53343.5412611211</v>
      </c>
      <c r="AD14" s="441">
        <f>SUM(AD17:AD20)</f>
        <v>69994.3767415042</v>
      </c>
      <c r="AE14" s="441">
        <f>SUM(AE17:AE20)</f>
        <v>86312.1955122796</v>
      </c>
      <c r="AF14" s="441">
        <f>SUM(AF17:AF20)</f>
        <v>104555.90790764</v>
      </c>
      <c r="AG14" s="441">
        <f>SUM(AG17:AG20)</f>
        <v>134719.719816213</v>
      </c>
      <c r="AH14" s="441">
        <f>SUM(AH17:AH20)</f>
        <v>163945.796361616</v>
      </c>
      <c r="AI14" s="441">
        <f>SUM(AI17:AI20)</f>
        <v>192269.61520736</v>
      </c>
      <c r="AJ14" s="441">
        <f>SUM(AJ17:AJ20)</f>
        <v>225320.899576998</v>
      </c>
      <c r="AK14" s="441">
        <f>SUM(AK17:AK20)</f>
        <v>257356.833866947</v>
      </c>
      <c r="AL14" s="441">
        <f>SUM(AL17:AL20)</f>
        <v>288415.441298414</v>
      </c>
      <c r="AM14" s="442">
        <f>SUM(AM17:AM20)</f>
        <v>324128.890078325</v>
      </c>
      <c r="AN14" s="443">
        <f>SUM(AN17:AN20)</f>
        <v>458756.713506793</v>
      </c>
      <c r="AO14" s="441">
        <f>SUM(AO17:AO20)</f>
        <v>492339.191909638</v>
      </c>
      <c r="AP14" s="441">
        <f>SUM(AP17:AP20)</f>
        <v>530510.662876346</v>
      </c>
      <c r="AQ14" s="441">
        <f>SUM(AQ17:AQ20)</f>
        <v>567532.74525098</v>
      </c>
      <c r="AR14" s="441">
        <f>SUM(AR17:AR20)</f>
        <v>603447.724764017</v>
      </c>
      <c r="AS14" s="441">
        <f>SUM(AS17:AS20)</f>
        <v>643891.867794517</v>
      </c>
      <c r="AT14" s="441">
        <f>SUM(AT17:AT20)</f>
        <v>683128.648718678</v>
      </c>
      <c r="AU14" s="441">
        <f>SUM(AU17:AU20)</f>
        <v>721202.138740914</v>
      </c>
      <c r="AV14" s="441">
        <f>SUM(AV17:AV20)</f>
        <v>763750.322704556</v>
      </c>
      <c r="AW14" s="441">
        <f>SUM(AW17:AW20)</f>
        <v>805038.329345619</v>
      </c>
      <c r="AX14" s="441">
        <f>SUM(AX17:AX20)</f>
        <v>845111.82289272</v>
      </c>
      <c r="AY14" s="442">
        <f>SUM(AY17:AY20)</f>
        <v>889610.322516915</v>
      </c>
      <c r="AZ14" s="443">
        <f>SUM(AZ17:AZ20)</f>
        <v>1085345.99903064</v>
      </c>
      <c r="BA14" s="441">
        <f>SUM(BA17:BA20)</f>
        <v>1129931.89483576</v>
      </c>
      <c r="BB14" s="441">
        <f>SUM(BB17:BB20)</f>
        <v>1179004.23518207</v>
      </c>
      <c r="BC14" s="441">
        <f>SUM(BC17:BC20)</f>
        <v>1226843.13130447</v>
      </c>
      <c r="BD14" s="441">
        <f>SUM(BD17:BD20)</f>
        <v>1273491.95282226</v>
      </c>
      <c r="BE14" s="441">
        <f>SUM(BE17:BE20)</f>
        <v>1324587.96667376</v>
      </c>
      <c r="BF14" s="441">
        <f>SUM(BF17:BF20)</f>
        <v>1374412.28829308</v>
      </c>
      <c r="BG14" s="441">
        <f>SUM(BG17:BG20)</f>
        <v>1423009.25566493</v>
      </c>
      <c r="BH14" s="441">
        <f>SUM(BH17:BH20)</f>
        <v>1476017.06983529</v>
      </c>
      <c r="BI14" s="441">
        <f>SUM(BI17:BI20)</f>
        <v>1527717.74758867</v>
      </c>
      <c r="BJ14" s="441">
        <f>SUM(BJ17:BJ20)</f>
        <v>1578156.49693155</v>
      </c>
      <c r="BK14" s="442">
        <f>SUM(BK17:BK20)</f>
        <v>1632972.3589634</v>
      </c>
      <c r="BL14" s="443">
        <f>SUM(BL17:BL20)</f>
        <v>1886448.16184939</v>
      </c>
      <c r="BM14" s="441">
        <f>SUM(BM17:BM20)</f>
        <v>1938629.89753746</v>
      </c>
      <c r="BN14" s="441">
        <f>SUM(BN17:BN20)</f>
        <v>1995157.36480444</v>
      </c>
      <c r="BO14" s="441">
        <f>SUM(BO17:BO20)</f>
        <v>2050314.12434786</v>
      </c>
      <c r="BP14" s="441">
        <f>SUM(BP17:BP20)</f>
        <v>2104146.87656931</v>
      </c>
      <c r="BQ14" s="441">
        <f>SUM(BQ17:BQ20)</f>
        <v>2162296.10563618</v>
      </c>
      <c r="BR14" s="441">
        <f>SUM(BR17:BR20)</f>
        <v>2219046.03554129</v>
      </c>
      <c r="BS14" s="441">
        <f>SUM(BS17:BS20)</f>
        <v>2274444.00880834</v>
      </c>
      <c r="BT14" s="441">
        <f>SUM(BT17:BT20)</f>
        <v>2334131.13143251</v>
      </c>
      <c r="BU14" s="441">
        <f>SUM(BU17:BU20)</f>
        <v>2392392.22977757</v>
      </c>
      <c r="BV14" s="441">
        <f>SUM(BV17:BV20)</f>
        <v>2449275.23007969</v>
      </c>
      <c r="BW14" s="442">
        <f>SUM(BW17:BW20)</f>
        <v>2510421.80414903</v>
      </c>
      <c r="BX14" s="443">
        <f>SUM(BX17:BX20)</f>
        <v>2877339.18953934</v>
      </c>
      <c r="BY14" s="441">
        <f>SUM(BY17:BY20)</f>
        <v>2943007.78966527</v>
      </c>
      <c r="BZ14" s="441">
        <f>SUM(BZ17:BZ20)</f>
        <v>3013064.86421112</v>
      </c>
      <c r="CA14" s="441">
        <f>SUM(CA17:CA20)</f>
        <v>3081808.17871357</v>
      </c>
      <c r="CB14" s="441">
        <f>SUM(CB17:CB20)</f>
        <v>3149281.53023794</v>
      </c>
      <c r="CC14" s="441">
        <f>SUM(CC17:CC20)</f>
        <v>3221122.53616679</v>
      </c>
      <c r="CD14" s="441">
        <f>SUM(CD17:CD20)</f>
        <v>3291629.30886202</v>
      </c>
      <c r="CE14" s="441">
        <f>SUM(CE17:CE20)</f>
        <v>3360845.98181469</v>
      </c>
      <c r="CF14" s="441">
        <f>SUM(CF17:CF20)</f>
        <v>3434410.49888412</v>
      </c>
      <c r="CG14" s="441">
        <f>SUM(CG17:CG20)</f>
        <v>3506621.28938877</v>
      </c>
      <c r="CH14" s="441">
        <f>SUM(CH17:CH20)</f>
        <v>3577522.79466398</v>
      </c>
      <c r="CI14" s="442">
        <f>SUM(CI17:CI20)</f>
        <v>3652753.2576894</v>
      </c>
    </row>
    <row r="15" ht="18" customHeight="1" s="145">
      <c r="A15" s="237" t="n"/>
      <c r="B15" s="233" t="n"/>
      <c r="C15" s="306" t="inlineStr">
        <is>
          <t>AIレポート原価（円/社・月）</t>
        </is>
      </c>
      <c r="D15" s="377" t="n"/>
      <c r="E15" s="444">
        <f>SUMIF($AB$3:$CI$3,E$4,$AB15:$CI15)/12</f>
        <v>150.0</v>
      </c>
      <c r="F15" s="445">
        <f>SUMIF($AB$3:$CI$3,F$4,$AB15:$CI15)/12</f>
        <v>150.0</v>
      </c>
      <c r="G15" s="445">
        <f>SUMIF($AB$3:$CI$3,G$4,$AB15:$CI15)/12</f>
        <v>150.0</v>
      </c>
      <c r="H15" s="445">
        <f>SUMIF($AB$3:$CI$3,H$4,$AB15:$CI15)/12</f>
        <v>150.0</v>
      </c>
      <c r="I15" s="446">
        <f>SUMIF($AB$3:$CI$3,I$4,$AB15:$CI15)/12</f>
        <v>150.0</v>
      </c>
      <c r="J15" s="447">
        <f>AVERAGE(E15:I15)</f>
        <v>150.0</v>
      </c>
      <c r="K15" s="448" t="n"/>
      <c r="L15" s="448" t="n"/>
      <c r="M15" s="448" t="n"/>
      <c r="N15" s="448" t="n"/>
      <c r="O15" s="235" t="n"/>
      <c r="P15" s="408" t="n"/>
      <c r="Q15" s="409" t="n"/>
      <c r="R15" s="409" t="n"/>
      <c r="S15" s="409" t="n"/>
      <c r="T15" s="409" t="n"/>
      <c r="U15" s="409" t="n"/>
      <c r="V15" s="409" t="n"/>
      <c r="W15" s="409" t="n"/>
      <c r="X15" s="409" t="n"/>
      <c r="Y15" s="409" t="n"/>
      <c r="Z15" s="409" t="n"/>
      <c r="AA15" s="412" t="n"/>
      <c r="AB15" s="449">
        <f>費用予算!F25</f>
        <v>150.0</v>
      </c>
      <c r="AC15" s="450">
        <f>費用予算!G25</f>
        <v>150.0</v>
      </c>
      <c r="AD15" s="450">
        <f>費用予算!H25</f>
        <v>150.0</v>
      </c>
      <c r="AE15" s="450">
        <f>費用予算!I25</f>
        <v>150.0</v>
      </c>
      <c r="AF15" s="450">
        <f>費用予算!J25</f>
        <v>150.0</v>
      </c>
      <c r="AG15" s="450">
        <f>費用予算!K25</f>
        <v>150.0</v>
      </c>
      <c r="AH15" s="450">
        <f>費用予算!L25</f>
        <v>150.0</v>
      </c>
      <c r="AI15" s="450">
        <f>費用予算!M25</f>
        <v>150.0</v>
      </c>
      <c r="AJ15" s="450">
        <f>費用予算!N25</f>
        <v>150.0</v>
      </c>
      <c r="AK15" s="450">
        <f>費用予算!O25</f>
        <v>150.0</v>
      </c>
      <c r="AL15" s="450">
        <f>費用予算!P25</f>
        <v>150.0</v>
      </c>
      <c r="AM15" s="451">
        <f>費用予算!Q25</f>
        <v>150.0</v>
      </c>
      <c r="AN15" s="449">
        <f>費用予算!R25</f>
        <v>150.0</v>
      </c>
      <c r="AO15" s="450">
        <f>費用予算!S25</f>
        <v>150.0</v>
      </c>
      <c r="AP15" s="450">
        <f>費用予算!T25</f>
        <v>150.0</v>
      </c>
      <c r="AQ15" s="450">
        <f>費用予算!U25</f>
        <v>150.0</v>
      </c>
      <c r="AR15" s="450">
        <f>費用予算!V25</f>
        <v>150.0</v>
      </c>
      <c r="AS15" s="450">
        <f>費用予算!W25</f>
        <v>150.0</v>
      </c>
      <c r="AT15" s="450">
        <f>費用予算!X25</f>
        <v>150.0</v>
      </c>
      <c r="AU15" s="450">
        <f>費用予算!Y25</f>
        <v>150.0</v>
      </c>
      <c r="AV15" s="450">
        <f>費用予算!Z25</f>
        <v>150.0</v>
      </c>
      <c r="AW15" s="450">
        <f>費用予算!AA25</f>
        <v>150.0</v>
      </c>
      <c r="AX15" s="450">
        <f>費用予算!AB25</f>
        <v>150.0</v>
      </c>
      <c r="AY15" s="451">
        <f>費用予算!AC25</f>
        <v>150.0</v>
      </c>
      <c r="AZ15" s="449">
        <f>費用予算!AD25</f>
        <v>150.0</v>
      </c>
      <c r="BA15" s="450">
        <f>費用予算!AE25</f>
        <v>150.0</v>
      </c>
      <c r="BB15" s="450">
        <f>費用予算!AF25</f>
        <v>150.0</v>
      </c>
      <c r="BC15" s="450">
        <f>費用予算!AG25</f>
        <v>150.0</v>
      </c>
      <c r="BD15" s="450">
        <f>費用予算!AH25</f>
        <v>150.0</v>
      </c>
      <c r="BE15" s="450">
        <f>費用予算!AI25</f>
        <v>150.0</v>
      </c>
      <c r="BF15" s="450">
        <f>費用予算!AJ25</f>
        <v>150.0</v>
      </c>
      <c r="BG15" s="450">
        <f>費用予算!AK25</f>
        <v>150.0</v>
      </c>
      <c r="BH15" s="450">
        <f>費用予算!AL25</f>
        <v>150.0</v>
      </c>
      <c r="BI15" s="450">
        <f>費用予算!AM25</f>
        <v>150.0</v>
      </c>
      <c r="BJ15" s="450">
        <f>費用予算!AN25</f>
        <v>150.0</v>
      </c>
      <c r="BK15" s="451">
        <f>費用予算!AO25</f>
        <v>150.0</v>
      </c>
      <c r="BL15" s="449">
        <f>費用予算!AP25</f>
        <v>150.0</v>
      </c>
      <c r="BM15" s="450">
        <f>費用予算!AQ25</f>
        <v>150.0</v>
      </c>
      <c r="BN15" s="450">
        <f>費用予算!AR25</f>
        <v>150.0</v>
      </c>
      <c r="BO15" s="450">
        <f>費用予算!AS25</f>
        <v>150.0</v>
      </c>
      <c r="BP15" s="450">
        <f>費用予算!AT25</f>
        <v>150.0</v>
      </c>
      <c r="BQ15" s="450">
        <f>費用予算!AU25</f>
        <v>150.0</v>
      </c>
      <c r="BR15" s="450">
        <f>費用予算!AV25</f>
        <v>150.0</v>
      </c>
      <c r="BS15" s="450">
        <f>費用予算!AW25</f>
        <v>150.0</v>
      </c>
      <c r="BT15" s="450">
        <f>費用予算!AX25</f>
        <v>150.0</v>
      </c>
      <c r="BU15" s="450">
        <f>費用予算!AY25</f>
        <v>150.0</v>
      </c>
      <c r="BV15" s="450">
        <f>費用予算!AZ25</f>
        <v>150.0</v>
      </c>
      <c r="BW15" s="451">
        <f>費用予算!BA25</f>
        <v>150.0</v>
      </c>
      <c r="BX15" s="449">
        <f>費用予算!BB25</f>
        <v>150.0</v>
      </c>
      <c r="BY15" s="450">
        <f>費用予算!BC25</f>
        <v>150.0</v>
      </c>
      <c r="BZ15" s="450">
        <f>費用予算!BD25</f>
        <v>150.0</v>
      </c>
      <c r="CA15" s="450">
        <f>費用予算!BE25</f>
        <v>150.0</v>
      </c>
      <c r="CB15" s="450">
        <f>費用予算!BF25</f>
        <v>150.0</v>
      </c>
      <c r="CC15" s="450">
        <f>費用予算!BG25</f>
        <v>150.0</v>
      </c>
      <c r="CD15" s="450">
        <f>費用予算!BH25</f>
        <v>150.0</v>
      </c>
      <c r="CE15" s="450">
        <f>費用予算!BI25</f>
        <v>150.0</v>
      </c>
      <c r="CF15" s="450">
        <f>費用予算!BJ25</f>
        <v>150.0</v>
      </c>
      <c r="CG15" s="450">
        <f>費用予算!BK25</f>
        <v>150.0</v>
      </c>
      <c r="CH15" s="450">
        <f>費用予算!BL25</f>
        <v>150.0</v>
      </c>
      <c r="CI15" s="451">
        <f>費用予算!BM25</f>
        <v>150.0</v>
      </c>
    </row>
    <row r="16" ht="18" customHeight="1" s="145">
      <c r="A16" s="237" t="n"/>
      <c r="B16" s="233" t="n"/>
      <c r="C16" s="306" t="inlineStr">
        <is>
          <t>稼働顧問先数</t>
        </is>
      </c>
      <c r="D16" s="377" t="n"/>
      <c r="E16" s="444">
        <f>SUMIF($AB$3:$CI$3,E$4,$AB16:$CI16)/12</f>
        <v>306.814865289424</v>
      </c>
      <c r="F16" s="445">
        <f>SUMIF($AB$3:$CI$3,F$4,$AB16:$CI16)/12</f>
        <v>1282.07592136004</v>
      </c>
      <c r="G16" s="445">
        <f>SUMIF($AB$3:$CI$3,G$4,$AB16:$CI16)/12</f>
        <v>2635.52190582029</v>
      </c>
      <c r="H16" s="445">
        <f>SUMIF($AB$3:$CI$3,H$4,$AB16:$CI16)/12</f>
        <v>4329.44575977081</v>
      </c>
      <c r="I16" s="446">
        <f>SUMIF($AB$3:$CI$3,I$4,$AB16:$CI16)/12</f>
        <v>6454.90086051866</v>
      </c>
      <c r="J16" s="447">
        <f>AVERAGE(E16:I16)</f>
        <v>3001.75186255184</v>
      </c>
      <c r="K16" s="448" t="n"/>
      <c r="L16" s="448" t="n"/>
      <c r="M16" s="448" t="n"/>
      <c r="N16" s="448" t="n"/>
      <c r="O16" s="235" t="n"/>
      <c r="P16" s="408" t="n"/>
      <c r="Q16" s="409" t="n"/>
      <c r="R16" s="409" t="n"/>
      <c r="S16" s="409" t="n"/>
      <c r="T16" s="409" t="n"/>
      <c r="U16" s="409" t="n"/>
      <c r="V16" s="409" t="n"/>
      <c r="W16" s="409" t="n"/>
      <c r="X16" s="409" t="n"/>
      <c r="Y16" s="409" t="n"/>
      <c r="Z16" s="409" t="n"/>
      <c r="AA16" s="412" t="n"/>
      <c r="AB16" s="449">
        <f>費用予算!F26</f>
        <v>0.0</v>
      </c>
      <c r="AC16" s="450">
        <f>費用予算!G26</f>
        <v>12.0</v>
      </c>
      <c r="AD16" s="450">
        <f>費用予算!H26</f>
        <v>71.76</v>
      </c>
      <c r="AE16" s="450">
        <f>費用予算!I26</f>
        <v>130.3248</v>
      </c>
      <c r="AF16" s="450">
        <f>費用予算!J26</f>
        <v>187.718304</v>
      </c>
      <c r="AG16" s="450">
        <f>費用予算!K26</f>
        <v>255.96393792</v>
      </c>
      <c r="AH16" s="450">
        <f>費用予算!L26</f>
        <v>322.8446591616</v>
      </c>
      <c r="AI16" s="450">
        <f>費用予算!M26</f>
        <v>388.387765978368</v>
      </c>
      <c r="AJ16" s="450">
        <f>費用予算!N26</f>
        <v>464.620010658801</v>
      </c>
      <c r="AK16" s="450">
        <f>費用予算!O26</f>
        <v>539.327610445625</v>
      </c>
      <c r="AL16" s="450">
        <f>費用予算!P26</f>
        <v>612.541058236712</v>
      </c>
      <c r="AM16" s="451">
        <f>費用予算!Q26</f>
        <v>696.290237071978</v>
      </c>
      <c r="AN16" s="449">
        <f>費用予算!R26</f>
        <v>778.364432330538</v>
      </c>
      <c r="AO16" s="450">
        <f>費用予算!S26</f>
        <v>858.797143683928</v>
      </c>
      <c r="AP16" s="450">
        <f>費用予算!T26</f>
        <v>949.621200810249</v>
      </c>
      <c r="AQ16" s="450">
        <f>費用予算!U26</f>
        <v>1038.62877679404</v>
      </c>
      <c r="AR16" s="450">
        <f>費用予算!V26</f>
        <v>1125.85620125816</v>
      </c>
      <c r="AS16" s="450">
        <f>費用予算!W26</f>
        <v>1223.339077233</v>
      </c>
      <c r="AT16" s="450">
        <f>費用予算!X26</f>
        <v>1318.87229568834</v>
      </c>
      <c r="AU16" s="450">
        <f>費用予算!Y26</f>
        <v>1412.49484977457</v>
      </c>
      <c r="AV16" s="450">
        <f>費用予算!Z26</f>
        <v>1516.24495277908</v>
      </c>
      <c r="AW16" s="450">
        <f>費用予算!AA26</f>
        <v>1617.9200537235</v>
      </c>
      <c r="AX16" s="450">
        <f>費用予算!AB26</f>
        <v>1717.56165264903</v>
      </c>
      <c r="AY16" s="451">
        <f>費用予算!AC26</f>
        <v>1827.21041959605</v>
      </c>
      <c r="AZ16" s="449">
        <f>費用予算!AD26</f>
        <v>1943.80226330211</v>
      </c>
      <c r="BA16" s="450">
        <f>費用予算!AE26</f>
        <v>2058.64522935258</v>
      </c>
      <c r="BB16" s="450">
        <f>費用予算!AF26</f>
        <v>2183.76555091229</v>
      </c>
      <c r="BC16" s="450">
        <f>費用予算!AG26</f>
        <v>2307.0090676486</v>
      </c>
      <c r="BD16" s="450">
        <f>費用予算!AH26</f>
        <v>2428.40393163387</v>
      </c>
      <c r="BE16" s="450">
        <f>費用予算!AI26</f>
        <v>2559.97787265937</v>
      </c>
      <c r="BF16" s="450">
        <f>費用予算!AJ26</f>
        <v>2689.57820456948</v>
      </c>
      <c r="BG16" s="450">
        <f>費用予算!AK26</f>
        <v>2817.23453150093</v>
      </c>
      <c r="BH16" s="450">
        <f>費用予算!AL26</f>
        <v>2954.97601352842</v>
      </c>
      <c r="BI16" s="450">
        <f>費用予算!AM26</f>
        <v>3090.65137332549</v>
      </c>
      <c r="BJ16" s="450">
        <f>費用予算!AN26</f>
        <v>3224.29160272561</v>
      </c>
      <c r="BK16" s="451">
        <f>費用予算!AO26</f>
        <v>3367.92722868473</v>
      </c>
      <c r="BL16" s="449">
        <f>費用予算!AP26</f>
        <v>3509.40832025446</v>
      </c>
      <c r="BM16" s="450">
        <f>費用予算!AQ26</f>
        <v>3648.76719545064</v>
      </c>
      <c r="BN16" s="450">
        <f>費用予算!AR26</f>
        <v>3798.03568751888</v>
      </c>
      <c r="BO16" s="450">
        <f>費用予算!AS26</f>
        <v>3945.0651522061</v>
      </c>
      <c r="BP16" s="450">
        <f>費用予算!AT26</f>
        <v>4089.889174923</v>
      </c>
      <c r="BQ16" s="450">
        <f>費用予算!AU26</f>
        <v>4244.54083729916</v>
      </c>
      <c r="BR16" s="450">
        <f>費用予算!AV26</f>
        <v>4396.87272473967</v>
      </c>
      <c r="BS16" s="450">
        <f>費用予算!AW26</f>
        <v>4546.91963386858</v>
      </c>
      <c r="BT16" s="450">
        <f>費用予算!AX26</f>
        <v>4706.71583936055</v>
      </c>
      <c r="BU16" s="450">
        <f>費用予算!AY26</f>
        <v>4864.11510177014</v>
      </c>
      <c r="BV16" s="450">
        <f>費用予算!AZ26</f>
        <v>5019.15337524359</v>
      </c>
      <c r="BW16" s="451">
        <f>費用予算!BA26</f>
        <v>5183.86607461493</v>
      </c>
      <c r="BX16" s="449">
        <f>費用予算!BB26</f>
        <v>5372.02741386878</v>
      </c>
      <c r="BY16" s="450">
        <f>費用予算!BC26</f>
        <v>5558.3071397301</v>
      </c>
      <c r="BZ16" s="450">
        <f>費用予算!BD26</f>
        <v>5754.7240683328</v>
      </c>
      <c r="CA16" s="450">
        <f>費用予算!BE26</f>
        <v>5949.17682764947</v>
      </c>
      <c r="CB16" s="450">
        <f>費用予算!BF26</f>
        <v>6141.68505937297</v>
      </c>
      <c r="CC16" s="450">
        <f>費用予算!BG26</f>
        <v>6344.26820877924</v>
      </c>
      <c r="CD16" s="450">
        <f>費用予算!BH26</f>
        <v>6544.82552669145</v>
      </c>
      <c r="CE16" s="450">
        <f>費用予算!BI26</f>
        <v>6743.37727142454</v>
      </c>
      <c r="CF16" s="450">
        <f>費用予算!BJ26</f>
        <v>6951.94349871029</v>
      </c>
      <c r="CG16" s="450">
        <f>費用予算!BK26</f>
        <v>7158.42406372319</v>
      </c>
      <c r="CH16" s="450">
        <f>費用予算!BL26</f>
        <v>7362.83982308596</v>
      </c>
      <c r="CI16" s="451">
        <f>費用予算!BM26</f>
        <v>7577.2114248551</v>
      </c>
    </row>
    <row r="17" ht="18" customHeight="1" s="145">
      <c r="A17" s="237" t="n"/>
      <c r="B17" s="233" t="n"/>
      <c r="C17" s="306" t="inlineStr">
        <is>
          <t>AI API費</t>
        </is>
      </c>
      <c r="D17" s="377" t="n"/>
      <c r="E17" s="444">
        <f>SUMIF($AB$3:$CI$3,E$4,$AB17:$CI17)</f>
        <v>552266.757520963</v>
      </c>
      <c r="F17" s="445">
        <f>SUMIF($AB$3:$CI$3,F$4,$AB17:$CI17)</f>
        <v>2307736.65844807</v>
      </c>
      <c r="G17" s="445">
        <f>SUMIF($AB$3:$CI$3,G$4,$AB17:$CI17)</f>
        <v>4743939.43047652</v>
      </c>
      <c r="H17" s="445">
        <f>SUMIF($AB$3:$CI$3,H$4,$AB17:$CI17)</f>
        <v>7793002.36758745</v>
      </c>
      <c r="I17" s="446">
        <f>SUMIF($AB$3:$CI$3,I$4,$AB17:$CI17)</f>
        <v>11618821.5489336</v>
      </c>
      <c r="J17" s="447">
        <f>SUM(E17:I17)</f>
        <v>27015766.7629666</v>
      </c>
      <c r="K17" s="448" t="n"/>
      <c r="L17" s="448" t="n"/>
      <c r="M17" s="448" t="n"/>
      <c r="N17" s="448" t="n"/>
      <c r="O17" s="235" t="n"/>
      <c r="P17" s="408" t="n"/>
      <c r="Q17" s="409" t="n"/>
      <c r="R17" s="409" t="n"/>
      <c r="S17" s="409" t="n"/>
      <c r="T17" s="409" t="n"/>
      <c r="U17" s="409" t="n"/>
      <c r="V17" s="409" t="n"/>
      <c r="W17" s="409" t="n"/>
      <c r="X17" s="409" t="n"/>
      <c r="Y17" s="409" t="n"/>
      <c r="Z17" s="409" t="n"/>
      <c r="AA17" s="412" t="n"/>
      <c r="AB17" s="449">
        <f>費用予算!F27</f>
        <v>0.0</v>
      </c>
      <c r="AC17" s="450">
        <f>費用予算!G27</f>
        <v>1800.0</v>
      </c>
      <c r="AD17" s="450">
        <f>費用予算!H27</f>
        <v>10764.0</v>
      </c>
      <c r="AE17" s="450">
        <f>費用予算!I27</f>
        <v>19548.72</v>
      </c>
      <c r="AF17" s="450">
        <f>費用予算!J27</f>
        <v>28157.7456</v>
      </c>
      <c r="AG17" s="450">
        <f>費用予算!K27</f>
        <v>38394.590688</v>
      </c>
      <c r="AH17" s="450">
        <f>費用予算!L27</f>
        <v>48426.69887424</v>
      </c>
      <c r="AI17" s="450">
        <f>費用予算!M27</f>
        <v>58258.1648967552</v>
      </c>
      <c r="AJ17" s="450">
        <f>費用予算!N27</f>
        <v>69693.0015988201</v>
      </c>
      <c r="AK17" s="450">
        <f>費用予算!O27</f>
        <v>80899.1415668437</v>
      </c>
      <c r="AL17" s="450">
        <f>費用予算!P27</f>
        <v>91881.1587355068</v>
      </c>
      <c r="AM17" s="451">
        <f>費用予算!Q27</f>
        <v>104443.535560797</v>
      </c>
      <c r="AN17" s="449">
        <f>費用予算!R27</f>
        <v>116754.664849581</v>
      </c>
      <c r="AO17" s="450">
        <f>費用予算!S27</f>
        <v>128819.571552589</v>
      </c>
      <c r="AP17" s="450">
        <f>費用予算!T27</f>
        <v>142443.180121537</v>
      </c>
      <c r="AQ17" s="450">
        <f>費用予算!U27</f>
        <v>155794.316519107</v>
      </c>
      <c r="AR17" s="450">
        <f>費用予算!V27</f>
        <v>168878.430188724</v>
      </c>
      <c r="AS17" s="450">
        <f>費用予算!W27</f>
        <v>183500.86158495</v>
      </c>
      <c r="AT17" s="450">
        <f>費用予算!X27</f>
        <v>197830.844353251</v>
      </c>
      <c r="AU17" s="450">
        <f>費用予算!Y27</f>
        <v>211874.227466186</v>
      </c>
      <c r="AV17" s="450">
        <f>費用予算!Z27</f>
        <v>227436.742916862</v>
      </c>
      <c r="AW17" s="450">
        <f>費用予算!AA27</f>
        <v>242688.008058525</v>
      </c>
      <c r="AX17" s="450">
        <f>費用予算!AB27</f>
        <v>257634.247897354</v>
      </c>
      <c r="AY17" s="451">
        <f>費用予算!AC27</f>
        <v>274081.562939407</v>
      </c>
      <c r="AZ17" s="449">
        <f>費用予算!AD27</f>
        <v>291570.339495316</v>
      </c>
      <c r="BA17" s="450">
        <f>費用予算!AE27</f>
        <v>308796.784402886</v>
      </c>
      <c r="BB17" s="450">
        <f>費用予算!AF27</f>
        <v>327564.832636843</v>
      </c>
      <c r="BC17" s="450">
        <f>費用予算!AG27</f>
        <v>346051.360147291</v>
      </c>
      <c r="BD17" s="450">
        <f>費用予算!AH27</f>
        <v>364260.589745081</v>
      </c>
      <c r="BE17" s="450">
        <f>費用予算!AI27</f>
        <v>383996.680898905</v>
      </c>
      <c r="BF17" s="450">
        <f>費用予算!AJ27</f>
        <v>403436.730685421</v>
      </c>
      <c r="BG17" s="450">
        <f>費用予算!AK27</f>
        <v>422585.17972514</v>
      </c>
      <c r="BH17" s="450">
        <f>費用予算!AL27</f>
        <v>443246.402029263</v>
      </c>
      <c r="BI17" s="450">
        <f>費用予算!AM27</f>
        <v>463597.705998824</v>
      </c>
      <c r="BJ17" s="450">
        <f>費用予算!AN27</f>
        <v>483643.740408842</v>
      </c>
      <c r="BK17" s="451">
        <f>費用予算!AO27</f>
        <v>505189.084302709</v>
      </c>
      <c r="BL17" s="449">
        <f>費用予算!AP27</f>
        <v>526411.248038168</v>
      </c>
      <c r="BM17" s="450">
        <f>費用予算!AQ27</f>
        <v>547315.079317596</v>
      </c>
      <c r="BN17" s="450">
        <f>費用予算!AR27</f>
        <v>569705.353127832</v>
      </c>
      <c r="BO17" s="450">
        <f>費用予算!AS27</f>
        <v>591759.772830914</v>
      </c>
      <c r="BP17" s="450">
        <f>費用予算!AT27</f>
        <v>613483.376238451</v>
      </c>
      <c r="BQ17" s="450">
        <f>費用予算!AU27</f>
        <v>636681.125594874</v>
      </c>
      <c r="BR17" s="450">
        <f>費用予算!AV27</f>
        <v>659530.908710951</v>
      </c>
      <c r="BS17" s="450">
        <f>費用予算!AW27</f>
        <v>682037.945080286</v>
      </c>
      <c r="BT17" s="450">
        <f>費用予算!AX27</f>
        <v>706007.375904082</v>
      </c>
      <c r="BU17" s="450">
        <f>費用予算!AY27</f>
        <v>729617.265265521</v>
      </c>
      <c r="BV17" s="450">
        <f>費用予算!AZ27</f>
        <v>752873.006286538</v>
      </c>
      <c r="BW17" s="451">
        <f>費用予算!BA27</f>
        <v>777579.91119224</v>
      </c>
      <c r="BX17" s="449">
        <f>費用予算!BB27</f>
        <v>805804.112080318</v>
      </c>
      <c r="BY17" s="450">
        <f>費用予算!BC27</f>
        <v>833746.070959515</v>
      </c>
      <c r="BZ17" s="450">
        <f>費用予算!BD27</f>
        <v>863208.610249919</v>
      </c>
      <c r="CA17" s="450">
        <f>費用予算!BE27</f>
        <v>892376.52414742</v>
      </c>
      <c r="CB17" s="450">
        <f>費用予算!BF27</f>
        <v>921252.758905946</v>
      </c>
      <c r="CC17" s="450">
        <f>費用予算!BG27</f>
        <v>951640.231316886</v>
      </c>
      <c r="CD17" s="450">
        <f>費用予算!BH27</f>
        <v>981723.829003718</v>
      </c>
      <c r="CE17" s="450">
        <f>費用予算!BI27</f>
        <v>1011506.59071368</v>
      </c>
      <c r="CF17" s="450">
        <f>費用予算!BJ27</f>
        <v>1042791.52480654</v>
      </c>
      <c r="CG17" s="450">
        <f>費用予算!BK27</f>
        <v>1073763.60955848</v>
      </c>
      <c r="CH17" s="450">
        <f>費用予算!BL27</f>
        <v>1104425.97346289</v>
      </c>
      <c r="CI17" s="451">
        <f>費用予算!BM27</f>
        <v>1136581.71372826</v>
      </c>
    </row>
    <row r="18" ht="18" customHeight="1" s="145">
      <c r="A18" s="233" t="n"/>
      <c r="B18" s="233" t="n"/>
      <c r="C18" s="306" t="inlineStr">
        <is>
          <t>サーバー・DB費</t>
        </is>
      </c>
      <c r="D18" s="378" t="n"/>
      <c r="E18" s="444">
        <f>SUMIF($AB$3:$CI$3,E$4,$AB18:$CI18)</f>
        <v>600000.0</v>
      </c>
      <c r="F18" s="445">
        <f>SUMIF($AB$3:$CI$3,F$4,$AB18:$CI18)</f>
        <v>1800000.0</v>
      </c>
      <c r="G18" s="445">
        <f>SUMIF($AB$3:$CI$3,G$4,$AB18:$CI18)</f>
        <v>3600000.0</v>
      </c>
      <c r="H18" s="445">
        <f>SUMIF($AB$3:$CI$3,H$4,$AB18:$CI18)</f>
        <v>6000000.0</v>
      </c>
      <c r="I18" s="446">
        <f>SUMIF($AB$3:$CI$3,I$4,$AB18:$CI18)</f>
        <v>9600000.0</v>
      </c>
      <c r="J18" s="406">
        <f>SUM(E18:I18)</f>
        <v>21600000.0</v>
      </c>
      <c r="K18" s="407">
        <f>SUMIF($P$3:$CN$3,K$4,$P18:$CN18)</f>
        <v>0.0</v>
      </c>
      <c r="L18" s="407">
        <f>SUMIF($P$3:$CN$3,L$4,$P18:$CN18)</f>
        <v>0.0</v>
      </c>
      <c r="M18" s="407">
        <f>SUMIF($P$3:$CN$3,M$4,$P18:$CN18)</f>
        <v>0.0</v>
      </c>
      <c r="N18" s="407">
        <f>SUMIF($P$3:$CN$3,N$4,$P18:$CN18)</f>
        <v>0.0</v>
      </c>
      <c r="O18" s="235" t="n"/>
      <c r="P18" s="408" t="n"/>
      <c r="Q18" s="409" t="n"/>
      <c r="R18" s="409" t="n"/>
      <c r="S18" s="409" t="n"/>
      <c r="T18" s="409" t="n"/>
      <c r="U18" s="409" t="n"/>
      <c r="V18" s="409" t="n"/>
      <c r="W18" s="409" t="n"/>
      <c r="X18" s="409" t="n"/>
      <c r="Y18" s="409" t="n"/>
      <c r="Z18" s="409" t="n"/>
      <c r="AA18" s="412" t="n"/>
      <c r="AB18" s="408">
        <f>費用予算!F28</f>
        <v>50000.0</v>
      </c>
      <c r="AC18" s="409">
        <f>費用予算!G28</f>
        <v>50000.0</v>
      </c>
      <c r="AD18" s="409">
        <f>費用予算!H28</f>
        <v>50000.0</v>
      </c>
      <c r="AE18" s="409">
        <f>費用予算!I28</f>
        <v>50000.0</v>
      </c>
      <c r="AF18" s="409">
        <f>費用予算!J28</f>
        <v>50000.0</v>
      </c>
      <c r="AG18" s="409">
        <f>費用予算!K28</f>
        <v>50000.0</v>
      </c>
      <c r="AH18" s="409">
        <f>費用予算!L28</f>
        <v>50000.0</v>
      </c>
      <c r="AI18" s="409">
        <f>費用予算!M28</f>
        <v>50000.0</v>
      </c>
      <c r="AJ18" s="409">
        <f>費用予算!N28</f>
        <v>50000.0</v>
      </c>
      <c r="AK18" s="409">
        <f>費用予算!O28</f>
        <v>50000.0</v>
      </c>
      <c r="AL18" s="409">
        <f>費用予算!P28</f>
        <v>50000.0</v>
      </c>
      <c r="AM18" s="412">
        <f>費用予算!Q28</f>
        <v>50000.0</v>
      </c>
      <c r="AN18" s="408">
        <f>費用予算!R28</f>
        <v>150000.0</v>
      </c>
      <c r="AO18" s="409">
        <f>費用予算!S28</f>
        <v>150000.0</v>
      </c>
      <c r="AP18" s="409">
        <f>費用予算!T28</f>
        <v>150000.0</v>
      </c>
      <c r="AQ18" s="409">
        <f>費用予算!U28</f>
        <v>150000.0</v>
      </c>
      <c r="AR18" s="409">
        <f>費用予算!V28</f>
        <v>150000.0</v>
      </c>
      <c r="AS18" s="409">
        <f>費用予算!W28</f>
        <v>150000.0</v>
      </c>
      <c r="AT18" s="409">
        <f>費用予算!X28</f>
        <v>150000.0</v>
      </c>
      <c r="AU18" s="409">
        <f>費用予算!Y28</f>
        <v>150000.0</v>
      </c>
      <c r="AV18" s="409">
        <f>費用予算!Z28</f>
        <v>150000.0</v>
      </c>
      <c r="AW18" s="409">
        <f>費用予算!AA28</f>
        <v>150000.0</v>
      </c>
      <c r="AX18" s="409">
        <f>費用予算!AB28</f>
        <v>150000.0</v>
      </c>
      <c r="AY18" s="412">
        <f>費用予算!AC28</f>
        <v>150000.0</v>
      </c>
      <c r="AZ18" s="408">
        <f>費用予算!AD28</f>
        <v>300000.0</v>
      </c>
      <c r="BA18" s="409">
        <f>費用予算!AE28</f>
        <v>300000.0</v>
      </c>
      <c r="BB18" s="409">
        <f>費用予算!AF28</f>
        <v>300000.0</v>
      </c>
      <c r="BC18" s="409">
        <f>費用予算!AG28</f>
        <v>300000.0</v>
      </c>
      <c r="BD18" s="409">
        <f>費用予算!AH28</f>
        <v>300000.0</v>
      </c>
      <c r="BE18" s="409">
        <f>費用予算!AI28</f>
        <v>300000.0</v>
      </c>
      <c r="BF18" s="409">
        <f>費用予算!AJ28</f>
        <v>300000.0</v>
      </c>
      <c r="BG18" s="409">
        <f>費用予算!AK28</f>
        <v>300000.0</v>
      </c>
      <c r="BH18" s="409">
        <f>費用予算!AL28</f>
        <v>300000.0</v>
      </c>
      <c r="BI18" s="409">
        <f>費用予算!AM28</f>
        <v>300000.0</v>
      </c>
      <c r="BJ18" s="409">
        <f>費用予算!AN28</f>
        <v>300000.0</v>
      </c>
      <c r="BK18" s="412">
        <f>費用予算!AO28</f>
        <v>300000.0</v>
      </c>
      <c r="BL18" s="408">
        <f>費用予算!AP28</f>
        <v>500000.0</v>
      </c>
      <c r="BM18" s="409">
        <f>費用予算!AQ28</f>
        <v>500000.0</v>
      </c>
      <c r="BN18" s="409">
        <f>費用予算!AR28</f>
        <v>500000.0</v>
      </c>
      <c r="BO18" s="409">
        <f>費用予算!AS28</f>
        <v>500000.0</v>
      </c>
      <c r="BP18" s="409">
        <f>費用予算!AT28</f>
        <v>500000.0</v>
      </c>
      <c r="BQ18" s="409">
        <f>費用予算!AU28</f>
        <v>500000.0</v>
      </c>
      <c r="BR18" s="409">
        <f>費用予算!AV28</f>
        <v>500000.0</v>
      </c>
      <c r="BS18" s="409">
        <f>費用予算!AW28</f>
        <v>500000.0</v>
      </c>
      <c r="BT18" s="409">
        <f>費用予算!AX28</f>
        <v>500000.0</v>
      </c>
      <c r="BU18" s="409">
        <f>費用予算!AY28</f>
        <v>500000.0</v>
      </c>
      <c r="BV18" s="409">
        <f>費用予算!AZ28</f>
        <v>500000.0</v>
      </c>
      <c r="BW18" s="412">
        <f>費用予算!BA28</f>
        <v>500000.0</v>
      </c>
      <c r="BX18" s="408">
        <f>費用予算!BB28</f>
        <v>800000.0</v>
      </c>
      <c r="BY18" s="409">
        <f>費用予算!BC28</f>
        <v>800000.0</v>
      </c>
      <c r="BZ18" s="409">
        <f>費用予算!BD28</f>
        <v>800000.0</v>
      </c>
      <c r="CA18" s="409">
        <f>費用予算!BE28</f>
        <v>800000.0</v>
      </c>
      <c r="CB18" s="409">
        <f>費用予算!BF28</f>
        <v>800000.0</v>
      </c>
      <c r="CC18" s="409">
        <f>費用予算!BG28</f>
        <v>800000.0</v>
      </c>
      <c r="CD18" s="409">
        <f>費用予算!BH28</f>
        <v>800000.0</v>
      </c>
      <c r="CE18" s="409">
        <f>費用予算!BI28</f>
        <v>800000.0</v>
      </c>
      <c r="CF18" s="409">
        <f>費用予算!BJ28</f>
        <v>800000.0</v>
      </c>
      <c r="CG18" s="409">
        <f>費用予算!BK28</f>
        <v>800000.0</v>
      </c>
      <c r="CH18" s="409">
        <f>費用予算!BL28</f>
        <v>800000.0</v>
      </c>
      <c r="CI18" s="412">
        <f>費用予算!BM28</f>
        <v>800000.0</v>
      </c>
    </row>
    <row r="19" ht="18" customHeight="1" s="145">
      <c r="A19" s="233" t="n"/>
      <c r="B19" s="233" t="n"/>
      <c r="C19" s="306" t="inlineStr">
        <is>
          <t>決済手数料</t>
        </is>
      </c>
      <c r="D19" s="378" t="n"/>
      <c r="E19" s="444">
        <f>SUMIF($AB$3:$CI$3,E$4,$AB19:$CI19)</f>
        <v>473581.404099539</v>
      </c>
      <c r="F19" s="445">
        <f>SUMIF($AB$3:$CI$3,F$4,$AB19:$CI19)</f>
        <v>1978937.08450908</v>
      </c>
      <c r="G19" s="445">
        <f>SUMIF($AB$3:$CI$3,G$4,$AB19:$CI19)</f>
        <v>4068036.80622215</v>
      </c>
      <c r="H19" s="445">
        <f>SUMIF($AB$3:$CI$3,H$4,$AB19:$CI19)</f>
        <v>6682678.16799205</v>
      </c>
      <c r="I19" s="446">
        <f>SUMIF($AB$3:$CI$3,I$4,$AB19:$CI19)</f>
        <v>9963405.81465667</v>
      </c>
      <c r="J19" s="406">
        <f>SUM(E19:I19)</f>
        <v>23166639.2774795</v>
      </c>
      <c r="K19" s="407">
        <f>SUMIF($P$3:$CN$3,K$4,$P19:$CN19)</f>
        <v>0.0</v>
      </c>
      <c r="L19" s="407">
        <f>SUMIF($P$3:$CN$3,L$4,$P19:$CN19)</f>
        <v>0.0</v>
      </c>
      <c r="M19" s="407">
        <f>SUMIF($P$3:$CN$3,M$4,$P19:$CN19)</f>
        <v>0.0</v>
      </c>
      <c r="N19" s="407">
        <f>SUMIF($P$3:$CN$3,N$4,$P19:$CN19)</f>
        <v>0.0</v>
      </c>
      <c r="O19" s="235" t="n"/>
      <c r="P19" s="408" t="n"/>
      <c r="Q19" s="409" t="n"/>
      <c r="R19" s="409" t="n"/>
      <c r="S19" s="409" t="n"/>
      <c r="T19" s="409" t="n"/>
      <c r="U19" s="409" t="n"/>
      <c r="V19" s="409" t="n"/>
      <c r="W19" s="409" t="n"/>
      <c r="X19" s="409" t="n"/>
      <c r="Y19" s="409" t="n"/>
      <c r="Z19" s="409" t="n"/>
      <c r="AA19" s="412" t="n"/>
      <c r="AB19" s="408">
        <f>費用予算!F29</f>
        <v>0.0</v>
      </c>
      <c r="AC19" s="409">
        <f>費用予算!G29</f>
        <v>1543.5412611211</v>
      </c>
      <c r="AD19" s="409">
        <f>費用予算!H29</f>
        <v>9230.37674150421</v>
      </c>
      <c r="AE19" s="409">
        <f>費用予算!I29</f>
        <v>16763.4755122796</v>
      </c>
      <c r="AF19" s="409">
        <f>費用予算!J29</f>
        <v>24145.9123076396</v>
      </c>
      <c r="AG19" s="409">
        <f>費用予算!K29</f>
        <v>32924.2416282134</v>
      </c>
      <c r="AH19" s="409">
        <f>費用予算!L29</f>
        <v>41527.0043623758</v>
      </c>
      <c r="AI19" s="409">
        <f>費用予算!M29</f>
        <v>49957.7118418549</v>
      </c>
      <c r="AJ19" s="409">
        <f>費用予算!N29</f>
        <v>59763.3464328655</v>
      </c>
      <c r="AK19" s="409">
        <f>費用予算!O29</f>
        <v>69372.8683320559</v>
      </c>
      <c r="AL19" s="409">
        <f>費用予算!P29</f>
        <v>78790.1997932625</v>
      </c>
      <c r="AM19" s="412">
        <f>費用予算!Q29</f>
        <v>89562.7258863661</v>
      </c>
      <c r="AN19" s="408">
        <f>費用予算!R29</f>
        <v>100119.801457608</v>
      </c>
      <c r="AO19" s="409">
        <f>費用予算!S29</f>
        <v>110465.735517424</v>
      </c>
      <c r="AP19" s="409">
        <f>費用予算!T29</f>
        <v>122148.292157166</v>
      </c>
      <c r="AQ19" s="409">
        <f>費用予算!U29</f>
        <v>133597.197664112</v>
      </c>
      <c r="AR19" s="409">
        <f>費用予算!V29</f>
        <v>144817.12506092</v>
      </c>
      <c r="AS19" s="409">
        <f>費用予算!W29</f>
        <v>157356.195170913</v>
      </c>
      <c r="AT19" s="409">
        <f>費用予算!X29</f>
        <v>169644.483878706</v>
      </c>
      <c r="AU19" s="409">
        <f>費用予算!Y29</f>
        <v>181687.006812342</v>
      </c>
      <c r="AV19" s="409">
        <f>費用予算!Z29</f>
        <v>195032.220548428</v>
      </c>
      <c r="AW19" s="409">
        <f>費用予算!AA29</f>
        <v>208110.530009791</v>
      </c>
      <c r="AX19" s="409">
        <f>費用予算!AB29</f>
        <v>220927.273281928</v>
      </c>
      <c r="AY19" s="412">
        <f>費用予算!AC29</f>
        <v>235031.222949742</v>
      </c>
      <c r="AZ19" s="408">
        <f>費用予算!AD29</f>
        <v>250028.249738949</v>
      </c>
      <c r="BA19" s="409">
        <f>費用予算!AE29</f>
        <v>264800.321126319</v>
      </c>
      <c r="BB19" s="409">
        <f>費用予算!AF29</f>
        <v>280894.352703998</v>
      </c>
      <c r="BC19" s="409">
        <f>費用予算!AG29</f>
        <v>296746.973808012</v>
      </c>
      <c r="BD19" s="409">
        <f>費用予算!AH29</f>
        <v>312361.805595467</v>
      </c>
      <c r="BE19" s="409">
        <f>費用予算!AI29</f>
        <v>329285.95616723</v>
      </c>
      <c r="BF19" s="409">
        <f>費用予算!AJ29</f>
        <v>345956.244480417</v>
      </c>
      <c r="BG19" s="409">
        <f>費用予算!AK29</f>
        <v>362376.478468906</v>
      </c>
      <c r="BH19" s="409">
        <f>費用予算!AL29</f>
        <v>380093.950208689</v>
      </c>
      <c r="BI19" s="409">
        <f>費用予算!AM29</f>
        <v>397545.659872375</v>
      </c>
      <c r="BJ19" s="409">
        <f>費用予算!AN29</f>
        <v>414735.593891106</v>
      </c>
      <c r="BK19" s="412">
        <f>費用予算!AO29</f>
        <v>433211.220160677</v>
      </c>
      <c r="BL19" s="408">
        <f>費用予算!AP29</f>
        <v>451409.712036205</v>
      </c>
      <c r="BM19" s="409">
        <f>費用予算!AQ29</f>
        <v>469335.2265336</v>
      </c>
      <c r="BN19" s="409">
        <f>費用予算!AR29</f>
        <v>488535.399574654</v>
      </c>
      <c r="BO19" s="409">
        <f>費用予算!AS29</f>
        <v>507447.570020093</v>
      </c>
      <c r="BP19" s="409">
        <f>費用予算!AT29</f>
        <v>526076.057908851</v>
      </c>
      <c r="BQ19" s="409">
        <f>費用予算!AU29</f>
        <v>545968.659740398</v>
      </c>
      <c r="BR19" s="409">
        <f>費用予算!AV29</f>
        <v>565562.872544472</v>
      </c>
      <c r="BS19" s="409">
        <f>費用予算!AW29</f>
        <v>584863.172156484</v>
      </c>
      <c r="BT19" s="409">
        <f>費用予算!AX29</f>
        <v>605417.508535438</v>
      </c>
      <c r="BU19" s="409">
        <f>費用予算!AY29</f>
        <v>625663.529868708</v>
      </c>
      <c r="BV19" s="409">
        <f>費用予算!AZ29</f>
        <v>645605.860881978</v>
      </c>
      <c r="BW19" s="412">
        <f>費用予算!BA29</f>
        <v>666792.59819117</v>
      </c>
      <c r="BX19" s="408">
        <f>費用予算!BB29</f>
        <v>690995.497431681</v>
      </c>
      <c r="BY19" s="409">
        <f>費用予算!BC29</f>
        <v>714956.367679786</v>
      </c>
      <c r="BZ19" s="409">
        <f>費用予算!BD29</f>
        <v>740221.170486531</v>
      </c>
      <c r="CA19" s="409">
        <f>費用予算!BE29</f>
        <v>765233.325265209</v>
      </c>
      <c r="CB19" s="409">
        <f>費用予算!BF29</f>
        <v>789995.3584961</v>
      </c>
      <c r="CC19" s="409">
        <f>費用予算!BG29</f>
        <v>816053.312655804</v>
      </c>
      <c r="CD19" s="409">
        <f>費用予算!BH29</f>
        <v>841850.68727391</v>
      </c>
      <c r="CE19" s="409">
        <f>費用予算!BI29</f>
        <v>867390.088145835</v>
      </c>
      <c r="CF19" s="409">
        <f>費用予算!BJ29</f>
        <v>894217.636270162</v>
      </c>
      <c r="CG19" s="409">
        <f>費用予算!BK29</f>
        <v>920776.908913246</v>
      </c>
      <c r="CH19" s="409">
        <f>費用予算!BL29</f>
        <v>947070.588829899</v>
      </c>
      <c r="CI19" s="412">
        <f>費用予算!BM29</f>
        <v>974644.873208506</v>
      </c>
    </row>
    <row r="20" ht="18" customHeight="1" s="145">
      <c r="A20" s="233" t="n"/>
      <c r="B20" s="233" t="n"/>
      <c r="C20" s="306" t="inlineStr">
        <is>
          <t>コンサル直接経費</t>
        </is>
      </c>
      <c r="D20" s="378" t="n"/>
      <c r="E20" s="444">
        <f>SUMIF($AB$3:$CI$3,E$4,$AB20:$CI20)</f>
        <v>324515.056007916</v>
      </c>
      <c r="F20" s="445">
        <f>SUMIF($AB$3:$CI$3,F$4,$AB20:$CI20)</f>
        <v>1917646.74806454</v>
      </c>
      <c r="G20" s="445">
        <f>SUMIF($AB$3:$CI$3,G$4,$AB20:$CI20)</f>
        <v>3819514.16042722</v>
      </c>
      <c r="H20" s="445">
        <f>SUMIF($AB$3:$CI$3,H$4,$AB20:$CI20)</f>
        <v>5841022.43495359</v>
      </c>
      <c r="I20" s="446">
        <f>SUMIF($AB$3:$CI$3,I$4,$AB20:$CI20)</f>
        <v>7927179.85624675</v>
      </c>
      <c r="J20" s="406">
        <f>SUM(E20:I20)</f>
        <v>19829878.2557</v>
      </c>
      <c r="K20" s="407">
        <f>SUMIF($P$3:$CN$3,K$4,$P20:$CN20)</f>
        <v>0.0</v>
      </c>
      <c r="L20" s="407">
        <f>SUMIF($P$3:$CN$3,L$4,$P20:$CN20)</f>
        <v>0.0</v>
      </c>
      <c r="M20" s="407">
        <f>SUMIF($P$3:$CN$3,M$4,$P20:$CN20)</f>
        <v>0.0</v>
      </c>
      <c r="N20" s="407">
        <f>SUMIF($P$3:$CN$3,N$4,$P20:$CN20)</f>
        <v>0.0</v>
      </c>
      <c r="O20" s="235" t="n"/>
      <c r="P20" s="408" t="n"/>
      <c r="Q20" s="409" t="n"/>
      <c r="R20" s="409" t="n"/>
      <c r="S20" s="409" t="n"/>
      <c r="T20" s="409" t="n"/>
      <c r="U20" s="409" t="n"/>
      <c r="V20" s="409" t="n"/>
      <c r="W20" s="409" t="n"/>
      <c r="X20" s="409" t="n"/>
      <c r="Y20" s="409" t="n"/>
      <c r="Z20" s="409" t="n"/>
      <c r="AA20" s="412" t="n"/>
      <c r="AB20" s="408">
        <f>費用予算!F30</f>
        <v>0.0</v>
      </c>
      <c r="AC20" s="409">
        <f>費用予算!G30</f>
        <v>0.0</v>
      </c>
      <c r="AD20" s="409">
        <f>費用予算!H30</f>
        <v>0.0</v>
      </c>
      <c r="AE20" s="409">
        <f>費用予算!I30</f>
        <v>0.0</v>
      </c>
      <c r="AF20" s="409">
        <f>費用予算!J30</f>
        <v>2252.25</v>
      </c>
      <c r="AG20" s="409">
        <f>費用予算!K30</f>
        <v>13400.8875</v>
      </c>
      <c r="AH20" s="409">
        <f>費用予算!L30</f>
        <v>23992.093125</v>
      </c>
      <c r="AI20" s="409">
        <f>費用予算!M30</f>
        <v>34053.73846875</v>
      </c>
      <c r="AJ20" s="409">
        <f>費用予算!N30</f>
        <v>45864.5515453125</v>
      </c>
      <c r="AK20" s="409">
        <f>費用予算!O30</f>
        <v>57084.8239680469</v>
      </c>
      <c r="AL20" s="409">
        <f>費用予算!P30</f>
        <v>67744.0827696446</v>
      </c>
      <c r="AM20" s="412">
        <f>費用予算!Q30</f>
        <v>80122.6286311623</v>
      </c>
      <c r="AN20" s="408">
        <f>費用予算!R30</f>
        <v>91882.2471996042</v>
      </c>
      <c r="AO20" s="409">
        <f>費用予算!S30</f>
        <v>103053.884839624</v>
      </c>
      <c r="AP20" s="409">
        <f>費用予算!T30</f>
        <v>115919.190597643</v>
      </c>
      <c r="AQ20" s="409">
        <f>費用予算!U30</f>
        <v>128141.231067761</v>
      </c>
      <c r="AR20" s="409">
        <f>費用予算!V30</f>
        <v>139752.169514373</v>
      </c>
      <c r="AS20" s="409">
        <f>費用予算!W30</f>
        <v>153034.811038654</v>
      </c>
      <c r="AT20" s="409">
        <f>費用予算!X30</f>
        <v>165653.320486721</v>
      </c>
      <c r="AU20" s="409">
        <f>費用予算!Y30</f>
        <v>177640.904462385</v>
      </c>
      <c r="AV20" s="409">
        <f>費用予算!Z30</f>
        <v>191281.359239266</v>
      </c>
      <c r="AW20" s="409">
        <f>費用予算!AA30</f>
        <v>204239.791277303</v>
      </c>
      <c r="AX20" s="409">
        <f>費用予算!AB30</f>
        <v>216550.301713438</v>
      </c>
      <c r="AY20" s="412">
        <f>費用予算!AC30</f>
        <v>230497.536627766</v>
      </c>
      <c r="AZ20" s="408">
        <f>費用予算!AD30</f>
        <v>243747.409796377</v>
      </c>
      <c r="BA20" s="409">
        <f>費用予算!AE30</f>
        <v>256334.789306559</v>
      </c>
      <c r="BB20" s="409">
        <f>費用予算!AF30</f>
        <v>270545.049841231</v>
      </c>
      <c r="BC20" s="409">
        <f>費用予算!AG30</f>
        <v>284044.797349169</v>
      </c>
      <c r="BD20" s="409">
        <f>費用予算!AH30</f>
        <v>296869.557481711</v>
      </c>
      <c r="BE20" s="409">
        <f>費用予算!AI30</f>
        <v>311305.329607625</v>
      </c>
      <c r="BF20" s="409">
        <f>費用予算!AJ30</f>
        <v>325019.313127244</v>
      </c>
      <c r="BG20" s="409">
        <f>費用予算!AK30</f>
        <v>338047.597470882</v>
      </c>
      <c r="BH20" s="409">
        <f>費用予算!AL30</f>
        <v>352676.717597338</v>
      </c>
      <c r="BI20" s="409">
        <f>費用予算!AM30</f>
        <v>366574.381717471</v>
      </c>
      <c r="BJ20" s="409">
        <f>費用予算!AN30</f>
        <v>379777.162631597</v>
      </c>
      <c r="BK20" s="412">
        <f>費用予算!AO30</f>
        <v>394572.054500017</v>
      </c>
      <c r="BL20" s="408">
        <f>費用予算!AP30</f>
        <v>408627.201775017</v>
      </c>
      <c r="BM20" s="409">
        <f>費用予算!AQ30</f>
        <v>421979.591686266</v>
      </c>
      <c r="BN20" s="409">
        <f>費用予算!AR30</f>
        <v>436916.612101952</v>
      </c>
      <c r="BO20" s="409">
        <f>費用予算!AS30</f>
        <v>451106.781496855</v>
      </c>
      <c r="BP20" s="409">
        <f>費用予算!AT30</f>
        <v>464587.442422012</v>
      </c>
      <c r="BQ20" s="409">
        <f>費用予算!AU30</f>
        <v>479646.320300911</v>
      </c>
      <c r="BR20" s="409">
        <f>費用予算!AV30</f>
        <v>493952.254285866</v>
      </c>
      <c r="BS20" s="409">
        <f>費用予算!AW30</f>
        <v>507542.891571573</v>
      </c>
      <c r="BT20" s="409">
        <f>費用予算!AX30</f>
        <v>522706.246992994</v>
      </c>
      <c r="BU20" s="409">
        <f>費用予算!AY30</f>
        <v>537111.434643344</v>
      </c>
      <c r="BV20" s="409">
        <f>費用予算!AZ30</f>
        <v>550796.362911177</v>
      </c>
      <c r="BW20" s="412">
        <f>費用予算!BA30</f>
        <v>566049.294765618</v>
      </c>
      <c r="BX20" s="408">
        <f>費用予算!BB30</f>
        <v>580539.580027337</v>
      </c>
      <c r="BY20" s="409">
        <f>費用予算!BC30</f>
        <v>594305.35102597</v>
      </c>
      <c r="BZ20" s="409">
        <f>費用予算!BD30</f>
        <v>609635.083474672</v>
      </c>
      <c r="CA20" s="409">
        <f>費用予算!BE30</f>
        <v>624198.329300938</v>
      </c>
      <c r="CB20" s="409">
        <f>費用予算!BF30</f>
        <v>638033.412835892</v>
      </c>
      <c r="CC20" s="409">
        <f>費用予算!BG30</f>
        <v>653428.992194097</v>
      </c>
      <c r="CD20" s="409">
        <f>費用予算!BH30</f>
        <v>668054.792584392</v>
      </c>
      <c r="CE20" s="409">
        <f>費用予算!BI30</f>
        <v>681949.302955173</v>
      </c>
      <c r="CF20" s="409">
        <f>費用予算!BJ30</f>
        <v>697401.337807414</v>
      </c>
      <c r="CG20" s="409">
        <f>費用予算!BK30</f>
        <v>712080.770917043</v>
      </c>
      <c r="CH20" s="409">
        <f>費用予算!BL30</f>
        <v>726026.232371191</v>
      </c>
      <c r="CI20" s="412">
        <f>費用予算!BM30</f>
        <v>741526.670752632</v>
      </c>
    </row>
    <row r="21" ht="18" customHeight="1" s="145">
      <c r="A21" s="233" t="n"/>
      <c r="B21" s="233" t="n"/>
      <c r="C21" s="237" t="n"/>
      <c r="D21" s="378" t="n"/>
      <c r="E21" s="452" t="n"/>
      <c r="F21" s="453" t="n"/>
      <c r="G21" s="453" t="n"/>
      <c r="H21" s="453" t="n"/>
      <c r="I21" s="454" t="n"/>
      <c r="J21" s="406">
        <f>SUMIF($P$3:$CN$3,J$4,$P21:$CN21)</f>
        <v>0.0</v>
      </c>
      <c r="K21" s="407">
        <f>SUMIF($P$3:$CN$3,K$4,$P21:$CN21)</f>
        <v>0.0</v>
      </c>
      <c r="L21" s="407">
        <f>SUMIF($P$3:$CN$3,L$4,$P21:$CN21)</f>
        <v>0.0</v>
      </c>
      <c r="M21" s="407">
        <f>SUMIF($P$3:$CN$3,M$4,$P21:$CN21)</f>
        <v>0.0</v>
      </c>
      <c r="N21" s="407">
        <f>SUMIF($P$3:$CN$3,N$4,$P21:$CN21)</f>
        <v>0.0</v>
      </c>
      <c r="O21" s="235" t="n"/>
      <c r="P21" s="408" t="n"/>
      <c r="Q21" s="409" t="n"/>
      <c r="R21" s="409" t="n"/>
      <c r="S21" s="409" t="n"/>
      <c r="T21" s="409" t="n"/>
      <c r="U21" s="409" t="n"/>
      <c r="V21" s="409" t="n"/>
      <c r="W21" s="409" t="n"/>
      <c r="X21" s="409" t="n"/>
      <c r="Y21" s="409" t="n"/>
      <c r="Z21" s="409" t="n"/>
      <c r="AA21" s="412" t="n"/>
      <c r="AB21" s="408" t="n"/>
      <c r="AC21" s="409" t="n"/>
      <c r="AD21" s="409" t="n"/>
      <c r="AE21" s="409" t="n"/>
      <c r="AF21" s="409" t="n"/>
      <c r="AG21" s="409" t="n"/>
      <c r="AH21" s="409" t="n"/>
      <c r="AI21" s="409" t="n"/>
      <c r="AJ21" s="409" t="n"/>
      <c r="AK21" s="409" t="n"/>
      <c r="AL21" s="409" t="n"/>
      <c r="AM21" s="412" t="n"/>
      <c r="AN21" s="408" t="n"/>
      <c r="AO21" s="409" t="n"/>
      <c r="AP21" s="409" t="n"/>
      <c r="AQ21" s="409" t="n"/>
      <c r="AR21" s="409" t="n"/>
      <c r="AS21" s="409" t="n"/>
      <c r="AT21" s="409" t="n"/>
      <c r="AU21" s="409" t="n"/>
      <c r="AV21" s="409" t="n"/>
      <c r="AW21" s="409" t="n"/>
      <c r="AX21" s="409" t="n"/>
      <c r="AY21" s="412" t="n"/>
      <c r="AZ21" s="408" t="n"/>
      <c r="BA21" s="409" t="n"/>
      <c r="BB21" s="409" t="n"/>
      <c r="BC21" s="409" t="n"/>
      <c r="BD21" s="409" t="n"/>
      <c r="BE21" s="409" t="n"/>
      <c r="BF21" s="409" t="n"/>
      <c r="BG21" s="409" t="n"/>
      <c r="BH21" s="409" t="n"/>
      <c r="BI21" s="409" t="n"/>
      <c r="BJ21" s="409" t="n"/>
      <c r="BK21" s="412" t="n"/>
      <c r="BL21" s="408" t="n"/>
      <c r="BM21" s="409" t="n"/>
      <c r="BN21" s="409" t="n"/>
      <c r="BO21" s="409" t="n"/>
      <c r="BP21" s="409" t="n"/>
      <c r="BQ21" s="409" t="n"/>
      <c r="BR21" s="409" t="n"/>
      <c r="BS21" s="409" t="n"/>
      <c r="BT21" s="409" t="n"/>
      <c r="BU21" s="409" t="n"/>
      <c r="BV21" s="409" t="n"/>
      <c r="BW21" s="412" t="n"/>
      <c r="BX21" s="408" t="n"/>
      <c r="BY21" s="409" t="n"/>
      <c r="BZ21" s="409" t="n"/>
      <c r="CA21" s="409" t="n"/>
      <c r="CB21" s="409" t="n"/>
      <c r="CC21" s="409" t="n"/>
      <c r="CD21" s="409" t="n"/>
      <c r="CE21" s="409" t="n"/>
      <c r="CF21" s="409" t="n"/>
      <c r="CG21" s="409" t="n"/>
      <c r="CH21" s="409" t="n"/>
      <c r="CI21" s="412" t="n"/>
    </row>
    <row r="22" ht="18" customHeight="1" s="145">
      <c r="A22" s="293" t="n"/>
      <c r="B22" s="307" t="inlineStr">
        <is>
          <t>KPI</t>
        </is>
      </c>
      <c r="C22" s="293" t="inlineStr">
        <is>
          <t>原価率</t>
        </is>
      </c>
      <c r="D22" s="379" t="inlineStr">
        <is>
          <t>%</t>
        </is>
      </c>
      <c r="E22" s="455">
        <f>E14/E5*100</f>
        <v>8.44284133326802</v>
      </c>
      <c r="F22" s="456">
        <f>F14/F5*100</f>
        <v>7.43907542076447</v>
      </c>
      <c r="G22" s="456">
        <f>G14/G5*100</f>
        <v>7.44615026189716</v>
      </c>
      <c r="H22" s="456">
        <f>H14/H5*100</f>
        <v>7.58272683148085</v>
      </c>
      <c r="I22" s="456">
        <f>I14/I5*100</f>
        <v>7.79010517463913</v>
      </c>
      <c r="J22" s="375">
        <f>IFERROR(J14/J5*100,"-")</f>
        <v>7.64847583302862</v>
      </c>
      <c r="K22" s="308" t="str">
        <f>IFERROR(K14/K5,"-")</f>
        <v>-</v>
      </c>
      <c r="L22" s="308" t="str">
        <f>IFERROR(L14/L5,"-")</f>
        <v>-</v>
      </c>
      <c r="M22" s="308" t="str">
        <f>IFERROR(M14/M5,"-")</f>
        <v>-</v>
      </c>
      <c r="N22" s="308" t="str">
        <f>IFERROR(N14/N5,"-")</f>
        <v>-</v>
      </c>
      <c r="O22" s="235" t="n"/>
      <c r="P22" s="429" t="n"/>
      <c r="Q22" s="430" t="n"/>
      <c r="R22" s="430" t="n"/>
      <c r="S22" s="430" t="n"/>
      <c r="T22" s="430" t="n"/>
      <c r="U22" s="430" t="n"/>
      <c r="V22" s="430" t="n"/>
      <c r="W22" s="430" t="n"/>
      <c r="X22" s="430" t="n"/>
      <c r="Y22" s="430" t="n"/>
      <c r="Z22" s="430" t="n"/>
      <c r="AA22" s="431" t="n"/>
      <c r="AB22" s="429" t="str">
        <f>IFERROR(AB14/AB5*100,"-")</f>
        <v>-</v>
      </c>
      <c r="AC22" s="409">
        <f>AC14/AC5*100</f>
        <v>94.2491684123996</v>
      </c>
      <c r="AD22" s="409">
        <f>AD14/AD5*100</f>
        <v>21.1003506723305</v>
      </c>
      <c r="AE22" s="409">
        <f>AE14/AE5*100</f>
        <v>14.3399616250914</v>
      </c>
      <c r="AF22" s="409">
        <f>AF14/AF5*100</f>
        <v>12.1524169506888</v>
      </c>
      <c r="AG22" s="409">
        <f>AG14/AG5*100</f>
        <v>11.5069555600167</v>
      </c>
      <c r="AH22" s="409">
        <f>AH14/AH5*100</f>
        <v>9.0799718850218</v>
      </c>
      <c r="AI22" s="409">
        <f>AI14/AI5*100</f>
        <v>7.89638095341055</v>
      </c>
      <c r="AJ22" s="409">
        <f>AJ14/AJ5*100</f>
        <v>7.23232056360869</v>
      </c>
      <c r="AK22" s="409">
        <f>AK14/AK5*100</f>
        <v>6.80315036936609</v>
      </c>
      <c r="AL22" s="409">
        <f>AL14/AL5*100</f>
        <v>7.01011591338081</v>
      </c>
      <c r="AM22" s="409">
        <f>AM14/AM5*100</f>
        <v>6.71589330224546</v>
      </c>
      <c r="AN22" s="429">
        <f>AN14/AN5*100</f>
        <v>8.83137931594703</v>
      </c>
      <c r="AO22" s="430">
        <f>AO14/AO5*100</f>
        <v>8.36411986130894</v>
      </c>
      <c r="AP22" s="430">
        <f>AP14/AP5*100</f>
        <v>8.00392085492034</v>
      </c>
      <c r="AQ22" s="430">
        <f>AQ14/AQ5*100</f>
        <v>7.71553362201803</v>
      </c>
      <c r="AR22" s="430">
        <f>AR14/AR5*100</f>
        <v>7.79029076741105</v>
      </c>
      <c r="AS22" s="430">
        <f>AS14/AS5*100</f>
        <v>7.56080404867287</v>
      </c>
      <c r="AT22" s="430">
        <f>AT14/AT5*100</f>
        <v>7.36806360189785</v>
      </c>
      <c r="AU22" s="430">
        <f>AU14/AU5*100</f>
        <v>7.19824235397024</v>
      </c>
      <c r="AV22" s="430">
        <f>AV14/AV5*100</f>
        <v>7.06135589924177</v>
      </c>
      <c r="AW22" s="430">
        <f>AW14/AW5*100</f>
        <v>7.14479170961711</v>
      </c>
      <c r="AX22" s="430">
        <f>AX14/AX5*100</f>
        <v>7.01864607312303</v>
      </c>
      <c r="AY22" s="430">
        <f>AY14/AY5*100</f>
        <v>6.91968953175856</v>
      </c>
      <c r="AZ22" s="429">
        <f>AZ14/AZ5*100</f>
        <v>7.91571596550107</v>
      </c>
      <c r="BA22" s="430">
        <f>BA14/BA5*100</f>
        <v>7.9447839492285</v>
      </c>
      <c r="BB22" s="430">
        <f>BB14/BB5*100</f>
        <v>7.80128696735058</v>
      </c>
      <c r="BC22" s="430">
        <f>BC14/BC5*100</f>
        <v>7.67301819394353</v>
      </c>
      <c r="BD22" s="430">
        <f>BD14/BD5*100</f>
        <v>7.55129660024907</v>
      </c>
      <c r="BE22" s="430">
        <f>BE14/BE5*100</f>
        <v>7.45176911714742</v>
      </c>
      <c r="BF22" s="430">
        <f>BF14/BF5*100</f>
        <v>7.3555726271209</v>
      </c>
      <c r="BG22" s="430">
        <f>BG14/BG5*100</f>
        <v>7.39210570321084</v>
      </c>
      <c r="BH22" s="430">
        <f>BH14/BH5*100</f>
        <v>7.30906226636607</v>
      </c>
      <c r="BI22" s="430">
        <f>BI14/BI5*100</f>
        <v>7.23246483988145</v>
      </c>
      <c r="BJ22" s="430">
        <f>BJ14/BJ5*100</f>
        <v>7.1592526487046</v>
      </c>
      <c r="BK22" s="430">
        <f>BK14/BK5*100</f>
        <v>7.09597088004809</v>
      </c>
      <c r="BL22" s="429">
        <f>BL14/BL5*100</f>
        <v>7.98118937606651</v>
      </c>
      <c r="BM22" s="430">
        <f>BM14/BM5*100</f>
        <v>7.8866434989748</v>
      </c>
      <c r="BN22" s="430">
        <f>BN14/BN5*100</f>
        <v>7.80347903417132</v>
      </c>
      <c r="BO22" s="430">
        <f>BO14/BO5*100</f>
        <v>7.72393714334992</v>
      </c>
      <c r="BP22" s="430">
        <f>BP14/BP5*100</f>
        <v>7.64768576112037</v>
      </c>
      <c r="BQ22" s="430">
        <f>BQ14/BQ5*100</f>
        <v>7.58084981894976</v>
      </c>
      <c r="BR22" s="430">
        <f>BR14/BR5*100</f>
        <v>7.51620340547562</v>
      </c>
      <c r="BS22" s="430">
        <f>BS14/BS5*100</f>
        <v>7.53508064519254</v>
      </c>
      <c r="BT22" s="430">
        <f>BT14/BT5*100</f>
        <v>7.47718156622181</v>
      </c>
      <c r="BU22" s="430">
        <f>BU14/BU5*100</f>
        <v>7.42234468933689</v>
      </c>
      <c r="BV22" s="430">
        <f>BV14/BV5*100</f>
        <v>7.36726312692941</v>
      </c>
      <c r="BW22" s="430">
        <f>BW14/BW5*100</f>
        <v>7.3207027783531</v>
      </c>
      <c r="BX22" s="429">
        <f>BX14/BX5*100</f>
        <v>8.11403071979341</v>
      </c>
      <c r="BY22" s="430">
        <f>BY14/BY5*100</f>
        <v>8.03754961385194</v>
      </c>
      <c r="BZ22" s="430">
        <f>BZ14/BZ5*100</f>
        <v>7.96850182108002</v>
      </c>
      <c r="CA22" s="430">
        <f>CA14/CA5*100</f>
        <v>7.90197060106928</v>
      </c>
      <c r="CB22" s="430">
        <f>CB14/CB5*100</f>
        <v>7.90268814410449</v>
      </c>
      <c r="CC22" s="430">
        <f>CC14/CC5*100</f>
        <v>7.8411623271437</v>
      </c>
      <c r="CD22" s="430">
        <f>CD14/CD5*100</f>
        <v>7.78286869637355</v>
      </c>
      <c r="CE22" s="430">
        <f>CE14/CE5*100</f>
        <v>7.72633176253316</v>
      </c>
      <c r="CF22" s="430">
        <f>CF14/CF5*100</f>
        <v>7.67543568828019</v>
      </c>
      <c r="CG22" s="430">
        <f>CG14/CG5*100</f>
        <v>7.62577949885173</v>
      </c>
      <c r="CH22" s="430">
        <f>CH14/CH5*100</f>
        <v>7.57731798477029</v>
      </c>
      <c r="CI22" s="457">
        <f>CI14/CI5*100</f>
        <v>7.53382503076968</v>
      </c>
    </row>
    <row r="23" ht="18" customHeight="1" s="145">
      <c r="A23" s="300" t="inlineStr">
        <is>
          <t>売上総利益</t>
        </is>
      </c>
      <c r="B23" s="300" t="n"/>
      <c r="C23" s="300" t="n"/>
      <c r="D23" s="309" t="inlineStr">
        <is>
          <t>円</t>
        </is>
      </c>
      <c r="E23" s="408">
        <f>E5-E14</f>
        <v>21150428.8100891</v>
      </c>
      <c r="F23" s="409">
        <f>F5-F14</f>
        <v>99594003.7399637</v>
      </c>
      <c r="G23" s="409">
        <f>G5-G14</f>
        <v>201753506.22837</v>
      </c>
      <c r="H23" s="409">
        <f>H5-H14</f>
        <v>320744500.148051</v>
      </c>
      <c r="I23" s="409">
        <f>I5-I14</f>
        <v>462930120.399875</v>
      </c>
      <c r="J23" s="436">
        <f>J5-J14</f>
        <v>1106172559.32635</v>
      </c>
      <c r="K23" s="436">
        <f>K5-K14</f>
        <v>0.0</v>
      </c>
      <c r="L23" s="436">
        <f>L5-L14</f>
        <v>0.0</v>
      </c>
      <c r="M23" s="436">
        <f>M5-M14</f>
        <v>0.0</v>
      </c>
      <c r="N23" s="436">
        <f>N5-N14</f>
        <v>0.0</v>
      </c>
      <c r="O23" s="235" t="n"/>
      <c r="P23" s="437" t="n"/>
      <c r="Q23" s="438" t="n"/>
      <c r="R23" s="438" t="n"/>
      <c r="S23" s="438" t="n"/>
      <c r="T23" s="438" t="n"/>
      <c r="U23" s="438" t="n"/>
      <c r="V23" s="438" t="n"/>
      <c r="W23" s="438" t="n"/>
      <c r="X23" s="438" t="n"/>
      <c r="Y23" s="438" t="n"/>
      <c r="Z23" s="438" t="n"/>
      <c r="AA23" s="439" t="n"/>
      <c r="AB23" s="458">
        <f>AB5-AB14</f>
        <v>-50000.0</v>
      </c>
      <c r="AC23" s="459">
        <f>AC5-AC14</f>
        <v>3254.8798811318</v>
      </c>
      <c r="AD23" s="460">
        <f>AD5-AD14</f>
        <v>261727.014189168</v>
      </c>
      <c r="AE23" s="460">
        <f>AE5-AE14</f>
        <v>515587.570811044</v>
      </c>
      <c r="AF23" s="460">
        <f>AF5-AF14</f>
        <v>755815.393800482</v>
      </c>
      <c r="AG23" s="460">
        <f>AG5-AG14</f>
        <v>1036047.98771126</v>
      </c>
      <c r="AH23" s="460">
        <f>AH5-AH14</f>
        <v>1641630.23886883</v>
      </c>
      <c r="AI23" s="460">
        <f>AI5-AI14</f>
        <v>2242638.43117199</v>
      </c>
      <c r="AJ23" s="460">
        <f>AJ5-AJ14</f>
        <v>2890150.78887054</v>
      </c>
      <c r="AK23" s="460">
        <f>AK5-AK14</f>
        <v>3525549.90630741</v>
      </c>
      <c r="AL23" s="460">
        <f>AL5-AL14</f>
        <v>3825859.48456822</v>
      </c>
      <c r="AM23" s="435">
        <f>AM5-AM14</f>
        <v>4502167.113909</v>
      </c>
      <c r="AN23" s="461">
        <f>AN5-AN14</f>
        <v>4735864.61453881</v>
      </c>
      <c r="AO23" s="460">
        <f>AO5-AO14</f>
        <v>5393984.77371308</v>
      </c>
      <c r="AP23" s="460">
        <f>AP5-AP14</f>
        <v>6097624.12871419</v>
      </c>
      <c r="AQ23" s="460">
        <f>AQ5-AQ14</f>
        <v>6788183.30828803</v>
      </c>
      <c r="AR23" s="460">
        <f>AR5-AR14</f>
        <v>7142703.77048448</v>
      </c>
      <c r="AS23" s="460">
        <f>AS5-AS14</f>
        <v>7872290.58647154</v>
      </c>
      <c r="AT23" s="460">
        <f>AT5-AT14</f>
        <v>8588352.78288459</v>
      </c>
      <c r="AU23" s="460">
        <f>AU5-AU14</f>
        <v>9297940.08065282</v>
      </c>
      <c r="AV23" s="460">
        <f>AV5-AV14</f>
        <v>10052165.6798661</v>
      </c>
      <c r="AW23" s="460">
        <f>AW5-AW14</f>
        <v>10462446.6032384</v>
      </c>
      <c r="AX23" s="460">
        <f>AX5-AX14</f>
        <v>11195840.4361044</v>
      </c>
      <c r="AY23" s="435">
        <f>AY5-AY14</f>
        <v>11966606.9750073</v>
      </c>
      <c r="AZ23" s="461">
        <f>AZ5-AZ14</f>
        <v>12625934.2409488</v>
      </c>
      <c r="BA23" s="460">
        <f>BA5-BA14</f>
        <v>13092379.2725496</v>
      </c>
      <c r="BB23" s="460">
        <f>BB5-BB14</f>
        <v>13933941.1046876</v>
      </c>
      <c r="BC23" s="460">
        <f>BC5-BC14</f>
        <v>14762212.2872379</v>
      </c>
      <c r="BD23" s="460">
        <f>BD5-BD14</f>
        <v>15591054.8957316</v>
      </c>
      <c r="BE23" s="460">
        <f>BE5-BE14</f>
        <v>16450895.2219522</v>
      </c>
      <c r="BF23" s="460">
        <f>BF5-BF14</f>
        <v>17310907.7808128</v>
      </c>
      <c r="BG23" s="460">
        <f>BG5-BG14</f>
        <v>17827381.8074232</v>
      </c>
      <c r="BH23" s="460">
        <f>BH5-BH14</f>
        <v>18718325.4606346</v>
      </c>
      <c r="BI23" s="460">
        <f>BI5-BI14</f>
        <v>19595340.3164407</v>
      </c>
      <c r="BJ23" s="460">
        <f>BJ5-BJ14</f>
        <v>20465436.2406023</v>
      </c>
      <c r="BK23" s="435">
        <f>BK5-BK14</f>
        <v>21379697.5993487</v>
      </c>
      <c r="BL23" s="461">
        <f>BL5-BL14</f>
        <v>21749730.2692295</v>
      </c>
      <c r="BM23" s="460">
        <f>BM5-BM14</f>
        <v>22642548.3665678</v>
      </c>
      <c r="BN23" s="460">
        <f>BN5-BN14</f>
        <v>23572379.3206621</v>
      </c>
      <c r="BO23" s="460">
        <f>BO5-BO14</f>
        <v>24494621.2667062</v>
      </c>
      <c r="BP23" s="460">
        <f>BP5-BP14</f>
        <v>25409364.2991443</v>
      </c>
      <c r="BQ23" s="460">
        <f>BQ5-BQ14</f>
        <v>26360839.91839</v>
      </c>
      <c r="BR23" s="460">
        <f>BR5-BR14</f>
        <v>27304450.2807598</v>
      </c>
      <c r="BS23" s="460">
        <f>BS5-BS14</f>
        <v>27910289.4520002</v>
      </c>
      <c r="BT23" s="460">
        <f>BT5-BT14</f>
        <v>28882592.8542061</v>
      </c>
      <c r="BU23" s="460">
        <f>BU5-BU14</f>
        <v>29839905.3784774</v>
      </c>
      <c r="BV23" s="460">
        <f>BV5-BV14</f>
        <v>30796113.0217245</v>
      </c>
      <c r="BW23" s="435">
        <f>BW5-BW14</f>
        <v>31781665.7201827</v>
      </c>
      <c r="BX23" s="461">
        <f>BX5-BX14</f>
        <v>32583941.2628546</v>
      </c>
      <c r="BY23" s="462">
        <f>BY5-BY14</f>
        <v>33672726.2469033</v>
      </c>
      <c r="BZ23" s="462">
        <f>BZ5-BZ14</f>
        <v>34799122.8200573</v>
      </c>
      <c r="CA23" s="462">
        <f>CA5-CA14</f>
        <v>35918693.522679</v>
      </c>
      <c r="CB23" s="462">
        <f>CB5-CB14</f>
        <v>36701481.5621579</v>
      </c>
      <c r="CC23" s="462">
        <f>CC5-CC14</f>
        <v>37858533.7925416</v>
      </c>
      <c r="CD23" s="462">
        <f>CD5-CD14</f>
        <v>39001636.0316642</v>
      </c>
      <c r="CE23" s="462">
        <f>CE5-CE14</f>
        <v>40137751.866549</v>
      </c>
      <c r="CF23" s="463">
        <f>CF5-CF14</f>
        <v>41311068.9548517</v>
      </c>
      <c r="CG23" s="462">
        <f>CG5-CG14</f>
        <v>42477153.7452393</v>
      </c>
      <c r="CH23" s="462">
        <f>CH5-CH14</f>
        <v>43636053.32626</v>
      </c>
      <c r="CI23" s="464">
        <f>CI5-CI14</f>
        <v>44831957.2681167</v>
      </c>
    </row>
    <row r="24" ht="18" customHeight="1" s="145">
      <c r="A24" s="233" t="n"/>
      <c r="B24" s="233" t="n"/>
      <c r="C24" s="465" t="inlineStr">
        <is>
          <t>前期比</t>
        </is>
      </c>
      <c r="D24" s="466" t="inlineStr">
        <is>
          <t>％</t>
        </is>
      </c>
      <c r="E24" s="467" t="n"/>
      <c r="F24" s="468">
        <f>IF(E23&gt;0,(F23-E23)/E23,"-")</f>
        <v>3.70884087666609</v>
      </c>
      <c r="G24" s="468">
        <f>IF(F23&gt;0,(G23-F23)/F23,"-")</f>
        <v>1.02575957037676</v>
      </c>
      <c r="H24" s="468">
        <f>IF(G23&gt;0,(H23-G23)/G23,"-")</f>
        <v>0.589784019837512</v>
      </c>
      <c r="I24" s="468">
        <f>IF(H23&gt;0,(I23-H23)/H23,"-")</f>
        <v>0.44329870094793</v>
      </c>
      <c r="J24" s="315">
        <f>IFERROR((I23/E23)^(1/4)-1,"-")</f>
        <v>1.16296287618411</v>
      </c>
      <c r="K24" s="315" t="str">
        <f>IF(K23&gt;0,(K23-J23)/J23,"-")</f>
        <v>-</v>
      </c>
      <c r="L24" s="315" t="str">
        <f>IF(L23&gt;0,(L23-K23)/K23,"-")</f>
        <v>-</v>
      </c>
      <c r="M24" s="315" t="str">
        <f>IF(M23&gt;0,(M23-L23)/L23,"-")</f>
        <v>-</v>
      </c>
      <c r="N24" s="315" t="str">
        <f>IF(N23&gt;0,(N23-M23)/M23,"-")</f>
        <v>-</v>
      </c>
      <c r="O24" s="316" t="n"/>
      <c r="P24" s="469" t="n"/>
      <c r="Q24" s="470" t="n"/>
      <c r="R24" s="470" t="n"/>
      <c r="S24" s="470" t="n"/>
      <c r="T24" s="470" t="n"/>
      <c r="U24" s="470" t="n"/>
      <c r="V24" s="470" t="n"/>
      <c r="W24" s="470" t="n"/>
      <c r="X24" s="470" t="n"/>
      <c r="Y24" s="470" t="n"/>
      <c r="Z24" s="470" t="n"/>
      <c r="AA24" s="471" t="n"/>
      <c r="AB24" s="469" t="n"/>
      <c r="AC24" s="470" t="n"/>
      <c r="AD24" s="470" t="n"/>
      <c r="AE24" s="470" t="n"/>
      <c r="AF24" s="470" t="n"/>
      <c r="AG24" s="472" t="n"/>
      <c r="AH24" s="472" t="n"/>
      <c r="AI24" s="472" t="n"/>
      <c r="AJ24" s="472" t="n"/>
      <c r="AK24" s="472" t="n"/>
      <c r="AL24" s="472" t="n"/>
      <c r="AM24" s="473" t="n"/>
      <c r="AN24" s="467" t="n"/>
      <c r="AO24" s="472" t="n"/>
      <c r="AP24" s="472" t="n"/>
      <c r="AQ24" s="472" t="n"/>
      <c r="AR24" s="472" t="n"/>
      <c r="AS24" s="472" t="n"/>
      <c r="AT24" s="472" t="n"/>
      <c r="AU24" s="472" t="n"/>
      <c r="AV24" s="472" t="n"/>
      <c r="AW24" s="472" t="n"/>
      <c r="AX24" s="472" t="n"/>
      <c r="AY24" s="473" t="n"/>
      <c r="AZ24" s="467" t="n"/>
      <c r="BA24" s="472" t="n"/>
      <c r="BB24" s="472" t="n"/>
      <c r="BC24" s="472" t="n"/>
      <c r="BD24" s="472" t="n"/>
      <c r="BE24" s="472" t="n"/>
      <c r="BF24" s="472" t="n"/>
      <c r="BG24" s="472" t="n"/>
      <c r="BH24" s="472" t="n"/>
      <c r="BI24" s="472" t="n"/>
      <c r="BJ24" s="472" t="n"/>
      <c r="BK24" s="473" t="n"/>
      <c r="BL24" s="467" t="n"/>
      <c r="BM24" s="472" t="n"/>
      <c r="BN24" s="472" t="n"/>
      <c r="BO24" s="472" t="n"/>
      <c r="BP24" s="472" t="n"/>
      <c r="BQ24" s="472" t="n"/>
      <c r="BR24" s="472" t="n"/>
      <c r="BS24" s="472" t="n"/>
      <c r="BT24" s="472" t="n"/>
      <c r="BU24" s="472" t="n"/>
      <c r="BV24" s="472" t="n"/>
      <c r="BW24" s="473" t="n"/>
      <c r="BX24" s="467" t="n"/>
      <c r="BY24" s="472" t="n"/>
      <c r="BZ24" s="472" t="n"/>
      <c r="CA24" s="472" t="n"/>
      <c r="CB24" s="472" t="n"/>
      <c r="CC24" s="472" t="n"/>
      <c r="CD24" s="472" t="n"/>
      <c r="CE24" s="472" t="n"/>
      <c r="CF24" s="472" t="n"/>
      <c r="CG24" s="472" t="n"/>
      <c r="CH24" s="472" t="n"/>
      <c r="CI24" s="473" t="n"/>
    </row>
    <row r="25" ht="18" customHeight="1" s="145">
      <c r="A25" s="318" t="inlineStr">
        <is>
          <t>販管費</t>
        </is>
      </c>
      <c r="B25" s="319" t="n"/>
      <c r="C25" s="319" t="n"/>
      <c r="D25" s="320" t="inlineStr">
        <is>
          <t>円</t>
        </is>
      </c>
      <c r="E25" s="408">
        <f>SUMIF($AB$3:$CI$3,E$4,$AB25:$CI25)</f>
        <v>54400000.0</v>
      </c>
      <c r="F25" s="409">
        <f>SUMIF($AB$3:$CI$3,F$4,$AB25:$CI25)</f>
        <v>111500000.0</v>
      </c>
      <c r="G25" s="409">
        <f>SUMIF($AB$3:$CI$3,G$4,$AB25:$CI25)</f>
        <v>205900000.0</v>
      </c>
      <c r="H25" s="409">
        <f>SUMIF($AB$3:$CI$3,H$4,$AB25:$CI25)</f>
        <v>316400000.0</v>
      </c>
      <c r="I25" s="409">
        <f>SUMIF($AB$3:$CI$3,I$4,$AB25:$CI25)</f>
        <v>522100000.0</v>
      </c>
      <c r="J25" s="474">
        <f>SUM(E25:I25)</f>
        <v>1210300000.0</v>
      </c>
      <c r="K25" s="474">
        <f>SUMIF($P$3:$CN$3,K$4,$P25:$CN25)</f>
        <v>0.0</v>
      </c>
      <c r="L25" s="474">
        <f>SUMIF($P$3:$CN$3,L$4,$P25:$CN25)</f>
        <v>0.0</v>
      </c>
      <c r="M25" s="474">
        <f>SUMIF($P$3:$CN$3,M$4,$P25:$CN25)</f>
        <v>0.0</v>
      </c>
      <c r="N25" s="474">
        <f>SUMIF($P$3:$CN$3,N$4,$P25:$CN25)</f>
        <v>0.0</v>
      </c>
      <c r="O25" s="235" t="n"/>
      <c r="P25" s="408" t="n"/>
      <c r="Q25" s="409" t="n"/>
      <c r="R25" s="409" t="n"/>
      <c r="S25" s="409" t="n"/>
      <c r="T25" s="409" t="n"/>
      <c r="U25" s="409" t="n"/>
      <c r="V25" s="409" t="n"/>
      <c r="W25" s="409" t="n"/>
      <c r="X25" s="409" t="n"/>
      <c r="Y25" s="409" t="n"/>
      <c r="Z25" s="409" t="n"/>
      <c r="AA25" s="412" t="n"/>
      <c r="AB25" s="475">
        <f>AB26+AB27+AB31+AB35+AB39+AB43+AB46+AB50+AB51+AB52+AB53+AB54+AB58+AB61+AB62+AB63+AB64+AB65+AB66+AB67+AB68+AB69+AB70+AB71+AB72+AB75+AB78+AB79</f>
        <v>4533335.0</v>
      </c>
      <c r="AC25" s="474">
        <f>AC26+AC27+AC31+AC35+AC39+AC43+AC46+AC50+AC51+AC52+AC53+AC54+AC58+AC61+AC62+AC63+AC64+AC65+AC66+AC67+AC68+AC69+AC70+AC71+AC72+AC75+AC78+AC79</f>
        <v>4533335.0</v>
      </c>
      <c r="AD25" s="474">
        <f>AD26+AD27+AD31+AD35+AD39+AD43+AD46+AD50+AD51+AD52+AD53+AD54+AD58+AD61+AD62+AD63+AD64+AD65+AD66+AD67+AD68+AD69+AD70+AD71+AD72+AD75+AD78+AD79</f>
        <v>4533335.0</v>
      </c>
      <c r="AE25" s="474">
        <f>AE26+AE27+AE31+AE35+AE39+AE43+AE46+AE50+AE51+AE52+AE53+AE54+AE58+AE61+AE62+AE63+AE64+AE65+AE66+AE67+AE68+AE69+AE70+AE71+AE72+AE75+AE78+AE79</f>
        <v>4533335.0</v>
      </c>
      <c r="AF25" s="474">
        <f>AF26+AF27+AF31+AF35+AF39+AF43+AF46+AF50+AF51+AF52+AF53+AF54+AF58+AF61+AF62+AF63+AF64+AF65+AF66+AF67+AF68+AF69+AF70+AF71+AF72+AF75+AF78+AF79</f>
        <v>4533335.0</v>
      </c>
      <c r="AG25" s="409">
        <f>AG26+AG27+AG31+AG35+AG39+AG43+AG46+AG50+AG51+AG52+AG53+AG54+AG58+AG61+AG62+AG63+AG64+AG65+AG66+AG67+AG68+AG69+AG70+AG71+AG72+AG75+AG78+AG79</f>
        <v>4533335.0</v>
      </c>
      <c r="AH25" s="409">
        <f>AH26+AH27+AH31+AH35+AH39+AH43+AH46+AH50+AH51+AH52+AH53+AH54+AH58+AH61+AH62+AH63+AH64+AH65+AH66+AH67+AH68+AH69+AH70+AH71+AH72+AH75+AH78+AH79</f>
        <v>4533335.0</v>
      </c>
      <c r="AI25" s="409">
        <f>AI26+AI27+AI31+AI35+AI39+AI43+AI46+AI50+AI51+AI52+AI53+AI54+AI58+AI61+AI62+AI63+AI64+AI65+AI66+AI67+AI68+AI69+AI70+AI71+AI72+AI75+AI78+AI79</f>
        <v>4533335.0</v>
      </c>
      <c r="AJ25" s="409">
        <f>AJ26+AJ27+AJ31+AJ35+AJ39+AJ43+AJ46+AJ50+AJ51+AJ52+AJ53+AJ54+AJ58+AJ61+AJ62+AJ63+AJ64+AJ65+AJ66+AJ67+AJ68+AJ69+AJ70+AJ71+AJ72+AJ75+AJ78+AJ79</f>
        <v>4533335.0</v>
      </c>
      <c r="AK25" s="409">
        <f>AK26+AK27+AK31+AK35+AK39+AK43+AK46+AK50+AK51+AK52+AK53+AK54+AK58+AK61+AK62+AK63+AK64+AK65+AK66+AK67+AK68+AK69+AK70+AK71+AK72+AK75+AK78+AK79</f>
        <v>4533335.0</v>
      </c>
      <c r="AL25" s="409">
        <f>AL26+AL27+AL31+AL35+AL39+AL43+AL46+AL50+AL51+AL52+AL53+AL54+AL58+AL61+AL62+AL63+AL64+AL65+AL66+AL67+AL68+AL69+AL70+AL71+AL72+AL75+AL78+AL79</f>
        <v>4533335.0</v>
      </c>
      <c r="AM25" s="412">
        <f>AM26+AM27+AM31+AM35+AM39+AM43+AM46+AM50+AM51+AM52+AM53+AM54+AM58+AM61+AM62+AM63+AM64+AM65+AM66+AM67+AM68+AM69+AM70+AM71+AM72+AM75+AM78+AM79</f>
        <v>4533315.0</v>
      </c>
      <c r="AN25" s="408">
        <f>AN26+AN27+AN31+AN35+AN39+AN43+AN46+AN50+AN51+AN52+AN53+AN54+AN58+AN61+AN62+AN63+AN64+AN65+AN66+AN67+AN68+AN69+AN70+AN71+AN72+AN75+AN78+AN79</f>
        <v>9291669.0</v>
      </c>
      <c r="AO25" s="409">
        <f>AO26+AO27+AO31+AO35+AO39+AO43+AO46+AO50+AO51+AO52+AO53+AO54+AO58+AO61+AO62+AO63+AO64+AO65+AO66+AO67+AO68+AO69+AO70+AO71+AO72+AO75+AO78+AO79</f>
        <v>9291669.0</v>
      </c>
      <c r="AP25" s="409">
        <f>AP26+AP27+AP31+AP35+AP39+AP43+AP46+AP50+AP51+AP52+AP53+AP54+AP58+AP61+AP62+AP63+AP64+AP65+AP66+AP67+AP68+AP69+AP70+AP71+AP72+AP75+AP78+AP79</f>
        <v>9291669.0</v>
      </c>
      <c r="AQ25" s="409">
        <f>AQ26+AQ27+AQ31+AQ35+AQ39+AQ43+AQ46+AQ50+AQ51+AQ52+AQ53+AQ54+AQ58+AQ61+AQ62+AQ63+AQ64+AQ65+AQ66+AQ67+AQ68+AQ69+AQ70+AQ71+AQ72+AQ75+AQ78+AQ79</f>
        <v>9291669.0</v>
      </c>
      <c r="AR25" s="409">
        <f>AR26+AR27+AR31+AR35+AR39+AR43+AR46+AR50+AR51+AR52+AR53+AR54+AR58+AR61+AR62+AR63+AR64+AR65+AR66+AR67+AR68+AR69+AR70+AR71+AR72+AR75+AR78+AR79</f>
        <v>9291669.0</v>
      </c>
      <c r="AS25" s="409">
        <f>AS26+AS27+AS31+AS35+AS39+AS43+AS46+AS50+AS51+AS52+AS53+AS54+AS58+AS61+AS62+AS63+AS64+AS65+AS66+AS67+AS68+AS69+AS70+AS71+AS72+AS75+AS78+AS79</f>
        <v>9291669.0</v>
      </c>
      <c r="AT25" s="409">
        <f>AT26+AT27+AT31+AT35+AT39+AT43+AT46+AT50+AT51+AT52+AT53+AT54+AT58+AT61+AT62+AT63+AT64+AT65+AT66+AT67+AT68+AT69+AT70+AT71+AT72+AT75+AT78+AT79</f>
        <v>9291669.0</v>
      </c>
      <c r="AU25" s="409">
        <f>AU26+AU27+AU31+AU35+AU39+AU43+AU46+AU50+AU51+AU52+AU53+AU54+AU58+AU61+AU62+AU63+AU64+AU65+AU66+AU67+AU68+AU69+AU70+AU71+AU72+AU75+AU78+AU79</f>
        <v>9291669.0</v>
      </c>
      <c r="AV25" s="409">
        <f>AV26+AV27+AV31+AV35+AV39+AV43+AV46+AV50+AV51+AV52+AV53+AV54+AV58+AV61+AV62+AV63+AV64+AV65+AV66+AV67+AV68+AV69+AV70+AV71+AV72+AV75+AV78+AV79</f>
        <v>9291669.0</v>
      </c>
      <c r="AW25" s="409">
        <f>AW26+AW27+AW31+AW35+AW39+AW43+AW46+AW50+AW51+AW52+AW53+AW54+AW58+AW61+AW62+AW63+AW64+AW65+AW66+AW67+AW68+AW69+AW70+AW71+AW72+AW75+AW78+AW79</f>
        <v>9291669.0</v>
      </c>
      <c r="AX25" s="409">
        <f>AX26+AX27+AX31+AX35+AX39+AX43+AX46+AX50+AX51+AX52+AX53+AX54+AX58+AX61+AX62+AX63+AX64+AX65+AX66+AX67+AX68+AX69+AX70+AX71+AX72+AX75+AX78+AX79</f>
        <v>9291669.0</v>
      </c>
      <c r="AY25" s="412">
        <f>AY26+AY27+AY31+AY35+AY39+AY43+AY46+AY50+AY51+AY52+AY53+AY54+AY58+AY61+AY62+AY63+AY64+AY65+AY66+AY67+AY68+AY69+AY70+AY71+AY72+AY75+AY78+AY79</f>
        <v>9291641.0</v>
      </c>
      <c r="AZ25" s="408">
        <f>AZ26+AZ27+AZ31+AZ35+AZ39+AZ43+AZ46+AZ50+AZ51+AZ52+AZ53+AZ54+AZ58+AZ61+AZ62+AZ63+AZ64+AZ65+AZ66+AZ67+AZ68+AZ69+AZ70+AZ71+AZ72+AZ75+AZ78+AZ79</f>
        <v>17158333.0</v>
      </c>
      <c r="BA25" s="409">
        <f>BA26+BA27+BA31+BA35+BA39+BA43+BA46+BA50+BA51+BA52+BA53+BA54+BA58+BA61+BA62+BA63+BA64+BA65+BA66+BA67+BA68+BA69+BA70+BA71+BA72+BA75+BA78+BA79</f>
        <v>17158333.0</v>
      </c>
      <c r="BB25" s="409">
        <f>BB26+BB27+BB31+BB35+BB39+BB43+BB46+BB50+BB51+BB52+BB53+BB54+BB58+BB61+BB62+BB63+BB64+BB65+BB66+BB67+BB68+BB69+BB70+BB71+BB72+BB75+BB78+BB79</f>
        <v>17158333.0</v>
      </c>
      <c r="BC25" s="409">
        <f>BC26+BC27+BC31+BC35+BC39+BC43+BC46+BC50+BC51+BC52+BC53+BC54+BC58+BC61+BC62+BC63+BC64+BC65+BC66+BC67+BC68+BC69+BC70+BC71+BC72+BC75+BC78+BC79</f>
        <v>17158333.0</v>
      </c>
      <c r="BD25" s="409">
        <f>BD26+BD27+BD31+BD35+BD39+BD43+BD46+BD50+BD51+BD52+BD53+BD54+BD58+BD61+BD62+BD63+BD64+BD65+BD66+BD67+BD68+BD69+BD70+BD71+BD72+BD75+BD78+BD79</f>
        <v>17158333.0</v>
      </c>
      <c r="BE25" s="409">
        <f>BE26+BE27+BE31+BE35+BE39+BE43+BE46+BE50+BE51+BE52+BE53+BE54+BE58+BE61+BE62+BE63+BE64+BE65+BE66+BE67+BE68+BE69+BE70+BE71+BE72+BE75+BE78+BE79</f>
        <v>17158333.0</v>
      </c>
      <c r="BF25" s="409">
        <f>BF26+BF27+BF31+BF35+BF39+BF43+BF46+BF50+BF51+BF52+BF53+BF54+BF58+BF61+BF62+BF63+BF64+BF65+BF66+BF67+BF68+BF69+BF70+BF71+BF72+BF75+BF78+BF79</f>
        <v>17158333.0</v>
      </c>
      <c r="BG25" s="409">
        <f>BG26+BG27+BG31+BG35+BG39+BG43+BG46+BG50+BG51+BG52+BG53+BG54+BG58+BG61+BG62+BG63+BG64+BG65+BG66+BG67+BG68+BG69+BG70+BG71+BG72+BG75+BG78+BG79</f>
        <v>17158333.0</v>
      </c>
      <c r="BH25" s="409">
        <f>BH26+BH27+BH31+BH35+BH39+BH43+BH46+BH50+BH51+BH52+BH53+BH54+BH58+BH61+BH62+BH63+BH64+BH65+BH66+BH67+BH68+BH69+BH70+BH71+BH72+BH75+BH78+BH79</f>
        <v>17158333.0</v>
      </c>
      <c r="BI25" s="409">
        <f>BI26+BI27+BI31+BI35+BI39+BI43+BI46+BI50+BI51+BI52+BI53+BI54+BI58+BI61+BI62+BI63+BI64+BI65+BI66+BI67+BI68+BI69+BI70+BI71+BI72+BI75+BI78+BI79</f>
        <v>17158333.0</v>
      </c>
      <c r="BJ25" s="409">
        <f>BJ26+BJ27+BJ31+BJ35+BJ39+BJ43+BJ46+BJ50+BJ51+BJ52+BJ53+BJ54+BJ58+BJ61+BJ62+BJ63+BJ64+BJ65+BJ66+BJ67+BJ68+BJ69+BJ70+BJ71+BJ72+BJ75+BJ78+BJ79</f>
        <v>17158333.0</v>
      </c>
      <c r="BK25" s="412">
        <f>BK26+BK27+BK31+BK35+BK39+BK43+BK46+BK50+BK51+BK52+BK53+BK54+BK58+BK61+BK62+BK63+BK64+BK65+BK66+BK67+BK68+BK69+BK70+BK71+BK72+BK75+BK78+BK79</f>
        <v>17158337.0</v>
      </c>
      <c r="BL25" s="408">
        <f>BL26+BL27+BL31+BL35+BL39+BL43+BL46+BL50+BL51+BL52+BL53+BL54+BL58+BL61+BL62+BL63+BL64+BL65+BL66+BL67+BL68+BL69+BL70+BL71+BL72+BL75+BL78+BL79</f>
        <v>26366665.0</v>
      </c>
      <c r="BM25" s="409">
        <f>BM26+BM27+BM31+BM35+BM39+BM43+BM46+BM50+BM51+BM52+BM53+BM54+BM58+BM61+BM62+BM63+BM64+BM65+BM66+BM67+BM68+BM69+BM70+BM71+BM72+BM75+BM78+BM79</f>
        <v>26366665.0</v>
      </c>
      <c r="BN25" s="409">
        <f>BN26+BN27+BN31+BN35+BN39+BN43+BN46+BN50+BN51+BN52+BN53+BN54+BN58+BN61+BN62+BN63+BN64+BN65+BN66+BN67+BN68+BN69+BN70+BN71+BN72+BN75+BN78+BN79</f>
        <v>26366665.0</v>
      </c>
      <c r="BO25" s="409">
        <f>BO26+BO27+BO31+BO35+BO39+BO43+BO46+BO50+BO51+BO52+BO53+BO54+BO58+BO61+BO62+BO63+BO64+BO65+BO66+BO67+BO68+BO69+BO70+BO71+BO72+BO75+BO78+BO79</f>
        <v>26366665.0</v>
      </c>
      <c r="BP25" s="409">
        <f>BP26+BP27+BP31+BP35+BP39+BP43+BP46+BP50+BP51+BP52+BP53+BP54+BP58+BP61+BP62+BP63+BP64+BP65+BP66+BP67+BP68+BP69+BP70+BP71+BP72+BP75+BP78+BP79</f>
        <v>26366665.0</v>
      </c>
      <c r="BQ25" s="409">
        <f>BQ26+BQ27+BQ31+BQ35+BQ39+BQ43+BQ46+BQ50+BQ51+BQ52+BQ53+BQ54+BQ58+BQ61+BQ62+BQ63+BQ64+BQ65+BQ66+BQ67+BQ68+BQ69+BQ70+BQ71+BQ72+BQ75+BQ78+BQ79</f>
        <v>26366665.0</v>
      </c>
      <c r="BR25" s="409">
        <f>BR26+BR27+BR31+BR35+BR39+BR43+BR46+BR50+BR51+BR52+BR53+BR54+BR58+BR61+BR62+BR63+BR64+BR65+BR66+BR67+BR68+BR69+BR70+BR71+BR72+BR75+BR78+BR79</f>
        <v>26366665.0</v>
      </c>
      <c r="BS25" s="409">
        <f>BS26+BS27+BS31+BS35+BS39+BS43+BS46+BS50+BS51+BS52+BS53+BS54+BS58+BS61+BS62+BS63+BS64+BS65+BS66+BS67+BS68+BS69+BS70+BS71+BS72+BS75+BS78+BS79</f>
        <v>26366665.0</v>
      </c>
      <c r="BT25" s="409">
        <f>BT26+BT27+BT31+BT35+BT39+BT43+BT46+BT50+BT51+BT52+BT53+BT54+BT58+BT61+BT62+BT63+BT64+BT65+BT66+BT67+BT68+BT69+BT70+BT71+BT72+BT75+BT78+BT79</f>
        <v>26366665.0</v>
      </c>
      <c r="BU25" s="409">
        <f>BU26+BU27+BU31+BU35+BU39+BU43+BU46+BU50+BU51+BU52+BU53+BU54+BU58+BU61+BU62+BU63+BU64+BU65+BU66+BU67+BU68+BU69+BU70+BU71+BU72+BU75+BU78+BU79</f>
        <v>26366665.0</v>
      </c>
      <c r="BV25" s="409">
        <f>BV26+BV27+BV31+BV35+BV39+BV43+BV46+BV50+BV51+BV52+BV53+BV54+BV58+BV61+BV62+BV63+BV64+BV65+BV66+BV67+BV68+BV69+BV70+BV71+BV72+BV75+BV78+BV79</f>
        <v>26366665.0</v>
      </c>
      <c r="BW25" s="412">
        <f>BW26+BW27+BW31+BW35+BW39+BW43+BW46+BW50+BW51+BW52+BW53+BW54+BW58+BW61+BW62+BW63+BW64+BW65+BW66+BW67+BW68+BW69+BW70+BW71+BW72+BW75+BW78+BW79</f>
        <v>26366685.0</v>
      </c>
      <c r="BX25" s="408">
        <f>BX26+BX27+BX31+BX35+BX39+BX43+BX46+BX50+BX51+BX52+BX53+BX54+BX58+BX61+BX62+BX63+BX64+BX65+BX66+BX67+BX68+BX69+BX70+BX71+BX72+BX75+BX78+BX79</f>
        <v>43508334.0</v>
      </c>
      <c r="BY25" s="409">
        <f>BY26+BY27+BY31+BY35+BY39+BY43+BY46+BY50+BY51+BY52+BY53+BY54+BY58+BY61+BY62+BY63+BY64+BY65+BY66+BY67+BY68+BY69+BY70+BY71+BY72+BY75+BY78+BY79</f>
        <v>43508334.0</v>
      </c>
      <c r="BZ25" s="409">
        <f>BZ26+BZ27+BZ31+BZ35+BZ39+BZ43+BZ46+BZ50+BZ51+BZ52+BZ53+BZ54+BZ58+BZ61+BZ62+BZ63+BZ64+BZ65+BZ66+BZ67+BZ68+BZ69+BZ70+BZ71+BZ72+BZ75+BZ78+BZ79</f>
        <v>43508334.0</v>
      </c>
      <c r="CA25" s="409">
        <f>CA26+CA27+CA31+CA35+CA39+CA43+CA46+CA50+CA51+CA52+CA53+CA54+CA58+CA61+CA62+CA63+CA64+CA65+CA66+CA67+CA68+CA69+CA70+CA71+CA72+CA75+CA78+CA79</f>
        <v>43508334.0</v>
      </c>
      <c r="CB25" s="409">
        <f>CB26+CB27+CB31+CB35+CB39+CB43+CB46+CB50+CB51+CB52+CB53+CB54+CB58+CB61+CB62+CB63+CB64+CB65+CB66+CB67+CB68+CB69+CB70+CB71+CB72+CB75+CB78+CB79</f>
        <v>43508334.0</v>
      </c>
      <c r="CC25" s="409">
        <f>CC26+CC27+CC31+CC35+CC39+CC43+CC46+CC50+CC51+CC52+CC53+CC54+CC58+CC61+CC62+CC63+CC64+CC65+CC66+CC67+CC68+CC69+CC70+CC71+CC72+CC75+CC78+CC79</f>
        <v>43508334.0</v>
      </c>
      <c r="CD25" s="409">
        <f>CD26+CD27+CD31+CD35+CD39+CD43+CD46+CD50+CD51+CD52+CD53+CD54+CD58+CD61+CD62+CD63+CD64+CD65+CD66+CD67+CD68+CD69+CD70+CD71+CD72+CD75+CD78+CD79</f>
        <v>43508334.0</v>
      </c>
      <c r="CE25" s="409">
        <f>CE26+CE27+CE31+CE35+CE39+CE43+CE46+CE50+CE51+CE52+CE53+CE54+CE58+CE61+CE62+CE63+CE64+CE65+CE66+CE67+CE68+CE69+CE70+CE71+CE72+CE75+CE78+CE79</f>
        <v>43508334.0</v>
      </c>
      <c r="CF25" s="409">
        <f>CF26+CF27+CF31+CF35+CF39+CF43+CF46+CF50+CF51+CF52+CF53+CF54+CF58+CF61+CF62+CF63+CF64+CF65+CF66+CF67+CF68+CF69+CF70+CF71+CF72+CF75+CF78+CF79</f>
        <v>43508334.0</v>
      </c>
      <c r="CG25" s="409">
        <f>CG26+CG27+CG31+CG35+CG39+CG43+CG46+CG50+CG51+CG52+CG53+CG54+CG58+CG61+CG62+CG63+CG64+CG65+CG66+CG67+CG68+CG69+CG70+CG71+CG72+CG75+CG78+CG79</f>
        <v>43508334.0</v>
      </c>
      <c r="CH25" s="409">
        <f>CH26+CH27+CH31+CH35+CH39+CH43+CH46+CH50+CH51+CH52+CH53+CH54+CH58+CH61+CH62+CH63+CH64+CH65+CH66+CH67+CH68+CH69+CH70+CH71+CH72+CH75+CH78+CH79</f>
        <v>43508334.0</v>
      </c>
      <c r="CI25" s="412">
        <f>CI26+CI27+CI31+CI35+CI39+CI43+CI46+CI50+CI51+CI52+CI53+CI54+CI58+CI61+CI62+CI63+CI64+CI65+CI66+CI67+CI68+CI69+CI70+CI71+CI72+CI75+CI78+CI79</f>
        <v>43508326.0</v>
      </c>
    </row>
    <row r="26" ht="18" customHeight="1" s="145">
      <c r="A26" s="233" t="n"/>
      <c r="B26" s="233" t="inlineStr">
        <is>
          <t>役員報酬</t>
        </is>
      </c>
      <c r="C26" s="233" t="n"/>
      <c r="D26" s="234" t="n"/>
      <c r="E26" s="408">
        <f>SUMIF($AB$3:$CI$3,E$4,$AB26:$CI26)</f>
        <v>12000000.0</v>
      </c>
      <c r="F26" s="408">
        <f>SUMIF($AB$3:$CI$3,F$4,$AB26:$CI26)</f>
        <v>15000000.0</v>
      </c>
      <c r="G26" s="408">
        <f>SUMIF($AB$3:$CI$3,G$4,$AB26:$CI26)</f>
        <v>18000000.0</v>
      </c>
      <c r="H26" s="408">
        <f>SUMIF($AB$3:$CI$3,H$4,$AB26:$CI26)</f>
        <v>24000000.0</v>
      </c>
      <c r="I26" s="408">
        <f>SUMIF($AB$3:$CI$3,I$4,$AB26:$CI26)</f>
        <v>30000000.0</v>
      </c>
      <c r="J26" s="407">
        <f>SUM(E26:I26)</f>
        <v>99000000.0</v>
      </c>
      <c r="K26" s="407">
        <f>SUMIF($Q$3:$CN$3,K$4,$Q26:$CN26)</f>
        <v>0.0</v>
      </c>
      <c r="L26" s="407">
        <f>SUMIF($Q$3:$CN$3,L$4,$Q26:$CN26)</f>
        <v>0.0</v>
      </c>
      <c r="M26" s="407">
        <f>SUMIF($Q$3:$CN$3,M$4,$Q26:$CN26)</f>
        <v>0.0</v>
      </c>
      <c r="N26" s="407">
        <f>SUMIF($Q$3:$CN$3,N$4,$Q26:$CN26)</f>
        <v>0.0</v>
      </c>
      <c r="O26" s="235" t="n"/>
      <c r="P26" s="408" t="n"/>
      <c r="Q26" s="409" t="n"/>
      <c r="R26" s="409" t="n"/>
      <c r="S26" s="409" t="n"/>
      <c r="T26" s="409" t="n"/>
      <c r="U26" s="409" t="n"/>
      <c r="V26" s="409" t="n"/>
      <c r="W26" s="409" t="n"/>
      <c r="X26" s="409" t="n"/>
      <c r="Y26" s="409" t="n"/>
      <c r="Z26" s="409" t="n"/>
      <c r="AA26" s="412" t="n"/>
      <c r="AB26" s="476">
        <f>ROUND(INDEX(販管費予算!$E$5:$I$5,MATCH(AB$3,販管費予算!$E$4:$I$4,0))/12,0)+IF(COUNTIF($AB$3:AB$3,AB$3)=12,INDEX(販管費予算!$E$5:$I$5,MATCH(AB$3,販管費予算!$E$4:$I$4,0))-12*ROUND(INDEX(販管費予算!$E$5:$I$5,MATCH(AB$3,販管費予算!$E$4:$I$4,0))/12,0),0)</f>
        <v>1000000.0</v>
      </c>
      <c r="AC26" s="477">
        <f>ROUND(INDEX(販管費予算!$E$5:$I$5,MATCH(AC$3,販管費予算!$E$4:$I$4,0))/12,0)+IF(COUNTIF($AB$3:AC$3,AC$3)=12,INDEX(販管費予算!$E$5:$I$5,MATCH(AC$3,販管費予算!$E$4:$I$4,0))-12*ROUND(INDEX(販管費予算!$E$5:$I$5,MATCH(AC$3,販管費予算!$E$4:$I$4,0))/12,0),0)</f>
        <v>1000000.0</v>
      </c>
      <c r="AD26" s="477">
        <f>ROUND(INDEX(販管費予算!$E$5:$I$5,MATCH(AD$3,販管費予算!$E$4:$I$4,0))/12,0)+IF(COUNTIF($AB$3:AD$3,AD$3)=12,INDEX(販管費予算!$E$5:$I$5,MATCH(AD$3,販管費予算!$E$4:$I$4,0))-12*ROUND(INDEX(販管費予算!$E$5:$I$5,MATCH(AD$3,販管費予算!$E$4:$I$4,0))/12,0),0)</f>
        <v>1000000.0</v>
      </c>
      <c r="AE26" s="477">
        <f>ROUND(INDEX(販管費予算!$E$5:$I$5,MATCH(AE$3,販管費予算!$E$4:$I$4,0))/12,0)+IF(COUNTIF($AB$3:AE$3,AE$3)=12,INDEX(販管費予算!$E$5:$I$5,MATCH(AE$3,販管費予算!$E$4:$I$4,0))-12*ROUND(INDEX(販管費予算!$E$5:$I$5,MATCH(AE$3,販管費予算!$E$4:$I$4,0))/12,0),0)</f>
        <v>1000000.0</v>
      </c>
      <c r="AF26" s="477">
        <f>ROUND(INDEX(販管費予算!$E$5:$I$5,MATCH(AF$3,販管費予算!$E$4:$I$4,0))/12,0)+IF(COUNTIF($AB$3:AF$3,AF$3)=12,INDEX(販管費予算!$E$5:$I$5,MATCH(AF$3,販管費予算!$E$4:$I$4,0))-12*ROUND(INDEX(販管費予算!$E$5:$I$5,MATCH(AF$3,販管費予算!$E$4:$I$4,0))/12,0),0)</f>
        <v>1000000.0</v>
      </c>
      <c r="AG26" s="409">
        <f>ROUND(INDEX(販管費予算!$E$5:$I$5,MATCH(AG$3,販管費予算!$E$4:$I$4,0))/12,0)+IF(COUNTIF($AB$3:AG$3,AG$3)=12,INDEX(販管費予算!$E$5:$I$5,MATCH(AG$3,販管費予算!$E$4:$I$4,0))-12*ROUND(INDEX(販管費予算!$E$5:$I$5,MATCH(AG$3,販管費予算!$E$4:$I$4,0))/12,0),0)</f>
        <v>1000000.0</v>
      </c>
      <c r="AH26" s="409">
        <f>ROUND(INDEX(販管費予算!$E$5:$I$5,MATCH(AH$3,販管費予算!$E$4:$I$4,0))/12,0)+IF(COUNTIF($AB$3:AH$3,AH$3)=12,INDEX(販管費予算!$E$5:$I$5,MATCH(AH$3,販管費予算!$E$4:$I$4,0))-12*ROUND(INDEX(販管費予算!$E$5:$I$5,MATCH(AH$3,販管費予算!$E$4:$I$4,0))/12,0),0)</f>
        <v>1000000.0</v>
      </c>
      <c r="AI26" s="409">
        <f>ROUND(INDEX(販管費予算!$E$5:$I$5,MATCH(AI$3,販管費予算!$E$4:$I$4,0))/12,0)+IF(COUNTIF($AB$3:AI$3,AI$3)=12,INDEX(販管費予算!$E$5:$I$5,MATCH(AI$3,販管費予算!$E$4:$I$4,0))-12*ROUND(INDEX(販管費予算!$E$5:$I$5,MATCH(AI$3,販管費予算!$E$4:$I$4,0))/12,0),0)</f>
        <v>1000000.0</v>
      </c>
      <c r="AJ26" s="409">
        <f>ROUND(INDEX(販管費予算!$E$5:$I$5,MATCH(AJ$3,販管費予算!$E$4:$I$4,0))/12,0)+IF(COUNTIF($AB$3:AJ$3,AJ$3)=12,INDEX(販管費予算!$E$5:$I$5,MATCH(AJ$3,販管費予算!$E$4:$I$4,0))-12*ROUND(INDEX(販管費予算!$E$5:$I$5,MATCH(AJ$3,販管費予算!$E$4:$I$4,0))/12,0),0)</f>
        <v>1000000.0</v>
      </c>
      <c r="AK26" s="409">
        <f>ROUND(INDEX(販管費予算!$E$5:$I$5,MATCH(AK$3,販管費予算!$E$4:$I$4,0))/12,0)+IF(COUNTIF($AB$3:AK$3,AK$3)=12,INDEX(販管費予算!$E$5:$I$5,MATCH(AK$3,販管費予算!$E$4:$I$4,0))-12*ROUND(INDEX(販管費予算!$E$5:$I$5,MATCH(AK$3,販管費予算!$E$4:$I$4,0))/12,0),0)</f>
        <v>1000000.0</v>
      </c>
      <c r="AL26" s="409">
        <f>ROUND(INDEX(販管費予算!$E$5:$I$5,MATCH(AL$3,販管費予算!$E$4:$I$4,0))/12,0)+IF(COUNTIF($AB$3:AL$3,AL$3)=12,INDEX(販管費予算!$E$5:$I$5,MATCH(AL$3,販管費予算!$E$4:$I$4,0))-12*ROUND(INDEX(販管費予算!$E$5:$I$5,MATCH(AL$3,販管費予算!$E$4:$I$4,0))/12,0),0)</f>
        <v>1000000.0</v>
      </c>
      <c r="AM26" s="412">
        <f>ROUND(INDEX(販管費予算!$E$5:$I$5,MATCH(AM$3,販管費予算!$E$4:$I$4,0))/12,0)+IF(COUNTIF($AB$3:AM$3,AM$3)=12,INDEX(販管費予算!$E$5:$I$5,MATCH(AM$3,販管費予算!$E$4:$I$4,0))-12*ROUND(INDEX(販管費予算!$E$5:$I$5,MATCH(AM$3,販管費予算!$E$4:$I$4,0))/12,0),0)</f>
        <v>1000000.0</v>
      </c>
      <c r="AN26" s="408">
        <f>ROUND(INDEX(販管費予算!$E$5:$I$5,MATCH(AN$3,販管費予算!$E$4:$I$4,0))/12,0)+IF(COUNTIF($AB$3:AN$3,AN$3)=12,INDEX(販管費予算!$E$5:$I$5,MATCH(AN$3,販管費予算!$E$4:$I$4,0))-12*ROUND(INDEX(販管費予算!$E$5:$I$5,MATCH(AN$3,販管費予算!$E$4:$I$4,0))/12,0),0)</f>
        <v>1250000.0</v>
      </c>
      <c r="AO26" s="409">
        <f>ROUND(INDEX(販管費予算!$E$5:$I$5,MATCH(AO$3,販管費予算!$E$4:$I$4,0))/12,0)+IF(COUNTIF($AB$3:AO$3,AO$3)=12,INDEX(販管費予算!$E$5:$I$5,MATCH(AO$3,販管費予算!$E$4:$I$4,0))-12*ROUND(INDEX(販管費予算!$E$5:$I$5,MATCH(AO$3,販管費予算!$E$4:$I$4,0))/12,0),0)</f>
        <v>1250000.0</v>
      </c>
      <c r="AP26" s="409">
        <f>ROUND(INDEX(販管費予算!$E$5:$I$5,MATCH(AP$3,販管費予算!$E$4:$I$4,0))/12,0)+IF(COUNTIF($AB$3:AP$3,AP$3)=12,INDEX(販管費予算!$E$5:$I$5,MATCH(AP$3,販管費予算!$E$4:$I$4,0))-12*ROUND(INDEX(販管費予算!$E$5:$I$5,MATCH(AP$3,販管費予算!$E$4:$I$4,0))/12,0),0)</f>
        <v>1250000.0</v>
      </c>
      <c r="AQ26" s="409">
        <f>ROUND(INDEX(販管費予算!$E$5:$I$5,MATCH(AQ$3,販管費予算!$E$4:$I$4,0))/12,0)+IF(COUNTIF($AB$3:AQ$3,AQ$3)=12,INDEX(販管費予算!$E$5:$I$5,MATCH(AQ$3,販管費予算!$E$4:$I$4,0))-12*ROUND(INDEX(販管費予算!$E$5:$I$5,MATCH(AQ$3,販管費予算!$E$4:$I$4,0))/12,0),0)</f>
        <v>1250000.0</v>
      </c>
      <c r="AR26" s="409">
        <f>ROUND(INDEX(販管費予算!$E$5:$I$5,MATCH(AR$3,販管費予算!$E$4:$I$4,0))/12,0)+IF(COUNTIF($AB$3:AR$3,AR$3)=12,INDEX(販管費予算!$E$5:$I$5,MATCH(AR$3,販管費予算!$E$4:$I$4,0))-12*ROUND(INDEX(販管費予算!$E$5:$I$5,MATCH(AR$3,販管費予算!$E$4:$I$4,0))/12,0),0)</f>
        <v>1250000.0</v>
      </c>
      <c r="AS26" s="409">
        <f>ROUND(INDEX(販管費予算!$E$5:$I$5,MATCH(AS$3,販管費予算!$E$4:$I$4,0))/12,0)+IF(COUNTIF($AB$3:AS$3,AS$3)=12,INDEX(販管費予算!$E$5:$I$5,MATCH(AS$3,販管費予算!$E$4:$I$4,0))-12*ROUND(INDEX(販管費予算!$E$5:$I$5,MATCH(AS$3,販管費予算!$E$4:$I$4,0))/12,0),0)</f>
        <v>1250000.0</v>
      </c>
      <c r="AT26" s="409">
        <f>ROUND(INDEX(販管費予算!$E$5:$I$5,MATCH(AT$3,販管費予算!$E$4:$I$4,0))/12,0)+IF(COUNTIF($AB$3:AT$3,AT$3)=12,INDEX(販管費予算!$E$5:$I$5,MATCH(AT$3,販管費予算!$E$4:$I$4,0))-12*ROUND(INDEX(販管費予算!$E$5:$I$5,MATCH(AT$3,販管費予算!$E$4:$I$4,0))/12,0),0)</f>
        <v>1250000.0</v>
      </c>
      <c r="AU26" s="409">
        <f>ROUND(INDEX(販管費予算!$E$5:$I$5,MATCH(AU$3,販管費予算!$E$4:$I$4,0))/12,0)+IF(COUNTIF($AB$3:AU$3,AU$3)=12,INDEX(販管費予算!$E$5:$I$5,MATCH(AU$3,販管費予算!$E$4:$I$4,0))-12*ROUND(INDEX(販管費予算!$E$5:$I$5,MATCH(AU$3,販管費予算!$E$4:$I$4,0))/12,0),0)</f>
        <v>1250000.0</v>
      </c>
      <c r="AV26" s="409">
        <f>ROUND(INDEX(販管費予算!$E$5:$I$5,MATCH(AV$3,販管費予算!$E$4:$I$4,0))/12,0)+IF(COUNTIF($AB$3:AV$3,AV$3)=12,INDEX(販管費予算!$E$5:$I$5,MATCH(AV$3,販管費予算!$E$4:$I$4,0))-12*ROUND(INDEX(販管費予算!$E$5:$I$5,MATCH(AV$3,販管費予算!$E$4:$I$4,0))/12,0),0)</f>
        <v>1250000.0</v>
      </c>
      <c r="AW26" s="409">
        <f>ROUND(INDEX(販管費予算!$E$5:$I$5,MATCH(AW$3,販管費予算!$E$4:$I$4,0))/12,0)+IF(COUNTIF($AB$3:AW$3,AW$3)=12,INDEX(販管費予算!$E$5:$I$5,MATCH(AW$3,販管費予算!$E$4:$I$4,0))-12*ROUND(INDEX(販管費予算!$E$5:$I$5,MATCH(AW$3,販管費予算!$E$4:$I$4,0))/12,0),0)</f>
        <v>1250000.0</v>
      </c>
      <c r="AX26" s="409">
        <f>ROUND(INDEX(販管費予算!$E$5:$I$5,MATCH(AX$3,販管費予算!$E$4:$I$4,0))/12,0)+IF(COUNTIF($AB$3:AX$3,AX$3)=12,INDEX(販管費予算!$E$5:$I$5,MATCH(AX$3,販管費予算!$E$4:$I$4,0))-12*ROUND(INDEX(販管費予算!$E$5:$I$5,MATCH(AX$3,販管費予算!$E$4:$I$4,0))/12,0),0)</f>
        <v>1250000.0</v>
      </c>
      <c r="AY26" s="412">
        <f>ROUND(INDEX(販管費予算!$E$5:$I$5,MATCH(AY$3,販管費予算!$E$4:$I$4,0))/12,0)+IF(COUNTIF($AB$3:AY$3,AY$3)=12,INDEX(販管費予算!$E$5:$I$5,MATCH(AY$3,販管費予算!$E$4:$I$4,0))-12*ROUND(INDEX(販管費予算!$E$5:$I$5,MATCH(AY$3,販管費予算!$E$4:$I$4,0))/12,0),0)</f>
        <v>1250000.0</v>
      </c>
      <c r="AZ26" s="408">
        <f>ROUND(INDEX(販管費予算!$E$5:$I$5,MATCH(AZ$3,販管費予算!$E$4:$I$4,0))/12,0)+IF(COUNTIF($AB$3:AZ$3,AZ$3)=12,INDEX(販管費予算!$E$5:$I$5,MATCH(AZ$3,販管費予算!$E$4:$I$4,0))-12*ROUND(INDEX(販管費予算!$E$5:$I$5,MATCH(AZ$3,販管費予算!$E$4:$I$4,0))/12,0),0)</f>
        <v>1500000.0</v>
      </c>
      <c r="BA26" s="409">
        <f>ROUND(INDEX(販管費予算!$E$5:$I$5,MATCH(BA$3,販管費予算!$E$4:$I$4,0))/12,0)+IF(COUNTIF($AB$3:BA$3,BA$3)=12,INDEX(販管費予算!$E$5:$I$5,MATCH(BA$3,販管費予算!$E$4:$I$4,0))-12*ROUND(INDEX(販管費予算!$E$5:$I$5,MATCH(BA$3,販管費予算!$E$4:$I$4,0))/12,0),0)</f>
        <v>1500000.0</v>
      </c>
      <c r="BB26" s="409">
        <f>ROUND(INDEX(販管費予算!$E$5:$I$5,MATCH(BB$3,販管費予算!$E$4:$I$4,0))/12,0)+IF(COUNTIF($AB$3:BB$3,BB$3)=12,INDEX(販管費予算!$E$5:$I$5,MATCH(BB$3,販管費予算!$E$4:$I$4,0))-12*ROUND(INDEX(販管費予算!$E$5:$I$5,MATCH(BB$3,販管費予算!$E$4:$I$4,0))/12,0),0)</f>
        <v>1500000.0</v>
      </c>
      <c r="BC26" s="409">
        <f>ROUND(INDEX(販管費予算!$E$5:$I$5,MATCH(BC$3,販管費予算!$E$4:$I$4,0))/12,0)+IF(COUNTIF($AB$3:BC$3,BC$3)=12,INDEX(販管費予算!$E$5:$I$5,MATCH(BC$3,販管費予算!$E$4:$I$4,0))-12*ROUND(INDEX(販管費予算!$E$5:$I$5,MATCH(BC$3,販管費予算!$E$4:$I$4,0))/12,0),0)</f>
        <v>1500000.0</v>
      </c>
      <c r="BD26" s="409">
        <f>ROUND(INDEX(販管費予算!$E$5:$I$5,MATCH(BD$3,販管費予算!$E$4:$I$4,0))/12,0)+IF(COUNTIF($AB$3:BD$3,BD$3)=12,INDEX(販管費予算!$E$5:$I$5,MATCH(BD$3,販管費予算!$E$4:$I$4,0))-12*ROUND(INDEX(販管費予算!$E$5:$I$5,MATCH(BD$3,販管費予算!$E$4:$I$4,0))/12,0),0)</f>
        <v>1500000.0</v>
      </c>
      <c r="BE26" s="409">
        <f>ROUND(INDEX(販管費予算!$E$5:$I$5,MATCH(BE$3,販管費予算!$E$4:$I$4,0))/12,0)+IF(COUNTIF($AB$3:BE$3,BE$3)=12,INDEX(販管費予算!$E$5:$I$5,MATCH(BE$3,販管費予算!$E$4:$I$4,0))-12*ROUND(INDEX(販管費予算!$E$5:$I$5,MATCH(BE$3,販管費予算!$E$4:$I$4,0))/12,0),0)</f>
        <v>1500000.0</v>
      </c>
      <c r="BF26" s="409">
        <f>ROUND(INDEX(販管費予算!$E$5:$I$5,MATCH(BF$3,販管費予算!$E$4:$I$4,0))/12,0)+IF(COUNTIF($AB$3:BF$3,BF$3)=12,INDEX(販管費予算!$E$5:$I$5,MATCH(BF$3,販管費予算!$E$4:$I$4,0))-12*ROUND(INDEX(販管費予算!$E$5:$I$5,MATCH(BF$3,販管費予算!$E$4:$I$4,0))/12,0),0)</f>
        <v>1500000.0</v>
      </c>
      <c r="BG26" s="409">
        <f>ROUND(INDEX(販管費予算!$E$5:$I$5,MATCH(BG$3,販管費予算!$E$4:$I$4,0))/12,0)+IF(COUNTIF($AB$3:BG$3,BG$3)=12,INDEX(販管費予算!$E$5:$I$5,MATCH(BG$3,販管費予算!$E$4:$I$4,0))-12*ROUND(INDEX(販管費予算!$E$5:$I$5,MATCH(BG$3,販管費予算!$E$4:$I$4,0))/12,0),0)</f>
        <v>1500000.0</v>
      </c>
      <c r="BH26" s="409">
        <f>ROUND(INDEX(販管費予算!$E$5:$I$5,MATCH(BH$3,販管費予算!$E$4:$I$4,0))/12,0)+IF(COUNTIF($AB$3:BH$3,BH$3)=12,INDEX(販管費予算!$E$5:$I$5,MATCH(BH$3,販管費予算!$E$4:$I$4,0))-12*ROUND(INDEX(販管費予算!$E$5:$I$5,MATCH(BH$3,販管費予算!$E$4:$I$4,0))/12,0),0)</f>
        <v>1500000.0</v>
      </c>
      <c r="BI26" s="409">
        <f>ROUND(INDEX(販管費予算!$E$5:$I$5,MATCH(BI$3,販管費予算!$E$4:$I$4,0))/12,0)+IF(COUNTIF($AB$3:BI$3,BI$3)=12,INDEX(販管費予算!$E$5:$I$5,MATCH(BI$3,販管費予算!$E$4:$I$4,0))-12*ROUND(INDEX(販管費予算!$E$5:$I$5,MATCH(BI$3,販管費予算!$E$4:$I$4,0))/12,0),0)</f>
        <v>1500000.0</v>
      </c>
      <c r="BJ26" s="409">
        <f>ROUND(INDEX(販管費予算!$E$5:$I$5,MATCH(BJ$3,販管費予算!$E$4:$I$4,0))/12,0)+IF(COUNTIF($AB$3:BJ$3,BJ$3)=12,INDEX(販管費予算!$E$5:$I$5,MATCH(BJ$3,販管費予算!$E$4:$I$4,0))-12*ROUND(INDEX(販管費予算!$E$5:$I$5,MATCH(BJ$3,販管費予算!$E$4:$I$4,0))/12,0),0)</f>
        <v>1500000.0</v>
      </c>
      <c r="BK26" s="412">
        <f>ROUND(INDEX(販管費予算!$E$5:$I$5,MATCH(BK$3,販管費予算!$E$4:$I$4,0))/12,0)+IF(COUNTIF($AB$3:BK$3,BK$3)=12,INDEX(販管費予算!$E$5:$I$5,MATCH(BK$3,販管費予算!$E$4:$I$4,0))-12*ROUND(INDEX(販管費予算!$E$5:$I$5,MATCH(BK$3,販管費予算!$E$4:$I$4,0))/12,0),0)</f>
        <v>1500000.0</v>
      </c>
      <c r="BL26" s="408">
        <f>ROUND(INDEX(販管費予算!$E$5:$I$5,MATCH(BL$3,販管費予算!$E$4:$I$4,0))/12,0)+IF(COUNTIF($AB$3:BL$3,BL$3)=12,INDEX(販管費予算!$E$5:$I$5,MATCH(BL$3,販管費予算!$E$4:$I$4,0))-12*ROUND(INDEX(販管費予算!$E$5:$I$5,MATCH(BL$3,販管費予算!$E$4:$I$4,0))/12,0),0)</f>
        <v>2000000.0</v>
      </c>
      <c r="BM26" s="409">
        <f>ROUND(INDEX(販管費予算!$E$5:$I$5,MATCH(BM$3,販管費予算!$E$4:$I$4,0))/12,0)+IF(COUNTIF($AB$3:BM$3,BM$3)=12,INDEX(販管費予算!$E$5:$I$5,MATCH(BM$3,販管費予算!$E$4:$I$4,0))-12*ROUND(INDEX(販管費予算!$E$5:$I$5,MATCH(BM$3,販管費予算!$E$4:$I$4,0))/12,0),0)</f>
        <v>2000000.0</v>
      </c>
      <c r="BN26" s="409">
        <f>ROUND(INDEX(販管費予算!$E$5:$I$5,MATCH(BN$3,販管費予算!$E$4:$I$4,0))/12,0)+IF(COUNTIF($AB$3:BN$3,BN$3)=12,INDEX(販管費予算!$E$5:$I$5,MATCH(BN$3,販管費予算!$E$4:$I$4,0))-12*ROUND(INDEX(販管費予算!$E$5:$I$5,MATCH(BN$3,販管費予算!$E$4:$I$4,0))/12,0),0)</f>
        <v>2000000.0</v>
      </c>
      <c r="BO26" s="409">
        <f>ROUND(INDEX(販管費予算!$E$5:$I$5,MATCH(BO$3,販管費予算!$E$4:$I$4,0))/12,0)+IF(COUNTIF($AB$3:BO$3,BO$3)=12,INDEX(販管費予算!$E$5:$I$5,MATCH(BO$3,販管費予算!$E$4:$I$4,0))-12*ROUND(INDEX(販管費予算!$E$5:$I$5,MATCH(BO$3,販管費予算!$E$4:$I$4,0))/12,0),0)</f>
        <v>2000000.0</v>
      </c>
      <c r="BP26" s="409">
        <f>ROUND(INDEX(販管費予算!$E$5:$I$5,MATCH(BP$3,販管費予算!$E$4:$I$4,0))/12,0)+IF(COUNTIF($AB$3:BP$3,BP$3)=12,INDEX(販管費予算!$E$5:$I$5,MATCH(BP$3,販管費予算!$E$4:$I$4,0))-12*ROUND(INDEX(販管費予算!$E$5:$I$5,MATCH(BP$3,販管費予算!$E$4:$I$4,0))/12,0),0)</f>
        <v>2000000.0</v>
      </c>
      <c r="BQ26" s="409">
        <f>ROUND(INDEX(販管費予算!$E$5:$I$5,MATCH(BQ$3,販管費予算!$E$4:$I$4,0))/12,0)+IF(COUNTIF($AB$3:BQ$3,BQ$3)=12,INDEX(販管費予算!$E$5:$I$5,MATCH(BQ$3,販管費予算!$E$4:$I$4,0))-12*ROUND(INDEX(販管費予算!$E$5:$I$5,MATCH(BQ$3,販管費予算!$E$4:$I$4,0))/12,0),0)</f>
        <v>2000000.0</v>
      </c>
      <c r="BR26" s="409">
        <f>ROUND(INDEX(販管費予算!$E$5:$I$5,MATCH(BR$3,販管費予算!$E$4:$I$4,0))/12,0)+IF(COUNTIF($AB$3:BR$3,BR$3)=12,INDEX(販管費予算!$E$5:$I$5,MATCH(BR$3,販管費予算!$E$4:$I$4,0))-12*ROUND(INDEX(販管費予算!$E$5:$I$5,MATCH(BR$3,販管費予算!$E$4:$I$4,0))/12,0),0)</f>
        <v>2000000.0</v>
      </c>
      <c r="BS26" s="409">
        <f>ROUND(INDEX(販管費予算!$E$5:$I$5,MATCH(BS$3,販管費予算!$E$4:$I$4,0))/12,0)+IF(COUNTIF($AB$3:BS$3,BS$3)=12,INDEX(販管費予算!$E$5:$I$5,MATCH(BS$3,販管費予算!$E$4:$I$4,0))-12*ROUND(INDEX(販管費予算!$E$5:$I$5,MATCH(BS$3,販管費予算!$E$4:$I$4,0))/12,0),0)</f>
        <v>2000000.0</v>
      </c>
      <c r="BT26" s="409">
        <f>ROUND(INDEX(販管費予算!$E$5:$I$5,MATCH(BT$3,販管費予算!$E$4:$I$4,0))/12,0)+IF(COUNTIF($AB$3:BT$3,BT$3)=12,INDEX(販管費予算!$E$5:$I$5,MATCH(BT$3,販管費予算!$E$4:$I$4,0))-12*ROUND(INDEX(販管費予算!$E$5:$I$5,MATCH(BT$3,販管費予算!$E$4:$I$4,0))/12,0),0)</f>
        <v>2000000.0</v>
      </c>
      <c r="BU26" s="409">
        <f>ROUND(INDEX(販管費予算!$E$5:$I$5,MATCH(BU$3,販管費予算!$E$4:$I$4,0))/12,0)+IF(COUNTIF($AB$3:BU$3,BU$3)=12,INDEX(販管費予算!$E$5:$I$5,MATCH(BU$3,販管費予算!$E$4:$I$4,0))-12*ROUND(INDEX(販管費予算!$E$5:$I$5,MATCH(BU$3,販管費予算!$E$4:$I$4,0))/12,0),0)</f>
        <v>2000000.0</v>
      </c>
      <c r="BV26" s="409">
        <f>ROUND(INDEX(販管費予算!$E$5:$I$5,MATCH(BV$3,販管費予算!$E$4:$I$4,0))/12,0)+IF(COUNTIF($AB$3:BV$3,BV$3)=12,INDEX(販管費予算!$E$5:$I$5,MATCH(BV$3,販管費予算!$E$4:$I$4,0))-12*ROUND(INDEX(販管費予算!$E$5:$I$5,MATCH(BV$3,販管費予算!$E$4:$I$4,0))/12,0),0)</f>
        <v>2000000.0</v>
      </c>
      <c r="BW26" s="412">
        <f>ROUND(INDEX(販管費予算!$E$5:$I$5,MATCH(BW$3,販管費予算!$E$4:$I$4,0))/12,0)+IF(COUNTIF($AB$3:BW$3,BW$3)=12,INDEX(販管費予算!$E$5:$I$5,MATCH(BW$3,販管費予算!$E$4:$I$4,0))-12*ROUND(INDEX(販管費予算!$E$5:$I$5,MATCH(BW$3,販管費予算!$E$4:$I$4,0))/12,0),0)</f>
        <v>2000000.0</v>
      </c>
      <c r="BX26" s="408">
        <f>ROUND(INDEX(販管費予算!$E$5:$I$5,MATCH(BX$3,販管費予算!$E$4:$I$4,0))/12,0)+IF(COUNTIF($AB$3:BX$3,BX$3)=12,INDEX(販管費予算!$E$5:$I$5,MATCH(BX$3,販管費予算!$E$4:$I$4,0))-12*ROUND(INDEX(販管費予算!$E$5:$I$5,MATCH(BX$3,販管費予算!$E$4:$I$4,0))/12,0),0)</f>
        <v>2500000.0</v>
      </c>
      <c r="BY26" s="409">
        <f>ROUND(INDEX(販管費予算!$E$5:$I$5,MATCH(BY$3,販管費予算!$E$4:$I$4,0))/12,0)+IF(COUNTIF($AB$3:BY$3,BY$3)=12,INDEX(販管費予算!$E$5:$I$5,MATCH(BY$3,販管費予算!$E$4:$I$4,0))-12*ROUND(INDEX(販管費予算!$E$5:$I$5,MATCH(BY$3,販管費予算!$E$4:$I$4,0))/12,0),0)</f>
        <v>2500000.0</v>
      </c>
      <c r="BZ26" s="409">
        <f>ROUND(INDEX(販管費予算!$E$5:$I$5,MATCH(BZ$3,販管費予算!$E$4:$I$4,0))/12,0)+IF(COUNTIF($AB$3:BZ$3,BZ$3)=12,INDEX(販管費予算!$E$5:$I$5,MATCH(BZ$3,販管費予算!$E$4:$I$4,0))-12*ROUND(INDEX(販管費予算!$E$5:$I$5,MATCH(BZ$3,販管費予算!$E$4:$I$4,0))/12,0),0)</f>
        <v>2500000.0</v>
      </c>
      <c r="CA26" s="409">
        <f>ROUND(INDEX(販管費予算!$E$5:$I$5,MATCH(CA$3,販管費予算!$E$4:$I$4,0))/12,0)+IF(COUNTIF($AB$3:CA$3,CA$3)=12,INDEX(販管費予算!$E$5:$I$5,MATCH(CA$3,販管費予算!$E$4:$I$4,0))-12*ROUND(INDEX(販管費予算!$E$5:$I$5,MATCH(CA$3,販管費予算!$E$4:$I$4,0))/12,0),0)</f>
        <v>2500000.0</v>
      </c>
      <c r="CB26" s="409">
        <f>ROUND(INDEX(販管費予算!$E$5:$I$5,MATCH(CB$3,販管費予算!$E$4:$I$4,0))/12,0)+IF(COUNTIF($AB$3:CB$3,CB$3)=12,INDEX(販管費予算!$E$5:$I$5,MATCH(CB$3,販管費予算!$E$4:$I$4,0))-12*ROUND(INDEX(販管費予算!$E$5:$I$5,MATCH(CB$3,販管費予算!$E$4:$I$4,0))/12,0),0)</f>
        <v>2500000.0</v>
      </c>
      <c r="CC26" s="409">
        <f>ROUND(INDEX(販管費予算!$E$5:$I$5,MATCH(CC$3,販管費予算!$E$4:$I$4,0))/12,0)+IF(COUNTIF($AB$3:CC$3,CC$3)=12,INDEX(販管費予算!$E$5:$I$5,MATCH(CC$3,販管費予算!$E$4:$I$4,0))-12*ROUND(INDEX(販管費予算!$E$5:$I$5,MATCH(CC$3,販管費予算!$E$4:$I$4,0))/12,0),0)</f>
        <v>2500000.0</v>
      </c>
      <c r="CD26" s="409">
        <f>ROUND(INDEX(販管費予算!$E$5:$I$5,MATCH(CD$3,販管費予算!$E$4:$I$4,0))/12,0)+IF(COUNTIF($AB$3:CD$3,CD$3)=12,INDEX(販管費予算!$E$5:$I$5,MATCH(CD$3,販管費予算!$E$4:$I$4,0))-12*ROUND(INDEX(販管費予算!$E$5:$I$5,MATCH(CD$3,販管費予算!$E$4:$I$4,0))/12,0),0)</f>
        <v>2500000.0</v>
      </c>
      <c r="CE26" s="409">
        <f>ROUND(INDEX(販管費予算!$E$5:$I$5,MATCH(CE$3,販管費予算!$E$4:$I$4,0))/12,0)+IF(COUNTIF($AB$3:CE$3,CE$3)=12,INDEX(販管費予算!$E$5:$I$5,MATCH(CE$3,販管費予算!$E$4:$I$4,0))-12*ROUND(INDEX(販管費予算!$E$5:$I$5,MATCH(CE$3,販管費予算!$E$4:$I$4,0))/12,0),0)</f>
        <v>2500000.0</v>
      </c>
      <c r="CF26" s="409">
        <f>ROUND(INDEX(販管費予算!$E$5:$I$5,MATCH(CF$3,販管費予算!$E$4:$I$4,0))/12,0)+IF(COUNTIF($AB$3:CF$3,CF$3)=12,INDEX(販管費予算!$E$5:$I$5,MATCH(CF$3,販管費予算!$E$4:$I$4,0))-12*ROUND(INDEX(販管費予算!$E$5:$I$5,MATCH(CF$3,販管費予算!$E$4:$I$4,0))/12,0),0)</f>
        <v>2500000.0</v>
      </c>
      <c r="CG26" s="409">
        <f>ROUND(INDEX(販管費予算!$E$5:$I$5,MATCH(CG$3,販管費予算!$E$4:$I$4,0))/12,0)+IF(COUNTIF($AB$3:CG$3,CG$3)=12,INDEX(販管費予算!$E$5:$I$5,MATCH(CG$3,販管費予算!$E$4:$I$4,0))-12*ROUND(INDEX(販管費予算!$E$5:$I$5,MATCH(CG$3,販管費予算!$E$4:$I$4,0))/12,0),0)</f>
        <v>2500000.0</v>
      </c>
      <c r="CH26" s="409">
        <f>ROUND(INDEX(販管費予算!$E$5:$I$5,MATCH(CH$3,販管費予算!$E$4:$I$4,0))/12,0)+IF(COUNTIF($AB$3:CH$3,CH$3)=12,INDEX(販管費予算!$E$5:$I$5,MATCH(CH$3,販管費予算!$E$4:$I$4,0))-12*ROUND(INDEX(販管費予算!$E$5:$I$5,MATCH(CH$3,販管費予算!$E$4:$I$4,0))/12,0),0)</f>
        <v>2500000.0</v>
      </c>
      <c r="CI26" s="412">
        <f>ROUND(INDEX(販管費予算!$E$5:$I$5,MATCH(CI$3,販管費予算!$E$4:$I$4,0))/12,0)+IF(COUNTIF($AB$3:CI$3,CI$3)=12,INDEX(販管費予算!$E$5:$I$5,MATCH(CI$3,販管費予算!$E$4:$I$4,0))-12*ROUND(INDEX(販管費予算!$E$5:$I$5,MATCH(CI$3,販管費予算!$E$4:$I$4,0))/12,0),0)</f>
        <v>2500000.0</v>
      </c>
    </row>
    <row r="27" ht="18" customHeight="1" s="145">
      <c r="A27" s="233" t="n"/>
      <c r="B27" s="325" t="inlineStr">
        <is>
          <t>給与手当</t>
        </is>
      </c>
      <c r="C27" s="325" t="n"/>
      <c r="D27" s="326" t="n"/>
      <c r="E27" s="469">
        <f>SUMIF($AB$3:$CI$3,E$4,$AB27:$CI27)</f>
        <v>12000000.0</v>
      </c>
      <c r="F27" s="470">
        <f>SUMIF($AB$3:$CI$3,F$4,$AB27:$CI27)</f>
        <v>30000000.0</v>
      </c>
      <c r="G27" s="470">
        <f>SUMIF($AB$3:$CI$3,G$4,$AB27:$CI27)</f>
        <v>60000000.0</v>
      </c>
      <c r="H27" s="470">
        <f>SUMIF($AB$3:$CI$3,H$4,$AB27:$CI27)</f>
        <v>90000000.0</v>
      </c>
      <c r="I27" s="470">
        <f>SUMIF($AB$3:$CI$3,I$4,$AB27:$CI27)</f>
        <v>150000000.0</v>
      </c>
      <c r="J27" s="478">
        <f>SUM(E27:I27)</f>
        <v>342000000.0</v>
      </c>
      <c r="K27" s="478">
        <f>SUMIF($Q$3:$CN$3,K$4,$Q27:$CN27)</f>
        <v>0.0</v>
      </c>
      <c r="L27" s="478">
        <f>SUMIF($Q$3:$CN$3,L$4,$Q27:$CN27)</f>
        <v>0.0</v>
      </c>
      <c r="M27" s="478">
        <f>SUMIF($Q$3:$CN$3,M$4,$Q27:$CN27)</f>
        <v>0.0</v>
      </c>
      <c r="N27" s="478">
        <f>SUMIF($Q$3:$CN$3,N$4,$Q27:$CN27)</f>
        <v>0.0</v>
      </c>
      <c r="O27" s="316" t="n"/>
      <c r="P27" s="469" t="n"/>
      <c r="Q27" s="470" t="n"/>
      <c r="R27" s="470" t="n"/>
      <c r="S27" s="470" t="n"/>
      <c r="T27" s="470" t="n"/>
      <c r="U27" s="470" t="n"/>
      <c r="V27" s="470" t="n"/>
      <c r="W27" s="470" t="n"/>
      <c r="X27" s="470" t="n"/>
      <c r="Y27" s="470" t="n"/>
      <c r="Z27" s="470" t="n"/>
      <c r="AA27" s="471" t="n"/>
      <c r="AB27" s="479">
        <f>SUM(AB28:AB30)</f>
        <v>1000000.0</v>
      </c>
      <c r="AC27" s="480">
        <f>SUM(AC28:AC30)</f>
        <v>1000000.0</v>
      </c>
      <c r="AD27" s="480">
        <f>SUM(AD28:AD30)</f>
        <v>1000000.0</v>
      </c>
      <c r="AE27" s="480">
        <f>SUM(AE28:AE30)</f>
        <v>1000000.0</v>
      </c>
      <c r="AF27" s="480">
        <f>SUM(AF28:AF30)</f>
        <v>1000000.0</v>
      </c>
      <c r="AG27" s="470">
        <f>SUM(AG28:AG30)</f>
        <v>1000000.0</v>
      </c>
      <c r="AH27" s="470">
        <f>SUM(AH28:AH30)</f>
        <v>1000000.0</v>
      </c>
      <c r="AI27" s="470">
        <f>SUM(AI28:AI30)</f>
        <v>1000000.0</v>
      </c>
      <c r="AJ27" s="470">
        <f>SUM(AJ28:AJ30)</f>
        <v>1000000.0</v>
      </c>
      <c r="AK27" s="470">
        <f>SUM(AK28:AK30)</f>
        <v>1000000.0</v>
      </c>
      <c r="AL27" s="470">
        <f>SUM(AL28:AL30)</f>
        <v>1000000.0</v>
      </c>
      <c r="AM27" s="471">
        <f>SUM(AM28:AM30)</f>
        <v>1000000.0</v>
      </c>
      <c r="AN27" s="469">
        <f>SUM(AN28:AN30)</f>
        <v>2500000.0</v>
      </c>
      <c r="AO27" s="470">
        <f>SUM(AO28:AO30)</f>
        <v>2500000.0</v>
      </c>
      <c r="AP27" s="470">
        <f>SUM(AP28:AP30)</f>
        <v>2500000.0</v>
      </c>
      <c r="AQ27" s="470">
        <f>SUM(AQ28:AQ30)</f>
        <v>2500000.0</v>
      </c>
      <c r="AR27" s="470">
        <f>SUM(AR28:AR30)</f>
        <v>2500000.0</v>
      </c>
      <c r="AS27" s="470">
        <f>SUM(AS28:AS30)</f>
        <v>2500000.0</v>
      </c>
      <c r="AT27" s="470">
        <f>SUM(AT28:AT30)</f>
        <v>2500000.0</v>
      </c>
      <c r="AU27" s="470">
        <f>SUM(AU28:AU30)</f>
        <v>2500000.0</v>
      </c>
      <c r="AV27" s="470">
        <f>SUM(AV28:AV30)</f>
        <v>2500000.0</v>
      </c>
      <c r="AW27" s="470">
        <f>SUM(AW28:AW30)</f>
        <v>2500000.0</v>
      </c>
      <c r="AX27" s="470">
        <f>SUM(AX28:AX30)</f>
        <v>2500000.0</v>
      </c>
      <c r="AY27" s="471">
        <f>SUM(AY28:AY30)</f>
        <v>2500000.0</v>
      </c>
      <c r="AZ27" s="469">
        <f>SUM(AZ28:AZ30)</f>
        <v>5000000.0</v>
      </c>
      <c r="BA27" s="470">
        <f>SUM(BA28:BA30)</f>
        <v>5000000.0</v>
      </c>
      <c r="BB27" s="470">
        <f>SUM(BB28:BB30)</f>
        <v>5000000.0</v>
      </c>
      <c r="BC27" s="470">
        <f>SUM(BC28:BC30)</f>
        <v>5000000.0</v>
      </c>
      <c r="BD27" s="470">
        <f>SUM(BD28:BD30)</f>
        <v>5000000.0</v>
      </c>
      <c r="BE27" s="470">
        <f>SUM(BE28:BE30)</f>
        <v>5000000.0</v>
      </c>
      <c r="BF27" s="470">
        <f>SUM(BF28:BF30)</f>
        <v>5000000.0</v>
      </c>
      <c r="BG27" s="470">
        <f>SUM(BG28:BG30)</f>
        <v>5000000.0</v>
      </c>
      <c r="BH27" s="470">
        <f>SUM(BH28:BH30)</f>
        <v>5000000.0</v>
      </c>
      <c r="BI27" s="470">
        <f>SUM(BI28:BI30)</f>
        <v>5000000.0</v>
      </c>
      <c r="BJ27" s="470">
        <f>SUM(BJ28:BJ30)</f>
        <v>5000000.0</v>
      </c>
      <c r="BK27" s="471">
        <f>SUM(BK28:BK30)</f>
        <v>5000000.0</v>
      </c>
      <c r="BL27" s="469">
        <f>SUM(BL28:BL30)</f>
        <v>7500000.0</v>
      </c>
      <c r="BM27" s="470">
        <f>SUM(BM28:BM30)</f>
        <v>7500000.0</v>
      </c>
      <c r="BN27" s="470">
        <f>SUM(BN28:BN30)</f>
        <v>7500000.0</v>
      </c>
      <c r="BO27" s="470">
        <f>SUM(BO28:BO30)</f>
        <v>7500000.0</v>
      </c>
      <c r="BP27" s="470">
        <f>SUM(BP28:BP30)</f>
        <v>7500000.0</v>
      </c>
      <c r="BQ27" s="470">
        <f>SUM(BQ28:BQ30)</f>
        <v>7500000.0</v>
      </c>
      <c r="BR27" s="470">
        <f>SUM(BR28:BR30)</f>
        <v>7500000.0</v>
      </c>
      <c r="BS27" s="470">
        <f>SUM(BS28:BS30)</f>
        <v>7500000.0</v>
      </c>
      <c r="BT27" s="470">
        <f>SUM(BT28:BT30)</f>
        <v>7500000.0</v>
      </c>
      <c r="BU27" s="470">
        <f>SUM(BU28:BU30)</f>
        <v>7500000.0</v>
      </c>
      <c r="BV27" s="470">
        <f>SUM(BV28:BV30)</f>
        <v>7500000.0</v>
      </c>
      <c r="BW27" s="471">
        <f>SUM(BW28:BW30)</f>
        <v>7500000.0</v>
      </c>
      <c r="BX27" s="469">
        <f>SUM(BX28:BX30)</f>
        <v>12500000.0</v>
      </c>
      <c r="BY27" s="470">
        <f>SUM(BY28:BY30)</f>
        <v>12500000.0</v>
      </c>
      <c r="BZ27" s="470">
        <f>SUM(BZ28:BZ30)</f>
        <v>12500000.0</v>
      </c>
      <c r="CA27" s="470">
        <f>SUM(CA28:CA30)</f>
        <v>12500000.0</v>
      </c>
      <c r="CB27" s="470">
        <f>SUM(CB28:CB30)</f>
        <v>12500000.0</v>
      </c>
      <c r="CC27" s="470">
        <f>SUM(CC28:CC30)</f>
        <v>12500000.0</v>
      </c>
      <c r="CD27" s="470">
        <f>SUM(CD28:CD30)</f>
        <v>12500000.0</v>
      </c>
      <c r="CE27" s="470">
        <f>SUM(CE28:CE30)</f>
        <v>12500000.0</v>
      </c>
      <c r="CF27" s="470">
        <f>SUM(CF28:CF30)</f>
        <v>12500000.0</v>
      </c>
      <c r="CG27" s="470">
        <f>SUM(CG28:CG30)</f>
        <v>12500000.0</v>
      </c>
      <c r="CH27" s="470">
        <f>SUM(CH28:CH30)</f>
        <v>12500000.0</v>
      </c>
      <c r="CI27" s="471">
        <f>SUM(CI28:CI30)</f>
        <v>12500000.0</v>
      </c>
    </row>
    <row r="28" ht="18" customHeight="1" s="145">
      <c r="A28" s="233" t="n"/>
      <c r="B28" s="233" t="n"/>
      <c r="C28" s="233" t="inlineStr">
        <is>
          <t>全社</t>
        </is>
      </c>
      <c r="D28" s="234" t="n"/>
      <c r="E28" s="408">
        <f>SUMIF($AB$3:$CI$3,E$4,$AB28:$CI28)</f>
        <v>12000000.0</v>
      </c>
      <c r="F28" s="409">
        <f>SUMIF($AB$3:$CI$3,F$4,$AB28:$CI28)</f>
        <v>30000000.0</v>
      </c>
      <c r="G28" s="409">
        <f>SUMIF($AB$3:$CI$3,G$4,$AB28:$CI28)</f>
        <v>60000000.0</v>
      </c>
      <c r="H28" s="409">
        <f>SUMIF($AB$3:$CI$3,H$4,$AB28:$CI28)</f>
        <v>90000000.0</v>
      </c>
      <c r="I28" s="409">
        <f>SUMIF($AB$3:$CI$3,I$4,$AB28:$CI28)</f>
        <v>150000000.0</v>
      </c>
      <c r="J28" s="407">
        <f>SUM(E28:I28)</f>
        <v>342000000.0</v>
      </c>
      <c r="K28" s="407">
        <f>SUMIF($Q$3:$CN$3,K$4,$Q28:$CN28)</f>
        <v>0.0</v>
      </c>
      <c r="L28" s="407">
        <f>SUMIF($Q$3:$CN$3,L$4,$Q28:$CN28)</f>
        <v>0.0</v>
      </c>
      <c r="M28" s="407">
        <f>SUMIF($Q$3:$CN$3,M$4,$Q28:$CN28)</f>
        <v>0.0</v>
      </c>
      <c r="N28" s="407">
        <f>SUMIF($Q$3:$CN$3,N$4,$Q28:$CN28)</f>
        <v>0.0</v>
      </c>
      <c r="O28" s="235" t="n"/>
      <c r="P28" s="408" t="n"/>
      <c r="Q28" s="409" t="n"/>
      <c r="R28" s="409" t="n"/>
      <c r="S28" s="409" t="n"/>
      <c r="T28" s="409" t="n"/>
      <c r="U28" s="409" t="n"/>
      <c r="V28" s="409" t="n"/>
      <c r="W28" s="409" t="n"/>
      <c r="X28" s="409" t="n"/>
      <c r="Y28" s="409" t="n"/>
      <c r="Z28" s="409" t="n"/>
      <c r="AA28" s="412" t="n"/>
      <c r="AB28" s="408">
        <f>ROUND(INDEX(販管費予算!$E$6:$I$6,MATCH(AB$3,販管費予算!$E$4:$I$4,0))/12,0)+IF(COUNTIF($AB$3:AB$3,AB$3)=12,INDEX(販管費予算!$E$6:$I$6,MATCH(AB$3,販管費予算!$E$4:$I$4,0))-12*ROUND(INDEX(販管費予算!$E$6:$I$6,MATCH(AB$3,販管費予算!$E$4:$I$4,0))/12,0),0)</f>
        <v>1000000.0</v>
      </c>
      <c r="AC28" s="409">
        <f>ROUND(INDEX(販管費予算!$E$6:$I$6,MATCH(AC$3,販管費予算!$E$4:$I$4,0))/12,0)+IF(COUNTIF($AB$3:AC$3,AC$3)=12,INDEX(販管費予算!$E$6:$I$6,MATCH(AC$3,販管費予算!$E$4:$I$4,0))-12*ROUND(INDEX(販管費予算!$E$6:$I$6,MATCH(AC$3,販管費予算!$E$4:$I$4,0))/12,0),0)</f>
        <v>1000000.0</v>
      </c>
      <c r="AD28" s="409">
        <f>ROUND(INDEX(販管費予算!$E$6:$I$6,MATCH(AD$3,販管費予算!$E$4:$I$4,0))/12,0)+IF(COUNTIF($AB$3:AD$3,AD$3)=12,INDEX(販管費予算!$E$6:$I$6,MATCH(AD$3,販管費予算!$E$4:$I$4,0))-12*ROUND(INDEX(販管費予算!$E$6:$I$6,MATCH(AD$3,販管費予算!$E$4:$I$4,0))/12,0),0)</f>
        <v>1000000.0</v>
      </c>
      <c r="AE28" s="409">
        <f>ROUND(INDEX(販管費予算!$E$6:$I$6,MATCH(AE$3,販管費予算!$E$4:$I$4,0))/12,0)+IF(COUNTIF($AB$3:AE$3,AE$3)=12,INDEX(販管費予算!$E$6:$I$6,MATCH(AE$3,販管費予算!$E$4:$I$4,0))-12*ROUND(INDEX(販管費予算!$E$6:$I$6,MATCH(AE$3,販管費予算!$E$4:$I$4,0))/12,0),0)</f>
        <v>1000000.0</v>
      </c>
      <c r="AF28" s="409">
        <f>ROUND(INDEX(販管費予算!$E$6:$I$6,MATCH(AF$3,販管費予算!$E$4:$I$4,0))/12,0)+IF(COUNTIF($AB$3:AF$3,AF$3)=12,INDEX(販管費予算!$E$6:$I$6,MATCH(AF$3,販管費予算!$E$4:$I$4,0))-12*ROUND(INDEX(販管費予算!$E$6:$I$6,MATCH(AF$3,販管費予算!$E$4:$I$4,0))/12,0),0)</f>
        <v>1000000.0</v>
      </c>
      <c r="AG28" s="409">
        <f>ROUND(INDEX(販管費予算!$E$6:$I$6,MATCH(AG$3,販管費予算!$E$4:$I$4,0))/12,0)+IF(COUNTIF($AB$3:AG$3,AG$3)=12,INDEX(販管費予算!$E$6:$I$6,MATCH(AG$3,販管費予算!$E$4:$I$4,0))-12*ROUND(INDEX(販管費予算!$E$6:$I$6,MATCH(AG$3,販管費予算!$E$4:$I$4,0))/12,0),0)</f>
        <v>1000000.0</v>
      </c>
      <c r="AH28" s="409">
        <f>ROUND(INDEX(販管費予算!$E$6:$I$6,MATCH(AH$3,販管費予算!$E$4:$I$4,0))/12,0)+IF(COUNTIF($AB$3:AH$3,AH$3)=12,INDEX(販管費予算!$E$6:$I$6,MATCH(AH$3,販管費予算!$E$4:$I$4,0))-12*ROUND(INDEX(販管費予算!$E$6:$I$6,MATCH(AH$3,販管費予算!$E$4:$I$4,0))/12,0),0)</f>
        <v>1000000.0</v>
      </c>
      <c r="AI28" s="409">
        <f>ROUND(INDEX(販管費予算!$E$6:$I$6,MATCH(AI$3,販管費予算!$E$4:$I$4,0))/12,0)+IF(COUNTIF($AB$3:AI$3,AI$3)=12,INDEX(販管費予算!$E$6:$I$6,MATCH(AI$3,販管費予算!$E$4:$I$4,0))-12*ROUND(INDEX(販管費予算!$E$6:$I$6,MATCH(AI$3,販管費予算!$E$4:$I$4,0))/12,0),0)</f>
        <v>1000000.0</v>
      </c>
      <c r="AJ28" s="409">
        <f>ROUND(INDEX(販管費予算!$E$6:$I$6,MATCH(AJ$3,販管費予算!$E$4:$I$4,0))/12,0)+IF(COUNTIF($AB$3:AJ$3,AJ$3)=12,INDEX(販管費予算!$E$6:$I$6,MATCH(AJ$3,販管費予算!$E$4:$I$4,0))-12*ROUND(INDEX(販管費予算!$E$6:$I$6,MATCH(AJ$3,販管費予算!$E$4:$I$4,0))/12,0),0)</f>
        <v>1000000.0</v>
      </c>
      <c r="AK28" s="409">
        <f>ROUND(INDEX(販管費予算!$E$6:$I$6,MATCH(AK$3,販管費予算!$E$4:$I$4,0))/12,0)+IF(COUNTIF($AB$3:AK$3,AK$3)=12,INDEX(販管費予算!$E$6:$I$6,MATCH(AK$3,販管費予算!$E$4:$I$4,0))-12*ROUND(INDEX(販管費予算!$E$6:$I$6,MATCH(AK$3,販管費予算!$E$4:$I$4,0))/12,0),0)</f>
        <v>1000000.0</v>
      </c>
      <c r="AL28" s="409">
        <f>ROUND(INDEX(販管費予算!$E$6:$I$6,MATCH(AL$3,販管費予算!$E$4:$I$4,0))/12,0)+IF(COUNTIF($AB$3:AL$3,AL$3)=12,INDEX(販管費予算!$E$6:$I$6,MATCH(AL$3,販管費予算!$E$4:$I$4,0))-12*ROUND(INDEX(販管費予算!$E$6:$I$6,MATCH(AL$3,販管費予算!$E$4:$I$4,0))/12,0),0)</f>
        <v>1000000.0</v>
      </c>
      <c r="AM28" s="412">
        <f>ROUND(INDEX(販管費予算!$E$6:$I$6,MATCH(AM$3,販管費予算!$E$4:$I$4,0))/12,0)+IF(COUNTIF($AB$3:AM$3,AM$3)=12,INDEX(販管費予算!$E$6:$I$6,MATCH(AM$3,販管費予算!$E$4:$I$4,0))-12*ROUND(INDEX(販管費予算!$E$6:$I$6,MATCH(AM$3,販管費予算!$E$4:$I$4,0))/12,0),0)</f>
        <v>1000000.0</v>
      </c>
      <c r="AN28" s="408">
        <f>ROUND(INDEX(販管費予算!$E$6:$I$6,MATCH(AN$3,販管費予算!$E$4:$I$4,0))/12,0)+IF(COUNTIF($AB$3:AN$3,AN$3)=12,INDEX(販管費予算!$E$6:$I$6,MATCH(AN$3,販管費予算!$E$4:$I$4,0))-12*ROUND(INDEX(販管費予算!$E$6:$I$6,MATCH(AN$3,販管費予算!$E$4:$I$4,0))/12,0),0)</f>
        <v>2500000.0</v>
      </c>
      <c r="AO28" s="409">
        <f>ROUND(INDEX(販管費予算!$E$6:$I$6,MATCH(AO$3,販管費予算!$E$4:$I$4,0))/12,0)+IF(COUNTIF($AB$3:AO$3,AO$3)=12,INDEX(販管費予算!$E$6:$I$6,MATCH(AO$3,販管費予算!$E$4:$I$4,0))-12*ROUND(INDEX(販管費予算!$E$6:$I$6,MATCH(AO$3,販管費予算!$E$4:$I$4,0))/12,0),0)</f>
        <v>2500000.0</v>
      </c>
      <c r="AP28" s="409">
        <f>ROUND(INDEX(販管費予算!$E$6:$I$6,MATCH(AP$3,販管費予算!$E$4:$I$4,0))/12,0)+IF(COUNTIF($AB$3:AP$3,AP$3)=12,INDEX(販管費予算!$E$6:$I$6,MATCH(AP$3,販管費予算!$E$4:$I$4,0))-12*ROUND(INDEX(販管費予算!$E$6:$I$6,MATCH(AP$3,販管費予算!$E$4:$I$4,0))/12,0),0)</f>
        <v>2500000.0</v>
      </c>
      <c r="AQ28" s="409">
        <f>ROUND(INDEX(販管費予算!$E$6:$I$6,MATCH(AQ$3,販管費予算!$E$4:$I$4,0))/12,0)+IF(COUNTIF($AB$3:AQ$3,AQ$3)=12,INDEX(販管費予算!$E$6:$I$6,MATCH(AQ$3,販管費予算!$E$4:$I$4,0))-12*ROUND(INDEX(販管費予算!$E$6:$I$6,MATCH(AQ$3,販管費予算!$E$4:$I$4,0))/12,0),0)</f>
        <v>2500000.0</v>
      </c>
      <c r="AR28" s="409">
        <f>ROUND(INDEX(販管費予算!$E$6:$I$6,MATCH(AR$3,販管費予算!$E$4:$I$4,0))/12,0)+IF(COUNTIF($AB$3:AR$3,AR$3)=12,INDEX(販管費予算!$E$6:$I$6,MATCH(AR$3,販管費予算!$E$4:$I$4,0))-12*ROUND(INDEX(販管費予算!$E$6:$I$6,MATCH(AR$3,販管費予算!$E$4:$I$4,0))/12,0),0)</f>
        <v>2500000.0</v>
      </c>
      <c r="AS28" s="409">
        <f>ROUND(INDEX(販管費予算!$E$6:$I$6,MATCH(AS$3,販管費予算!$E$4:$I$4,0))/12,0)+IF(COUNTIF($AB$3:AS$3,AS$3)=12,INDEX(販管費予算!$E$6:$I$6,MATCH(AS$3,販管費予算!$E$4:$I$4,0))-12*ROUND(INDEX(販管費予算!$E$6:$I$6,MATCH(AS$3,販管費予算!$E$4:$I$4,0))/12,0),0)</f>
        <v>2500000.0</v>
      </c>
      <c r="AT28" s="409">
        <f>ROUND(INDEX(販管費予算!$E$6:$I$6,MATCH(AT$3,販管費予算!$E$4:$I$4,0))/12,0)+IF(COUNTIF($AB$3:AT$3,AT$3)=12,INDEX(販管費予算!$E$6:$I$6,MATCH(AT$3,販管費予算!$E$4:$I$4,0))-12*ROUND(INDEX(販管費予算!$E$6:$I$6,MATCH(AT$3,販管費予算!$E$4:$I$4,0))/12,0),0)</f>
        <v>2500000.0</v>
      </c>
      <c r="AU28" s="409">
        <f>ROUND(INDEX(販管費予算!$E$6:$I$6,MATCH(AU$3,販管費予算!$E$4:$I$4,0))/12,0)+IF(COUNTIF($AB$3:AU$3,AU$3)=12,INDEX(販管費予算!$E$6:$I$6,MATCH(AU$3,販管費予算!$E$4:$I$4,0))-12*ROUND(INDEX(販管費予算!$E$6:$I$6,MATCH(AU$3,販管費予算!$E$4:$I$4,0))/12,0),0)</f>
        <v>2500000.0</v>
      </c>
      <c r="AV28" s="409">
        <f>ROUND(INDEX(販管費予算!$E$6:$I$6,MATCH(AV$3,販管費予算!$E$4:$I$4,0))/12,0)+IF(COUNTIF($AB$3:AV$3,AV$3)=12,INDEX(販管費予算!$E$6:$I$6,MATCH(AV$3,販管費予算!$E$4:$I$4,0))-12*ROUND(INDEX(販管費予算!$E$6:$I$6,MATCH(AV$3,販管費予算!$E$4:$I$4,0))/12,0),0)</f>
        <v>2500000.0</v>
      </c>
      <c r="AW28" s="409">
        <f>ROUND(INDEX(販管費予算!$E$6:$I$6,MATCH(AW$3,販管費予算!$E$4:$I$4,0))/12,0)+IF(COUNTIF($AB$3:AW$3,AW$3)=12,INDEX(販管費予算!$E$6:$I$6,MATCH(AW$3,販管費予算!$E$4:$I$4,0))-12*ROUND(INDEX(販管費予算!$E$6:$I$6,MATCH(AW$3,販管費予算!$E$4:$I$4,0))/12,0),0)</f>
        <v>2500000.0</v>
      </c>
      <c r="AX28" s="409">
        <f>ROUND(INDEX(販管費予算!$E$6:$I$6,MATCH(AX$3,販管費予算!$E$4:$I$4,0))/12,0)+IF(COUNTIF($AB$3:AX$3,AX$3)=12,INDEX(販管費予算!$E$6:$I$6,MATCH(AX$3,販管費予算!$E$4:$I$4,0))-12*ROUND(INDEX(販管費予算!$E$6:$I$6,MATCH(AX$3,販管費予算!$E$4:$I$4,0))/12,0),0)</f>
        <v>2500000.0</v>
      </c>
      <c r="AY28" s="412">
        <f>ROUND(INDEX(販管費予算!$E$6:$I$6,MATCH(AY$3,販管費予算!$E$4:$I$4,0))/12,0)+IF(COUNTIF($AB$3:AY$3,AY$3)=12,INDEX(販管費予算!$E$6:$I$6,MATCH(AY$3,販管費予算!$E$4:$I$4,0))-12*ROUND(INDEX(販管費予算!$E$6:$I$6,MATCH(AY$3,販管費予算!$E$4:$I$4,0))/12,0),0)</f>
        <v>2500000.0</v>
      </c>
      <c r="AZ28" s="408">
        <f>ROUND(INDEX(販管費予算!$E$6:$I$6,MATCH(AZ$3,販管費予算!$E$4:$I$4,0))/12,0)+IF(COUNTIF($AB$3:AZ$3,AZ$3)=12,INDEX(販管費予算!$E$6:$I$6,MATCH(AZ$3,販管費予算!$E$4:$I$4,0))-12*ROUND(INDEX(販管費予算!$E$6:$I$6,MATCH(AZ$3,販管費予算!$E$4:$I$4,0))/12,0),0)</f>
        <v>5000000.0</v>
      </c>
      <c r="BA28" s="409">
        <f>ROUND(INDEX(販管費予算!$E$6:$I$6,MATCH(BA$3,販管費予算!$E$4:$I$4,0))/12,0)+IF(COUNTIF($AB$3:BA$3,BA$3)=12,INDEX(販管費予算!$E$6:$I$6,MATCH(BA$3,販管費予算!$E$4:$I$4,0))-12*ROUND(INDEX(販管費予算!$E$6:$I$6,MATCH(BA$3,販管費予算!$E$4:$I$4,0))/12,0),0)</f>
        <v>5000000.0</v>
      </c>
      <c r="BB28" s="409">
        <f>ROUND(INDEX(販管費予算!$E$6:$I$6,MATCH(BB$3,販管費予算!$E$4:$I$4,0))/12,0)+IF(COUNTIF($AB$3:BB$3,BB$3)=12,INDEX(販管費予算!$E$6:$I$6,MATCH(BB$3,販管費予算!$E$4:$I$4,0))-12*ROUND(INDEX(販管費予算!$E$6:$I$6,MATCH(BB$3,販管費予算!$E$4:$I$4,0))/12,0),0)</f>
        <v>5000000.0</v>
      </c>
      <c r="BC28" s="409">
        <f>ROUND(INDEX(販管費予算!$E$6:$I$6,MATCH(BC$3,販管費予算!$E$4:$I$4,0))/12,0)+IF(COUNTIF($AB$3:BC$3,BC$3)=12,INDEX(販管費予算!$E$6:$I$6,MATCH(BC$3,販管費予算!$E$4:$I$4,0))-12*ROUND(INDEX(販管費予算!$E$6:$I$6,MATCH(BC$3,販管費予算!$E$4:$I$4,0))/12,0),0)</f>
        <v>5000000.0</v>
      </c>
      <c r="BD28" s="409">
        <f>ROUND(INDEX(販管費予算!$E$6:$I$6,MATCH(BD$3,販管費予算!$E$4:$I$4,0))/12,0)+IF(COUNTIF($AB$3:BD$3,BD$3)=12,INDEX(販管費予算!$E$6:$I$6,MATCH(BD$3,販管費予算!$E$4:$I$4,0))-12*ROUND(INDEX(販管費予算!$E$6:$I$6,MATCH(BD$3,販管費予算!$E$4:$I$4,0))/12,0),0)</f>
        <v>5000000.0</v>
      </c>
      <c r="BE28" s="409">
        <f>ROUND(INDEX(販管費予算!$E$6:$I$6,MATCH(BE$3,販管費予算!$E$4:$I$4,0))/12,0)+IF(COUNTIF($AB$3:BE$3,BE$3)=12,INDEX(販管費予算!$E$6:$I$6,MATCH(BE$3,販管費予算!$E$4:$I$4,0))-12*ROUND(INDEX(販管費予算!$E$6:$I$6,MATCH(BE$3,販管費予算!$E$4:$I$4,0))/12,0),0)</f>
        <v>5000000.0</v>
      </c>
      <c r="BF28" s="409">
        <f>ROUND(INDEX(販管費予算!$E$6:$I$6,MATCH(BF$3,販管費予算!$E$4:$I$4,0))/12,0)+IF(COUNTIF($AB$3:BF$3,BF$3)=12,INDEX(販管費予算!$E$6:$I$6,MATCH(BF$3,販管費予算!$E$4:$I$4,0))-12*ROUND(INDEX(販管費予算!$E$6:$I$6,MATCH(BF$3,販管費予算!$E$4:$I$4,0))/12,0),0)</f>
        <v>5000000.0</v>
      </c>
      <c r="BG28" s="409">
        <f>ROUND(INDEX(販管費予算!$E$6:$I$6,MATCH(BG$3,販管費予算!$E$4:$I$4,0))/12,0)+IF(COUNTIF($AB$3:BG$3,BG$3)=12,INDEX(販管費予算!$E$6:$I$6,MATCH(BG$3,販管費予算!$E$4:$I$4,0))-12*ROUND(INDEX(販管費予算!$E$6:$I$6,MATCH(BG$3,販管費予算!$E$4:$I$4,0))/12,0),0)</f>
        <v>5000000.0</v>
      </c>
      <c r="BH28" s="409">
        <f>ROUND(INDEX(販管費予算!$E$6:$I$6,MATCH(BH$3,販管費予算!$E$4:$I$4,0))/12,0)+IF(COUNTIF($AB$3:BH$3,BH$3)=12,INDEX(販管費予算!$E$6:$I$6,MATCH(BH$3,販管費予算!$E$4:$I$4,0))-12*ROUND(INDEX(販管費予算!$E$6:$I$6,MATCH(BH$3,販管費予算!$E$4:$I$4,0))/12,0),0)</f>
        <v>5000000.0</v>
      </c>
      <c r="BI28" s="409">
        <f>ROUND(INDEX(販管費予算!$E$6:$I$6,MATCH(BI$3,販管費予算!$E$4:$I$4,0))/12,0)+IF(COUNTIF($AB$3:BI$3,BI$3)=12,INDEX(販管費予算!$E$6:$I$6,MATCH(BI$3,販管費予算!$E$4:$I$4,0))-12*ROUND(INDEX(販管費予算!$E$6:$I$6,MATCH(BI$3,販管費予算!$E$4:$I$4,0))/12,0),0)</f>
        <v>5000000.0</v>
      </c>
      <c r="BJ28" s="409">
        <f>ROUND(INDEX(販管費予算!$E$6:$I$6,MATCH(BJ$3,販管費予算!$E$4:$I$4,0))/12,0)+IF(COUNTIF($AB$3:BJ$3,BJ$3)=12,INDEX(販管費予算!$E$6:$I$6,MATCH(BJ$3,販管費予算!$E$4:$I$4,0))-12*ROUND(INDEX(販管費予算!$E$6:$I$6,MATCH(BJ$3,販管費予算!$E$4:$I$4,0))/12,0),0)</f>
        <v>5000000.0</v>
      </c>
      <c r="BK28" s="412">
        <f>ROUND(INDEX(販管費予算!$E$6:$I$6,MATCH(BK$3,販管費予算!$E$4:$I$4,0))/12,0)+IF(COUNTIF($AB$3:BK$3,BK$3)=12,INDEX(販管費予算!$E$6:$I$6,MATCH(BK$3,販管費予算!$E$4:$I$4,0))-12*ROUND(INDEX(販管費予算!$E$6:$I$6,MATCH(BK$3,販管費予算!$E$4:$I$4,0))/12,0),0)</f>
        <v>5000000.0</v>
      </c>
      <c r="BL28" s="408">
        <f>ROUND(INDEX(販管費予算!$E$6:$I$6,MATCH(BL$3,販管費予算!$E$4:$I$4,0))/12,0)+IF(COUNTIF($AB$3:BL$3,BL$3)=12,INDEX(販管費予算!$E$6:$I$6,MATCH(BL$3,販管費予算!$E$4:$I$4,0))-12*ROUND(INDEX(販管費予算!$E$6:$I$6,MATCH(BL$3,販管費予算!$E$4:$I$4,0))/12,0),0)</f>
        <v>7500000.0</v>
      </c>
      <c r="BM28" s="409">
        <f>ROUND(INDEX(販管費予算!$E$6:$I$6,MATCH(BM$3,販管費予算!$E$4:$I$4,0))/12,0)+IF(COUNTIF($AB$3:BM$3,BM$3)=12,INDEX(販管費予算!$E$6:$I$6,MATCH(BM$3,販管費予算!$E$4:$I$4,0))-12*ROUND(INDEX(販管費予算!$E$6:$I$6,MATCH(BM$3,販管費予算!$E$4:$I$4,0))/12,0),0)</f>
        <v>7500000.0</v>
      </c>
      <c r="BN28" s="409">
        <f>ROUND(INDEX(販管費予算!$E$6:$I$6,MATCH(BN$3,販管費予算!$E$4:$I$4,0))/12,0)+IF(COUNTIF($AB$3:BN$3,BN$3)=12,INDEX(販管費予算!$E$6:$I$6,MATCH(BN$3,販管費予算!$E$4:$I$4,0))-12*ROUND(INDEX(販管費予算!$E$6:$I$6,MATCH(BN$3,販管費予算!$E$4:$I$4,0))/12,0),0)</f>
        <v>7500000.0</v>
      </c>
      <c r="BO28" s="409">
        <f>ROUND(INDEX(販管費予算!$E$6:$I$6,MATCH(BO$3,販管費予算!$E$4:$I$4,0))/12,0)+IF(COUNTIF($AB$3:BO$3,BO$3)=12,INDEX(販管費予算!$E$6:$I$6,MATCH(BO$3,販管費予算!$E$4:$I$4,0))-12*ROUND(INDEX(販管費予算!$E$6:$I$6,MATCH(BO$3,販管費予算!$E$4:$I$4,0))/12,0),0)</f>
        <v>7500000.0</v>
      </c>
      <c r="BP28" s="409">
        <f>ROUND(INDEX(販管費予算!$E$6:$I$6,MATCH(BP$3,販管費予算!$E$4:$I$4,0))/12,0)+IF(COUNTIF($AB$3:BP$3,BP$3)=12,INDEX(販管費予算!$E$6:$I$6,MATCH(BP$3,販管費予算!$E$4:$I$4,0))-12*ROUND(INDEX(販管費予算!$E$6:$I$6,MATCH(BP$3,販管費予算!$E$4:$I$4,0))/12,0),0)</f>
        <v>7500000.0</v>
      </c>
      <c r="BQ28" s="409">
        <f>ROUND(INDEX(販管費予算!$E$6:$I$6,MATCH(BQ$3,販管費予算!$E$4:$I$4,0))/12,0)+IF(COUNTIF($AB$3:BQ$3,BQ$3)=12,INDEX(販管費予算!$E$6:$I$6,MATCH(BQ$3,販管費予算!$E$4:$I$4,0))-12*ROUND(INDEX(販管費予算!$E$6:$I$6,MATCH(BQ$3,販管費予算!$E$4:$I$4,0))/12,0),0)</f>
        <v>7500000.0</v>
      </c>
      <c r="BR28" s="409">
        <f>ROUND(INDEX(販管費予算!$E$6:$I$6,MATCH(BR$3,販管費予算!$E$4:$I$4,0))/12,0)+IF(COUNTIF($AB$3:BR$3,BR$3)=12,INDEX(販管費予算!$E$6:$I$6,MATCH(BR$3,販管費予算!$E$4:$I$4,0))-12*ROUND(INDEX(販管費予算!$E$6:$I$6,MATCH(BR$3,販管費予算!$E$4:$I$4,0))/12,0),0)</f>
        <v>7500000.0</v>
      </c>
      <c r="BS28" s="409">
        <f>ROUND(INDEX(販管費予算!$E$6:$I$6,MATCH(BS$3,販管費予算!$E$4:$I$4,0))/12,0)+IF(COUNTIF($AB$3:BS$3,BS$3)=12,INDEX(販管費予算!$E$6:$I$6,MATCH(BS$3,販管費予算!$E$4:$I$4,0))-12*ROUND(INDEX(販管費予算!$E$6:$I$6,MATCH(BS$3,販管費予算!$E$4:$I$4,0))/12,0),0)</f>
        <v>7500000.0</v>
      </c>
      <c r="BT28" s="409">
        <f>ROUND(INDEX(販管費予算!$E$6:$I$6,MATCH(BT$3,販管費予算!$E$4:$I$4,0))/12,0)+IF(COUNTIF($AB$3:BT$3,BT$3)=12,INDEX(販管費予算!$E$6:$I$6,MATCH(BT$3,販管費予算!$E$4:$I$4,0))-12*ROUND(INDEX(販管費予算!$E$6:$I$6,MATCH(BT$3,販管費予算!$E$4:$I$4,0))/12,0),0)</f>
        <v>7500000.0</v>
      </c>
      <c r="BU28" s="409">
        <f>ROUND(INDEX(販管費予算!$E$6:$I$6,MATCH(BU$3,販管費予算!$E$4:$I$4,0))/12,0)+IF(COUNTIF($AB$3:BU$3,BU$3)=12,INDEX(販管費予算!$E$6:$I$6,MATCH(BU$3,販管費予算!$E$4:$I$4,0))-12*ROUND(INDEX(販管費予算!$E$6:$I$6,MATCH(BU$3,販管費予算!$E$4:$I$4,0))/12,0),0)</f>
        <v>7500000.0</v>
      </c>
      <c r="BV28" s="409">
        <f>ROUND(INDEX(販管費予算!$E$6:$I$6,MATCH(BV$3,販管費予算!$E$4:$I$4,0))/12,0)+IF(COUNTIF($AB$3:BV$3,BV$3)=12,INDEX(販管費予算!$E$6:$I$6,MATCH(BV$3,販管費予算!$E$4:$I$4,0))-12*ROUND(INDEX(販管費予算!$E$6:$I$6,MATCH(BV$3,販管費予算!$E$4:$I$4,0))/12,0),0)</f>
        <v>7500000.0</v>
      </c>
      <c r="BW28" s="412">
        <f>ROUND(INDEX(販管費予算!$E$6:$I$6,MATCH(BW$3,販管費予算!$E$4:$I$4,0))/12,0)+IF(COUNTIF($AB$3:BW$3,BW$3)=12,INDEX(販管費予算!$E$6:$I$6,MATCH(BW$3,販管費予算!$E$4:$I$4,0))-12*ROUND(INDEX(販管費予算!$E$6:$I$6,MATCH(BW$3,販管費予算!$E$4:$I$4,0))/12,0),0)</f>
        <v>7500000.0</v>
      </c>
      <c r="BX28" s="408">
        <f>ROUND(INDEX(販管費予算!$E$6:$I$6,MATCH(BX$3,販管費予算!$E$4:$I$4,0))/12,0)+IF(COUNTIF($AB$3:BX$3,BX$3)=12,INDEX(販管費予算!$E$6:$I$6,MATCH(BX$3,販管費予算!$E$4:$I$4,0))-12*ROUND(INDEX(販管費予算!$E$6:$I$6,MATCH(BX$3,販管費予算!$E$4:$I$4,0))/12,0),0)</f>
        <v>12500000.0</v>
      </c>
      <c r="BY28" s="409">
        <f>ROUND(INDEX(販管費予算!$E$6:$I$6,MATCH(BY$3,販管費予算!$E$4:$I$4,0))/12,0)+IF(COUNTIF($AB$3:BY$3,BY$3)=12,INDEX(販管費予算!$E$6:$I$6,MATCH(BY$3,販管費予算!$E$4:$I$4,0))-12*ROUND(INDEX(販管費予算!$E$6:$I$6,MATCH(BY$3,販管費予算!$E$4:$I$4,0))/12,0),0)</f>
        <v>12500000.0</v>
      </c>
      <c r="BZ28" s="409">
        <f>ROUND(INDEX(販管費予算!$E$6:$I$6,MATCH(BZ$3,販管費予算!$E$4:$I$4,0))/12,0)+IF(COUNTIF($AB$3:BZ$3,BZ$3)=12,INDEX(販管費予算!$E$6:$I$6,MATCH(BZ$3,販管費予算!$E$4:$I$4,0))-12*ROUND(INDEX(販管費予算!$E$6:$I$6,MATCH(BZ$3,販管費予算!$E$4:$I$4,0))/12,0),0)</f>
        <v>12500000.0</v>
      </c>
      <c r="CA28" s="409">
        <f>ROUND(INDEX(販管費予算!$E$6:$I$6,MATCH(CA$3,販管費予算!$E$4:$I$4,0))/12,0)+IF(COUNTIF($AB$3:CA$3,CA$3)=12,INDEX(販管費予算!$E$6:$I$6,MATCH(CA$3,販管費予算!$E$4:$I$4,0))-12*ROUND(INDEX(販管費予算!$E$6:$I$6,MATCH(CA$3,販管費予算!$E$4:$I$4,0))/12,0),0)</f>
        <v>12500000.0</v>
      </c>
      <c r="CB28" s="409">
        <f>ROUND(INDEX(販管費予算!$E$6:$I$6,MATCH(CB$3,販管費予算!$E$4:$I$4,0))/12,0)+IF(COUNTIF($AB$3:CB$3,CB$3)=12,INDEX(販管費予算!$E$6:$I$6,MATCH(CB$3,販管費予算!$E$4:$I$4,0))-12*ROUND(INDEX(販管費予算!$E$6:$I$6,MATCH(CB$3,販管費予算!$E$4:$I$4,0))/12,0),0)</f>
        <v>12500000.0</v>
      </c>
      <c r="CC28" s="409">
        <f>ROUND(INDEX(販管費予算!$E$6:$I$6,MATCH(CC$3,販管費予算!$E$4:$I$4,0))/12,0)+IF(COUNTIF($AB$3:CC$3,CC$3)=12,INDEX(販管費予算!$E$6:$I$6,MATCH(CC$3,販管費予算!$E$4:$I$4,0))-12*ROUND(INDEX(販管費予算!$E$6:$I$6,MATCH(CC$3,販管費予算!$E$4:$I$4,0))/12,0),0)</f>
        <v>12500000.0</v>
      </c>
      <c r="CD28" s="409">
        <f>ROUND(INDEX(販管費予算!$E$6:$I$6,MATCH(CD$3,販管費予算!$E$4:$I$4,0))/12,0)+IF(COUNTIF($AB$3:CD$3,CD$3)=12,INDEX(販管費予算!$E$6:$I$6,MATCH(CD$3,販管費予算!$E$4:$I$4,0))-12*ROUND(INDEX(販管費予算!$E$6:$I$6,MATCH(CD$3,販管費予算!$E$4:$I$4,0))/12,0),0)</f>
        <v>12500000.0</v>
      </c>
      <c r="CE28" s="409">
        <f>ROUND(INDEX(販管費予算!$E$6:$I$6,MATCH(CE$3,販管費予算!$E$4:$I$4,0))/12,0)+IF(COUNTIF($AB$3:CE$3,CE$3)=12,INDEX(販管費予算!$E$6:$I$6,MATCH(CE$3,販管費予算!$E$4:$I$4,0))-12*ROUND(INDEX(販管費予算!$E$6:$I$6,MATCH(CE$3,販管費予算!$E$4:$I$4,0))/12,0),0)</f>
        <v>12500000.0</v>
      </c>
      <c r="CF28" s="409">
        <f>ROUND(INDEX(販管費予算!$E$6:$I$6,MATCH(CF$3,販管費予算!$E$4:$I$4,0))/12,0)+IF(COUNTIF($AB$3:CF$3,CF$3)=12,INDEX(販管費予算!$E$6:$I$6,MATCH(CF$3,販管費予算!$E$4:$I$4,0))-12*ROUND(INDEX(販管費予算!$E$6:$I$6,MATCH(CF$3,販管費予算!$E$4:$I$4,0))/12,0),0)</f>
        <v>12500000.0</v>
      </c>
      <c r="CG28" s="409">
        <f>ROUND(INDEX(販管費予算!$E$6:$I$6,MATCH(CG$3,販管費予算!$E$4:$I$4,0))/12,0)+IF(COUNTIF($AB$3:CG$3,CG$3)=12,INDEX(販管費予算!$E$6:$I$6,MATCH(CG$3,販管費予算!$E$4:$I$4,0))-12*ROUND(INDEX(販管費予算!$E$6:$I$6,MATCH(CG$3,販管費予算!$E$4:$I$4,0))/12,0),0)</f>
        <v>12500000.0</v>
      </c>
      <c r="CH28" s="409">
        <f>ROUND(INDEX(販管費予算!$E$6:$I$6,MATCH(CH$3,販管費予算!$E$4:$I$4,0))/12,0)+IF(COUNTIF($AB$3:CH$3,CH$3)=12,INDEX(販管費予算!$E$6:$I$6,MATCH(CH$3,販管費予算!$E$4:$I$4,0))-12*ROUND(INDEX(販管費予算!$E$6:$I$6,MATCH(CH$3,販管費予算!$E$4:$I$4,0))/12,0),0)</f>
        <v>12500000.0</v>
      </c>
      <c r="CI28" s="412">
        <f>ROUND(INDEX(販管費予算!$E$6:$I$6,MATCH(CI$3,販管費予算!$E$4:$I$4,0))/12,0)+IF(COUNTIF($AB$3:CI$3,CI$3)=12,INDEX(販管費予算!$E$6:$I$6,MATCH(CI$3,販管費予算!$E$4:$I$4,0))-12*ROUND(INDEX(販管費予算!$E$6:$I$6,MATCH(CI$3,販管費予算!$E$4:$I$4,0))/12,0),0)</f>
        <v>12500000.0</v>
      </c>
    </row>
    <row r="29" ht="18" customHeight="1" s="145">
      <c r="A29" s="233" t="n"/>
      <c r="B29" s="233" t="n"/>
      <c r="C29" s="233" t="inlineStr">
        <is>
          <t>SaaS</t>
        </is>
      </c>
      <c r="D29" s="234" t="n"/>
      <c r="E29" s="408">
        <f>SUMIF($AB$3:$CI$3,E$4,$AB29:$CI29)</f>
        <v>0.0</v>
      </c>
      <c r="F29" s="409">
        <f>SUMIF($AB$3:$CI$3,F$4,$AB29:$CI29)</f>
        <v>0.0</v>
      </c>
      <c r="G29" s="409">
        <f>SUMIF($AB$3:$CI$3,G$4,$AB29:$CI29)</f>
        <v>0.0</v>
      </c>
      <c r="H29" s="409">
        <f>SUMIF($AB$3:$CI$3,H$4,$AB29:$CI29)</f>
        <v>0.0</v>
      </c>
      <c r="I29" s="409">
        <f>SUMIF($AB$3:$CI$3,I$4,$AB29:$CI29)</f>
        <v>0.0</v>
      </c>
      <c r="J29" s="407">
        <f>SUM(E29:I29)</f>
        <v>0.0</v>
      </c>
      <c r="K29" s="407">
        <f>SUMIF($Q$3:$CN$3,K$4,$Q29:$CN29)</f>
        <v>0.0</v>
      </c>
      <c r="L29" s="407">
        <f>SUMIF($Q$3:$CN$3,L$4,$Q29:$CN29)</f>
        <v>0.0</v>
      </c>
      <c r="M29" s="407">
        <f>SUMIF($Q$3:$CN$3,M$4,$Q29:$CN29)</f>
        <v>0.0</v>
      </c>
      <c r="N29" s="407">
        <f>SUMIF($Q$3:$CN$3,N$4,$Q29:$CN29)</f>
        <v>0.0</v>
      </c>
      <c r="O29" s="235" t="n"/>
      <c r="P29" s="408" t="n"/>
      <c r="Q29" s="409" t="n"/>
      <c r="R29" s="409" t="n"/>
      <c r="S29" s="409" t="n"/>
      <c r="T29" s="409" t="n"/>
      <c r="U29" s="409" t="n"/>
      <c r="V29" s="409" t="n"/>
      <c r="W29" s="409" t="n"/>
      <c r="X29" s="409" t="n"/>
      <c r="Y29" s="409" t="n"/>
      <c r="Z29" s="409" t="n"/>
      <c r="AA29" s="412" t="n"/>
      <c r="AB29" s="408" t="n"/>
      <c r="AC29" s="409" t="n"/>
      <c r="AD29" s="409" t="n"/>
      <c r="AE29" s="409" t="n"/>
      <c r="AF29" s="409" t="n"/>
      <c r="AG29" s="409" t="n"/>
      <c r="AH29" s="409" t="n"/>
      <c r="AI29" s="409" t="n"/>
      <c r="AJ29" s="409" t="n"/>
      <c r="AK29" s="409" t="n"/>
      <c r="AL29" s="409" t="n"/>
      <c r="AM29" s="409" t="n"/>
      <c r="AN29" s="408" t="n"/>
      <c r="AO29" s="409" t="n"/>
      <c r="AP29" s="409" t="n"/>
      <c r="AQ29" s="409" t="n"/>
      <c r="AR29" s="409" t="n"/>
      <c r="AS29" s="409" t="n"/>
      <c r="AT29" s="409" t="n"/>
      <c r="AU29" s="409" t="n"/>
      <c r="AV29" s="409" t="n"/>
      <c r="AW29" s="409" t="n"/>
      <c r="AX29" s="409" t="n"/>
      <c r="AY29" s="412" t="n"/>
      <c r="AZ29" s="408" t="n"/>
      <c r="BA29" s="409" t="n"/>
      <c r="BB29" s="409" t="n"/>
      <c r="BC29" s="409" t="n"/>
      <c r="BD29" s="409" t="n"/>
      <c r="BE29" s="409" t="n"/>
      <c r="BF29" s="409" t="n"/>
      <c r="BG29" s="409" t="n"/>
      <c r="BH29" s="409" t="n"/>
      <c r="BI29" s="409" t="n"/>
      <c r="BJ29" s="409" t="n"/>
      <c r="BK29" s="412" t="n"/>
      <c r="BL29" s="408" t="n"/>
      <c r="BM29" s="409" t="n"/>
      <c r="BN29" s="409" t="n"/>
      <c r="BO29" s="409" t="n"/>
      <c r="BP29" s="409" t="n"/>
      <c r="BQ29" s="409" t="n"/>
      <c r="BR29" s="409" t="n"/>
      <c r="BS29" s="409" t="n"/>
      <c r="BT29" s="409" t="n"/>
      <c r="BU29" s="409" t="n"/>
      <c r="BV29" s="409" t="n"/>
      <c r="BW29" s="412" t="n"/>
      <c r="BX29" s="408" t="n"/>
      <c r="BY29" s="409" t="n"/>
      <c r="BZ29" s="409" t="n"/>
      <c r="CA29" s="409" t="n"/>
      <c r="CB29" s="409" t="n"/>
      <c r="CC29" s="409" t="n"/>
      <c r="CD29" s="409" t="n"/>
      <c r="CE29" s="409" t="n"/>
      <c r="CF29" s="409" t="n"/>
      <c r="CG29" s="409" t="n"/>
      <c r="CH29" s="409" t="n"/>
      <c r="CI29" s="412" t="n"/>
    </row>
    <row r="30" ht="18" customHeight="1" s="145">
      <c r="A30" s="233" t="n"/>
      <c r="B30" s="233" t="n"/>
      <c r="C30" s="233" t="inlineStr">
        <is>
          <t>事業・組織再生コンサル</t>
        </is>
      </c>
      <c r="D30" s="234" t="n"/>
      <c r="E30" s="408">
        <f>SUMIF($AB$3:$CI$3,E$4,$AB30:$CI30)</f>
        <v>0.0</v>
      </c>
      <c r="F30" s="409">
        <f>SUMIF($AB$3:$CI$3,F$4,$AB30:$CI30)</f>
        <v>0.0</v>
      </c>
      <c r="G30" s="409">
        <f>SUMIF($AB$3:$CI$3,G$4,$AB30:$CI30)</f>
        <v>0.0</v>
      </c>
      <c r="H30" s="409">
        <f>SUMIF($AB$3:$CI$3,H$4,$AB30:$CI30)</f>
        <v>0.0</v>
      </c>
      <c r="I30" s="409">
        <f>SUMIF($AB$3:$CI$3,I$4,$AB30:$CI30)</f>
        <v>0.0</v>
      </c>
      <c r="J30" s="407">
        <f>SUM(E30:I30)</f>
        <v>0.0</v>
      </c>
      <c r="K30" s="407">
        <f>SUMIF($Q$3:$CN$3,K$4,$Q30:$CN30)</f>
        <v>0.0</v>
      </c>
      <c r="L30" s="407">
        <f>SUMIF($Q$3:$CN$3,L$4,$Q30:$CN30)</f>
        <v>0.0</v>
      </c>
      <c r="M30" s="407">
        <f>SUMIF($Q$3:$CN$3,M$4,$Q30:$CN30)</f>
        <v>0.0</v>
      </c>
      <c r="N30" s="407">
        <f>SUMIF($Q$3:$CN$3,N$4,$Q30:$CN30)</f>
        <v>0.0</v>
      </c>
      <c r="O30" s="235" t="n"/>
      <c r="P30" s="408" t="n"/>
      <c r="Q30" s="409" t="n"/>
      <c r="R30" s="409" t="n"/>
      <c r="S30" s="409" t="n"/>
      <c r="T30" s="409" t="n"/>
      <c r="U30" s="409" t="n"/>
      <c r="V30" s="409" t="n"/>
      <c r="W30" s="409" t="n"/>
      <c r="X30" s="409" t="n"/>
      <c r="Y30" s="409" t="n"/>
      <c r="Z30" s="409" t="n"/>
      <c r="AA30" s="412" t="n"/>
      <c r="AB30" s="408" t="n"/>
      <c r="AC30" s="409" t="n"/>
      <c r="AD30" s="409" t="n"/>
      <c r="AE30" s="409" t="n"/>
      <c r="AF30" s="409" t="n"/>
      <c r="AG30" s="409" t="n"/>
      <c r="AH30" s="409" t="n"/>
      <c r="AI30" s="409" t="n"/>
      <c r="AJ30" s="409" t="n"/>
      <c r="AK30" s="409" t="n"/>
      <c r="AL30" s="409" t="n"/>
      <c r="AM30" s="412" t="n"/>
      <c r="AN30" s="408" t="n"/>
      <c r="AO30" s="409" t="n"/>
      <c r="AP30" s="409" t="n"/>
      <c r="AQ30" s="409" t="n"/>
      <c r="AR30" s="409" t="n"/>
      <c r="AS30" s="409" t="n"/>
      <c r="AT30" s="409" t="n"/>
      <c r="AU30" s="409" t="n"/>
      <c r="AV30" s="409" t="n"/>
      <c r="AW30" s="409" t="n"/>
      <c r="AX30" s="409" t="n"/>
      <c r="AY30" s="412" t="n"/>
      <c r="AZ30" s="408" t="n"/>
      <c r="BA30" s="409" t="n"/>
      <c r="BB30" s="409" t="n"/>
      <c r="BC30" s="409" t="n"/>
      <c r="BD30" s="409" t="n"/>
      <c r="BE30" s="409" t="n"/>
      <c r="BF30" s="409" t="n"/>
      <c r="BG30" s="409" t="n"/>
      <c r="BH30" s="409" t="n"/>
      <c r="BI30" s="409" t="n"/>
      <c r="BJ30" s="409" t="n"/>
      <c r="BK30" s="412" t="n"/>
      <c r="BL30" s="408" t="n"/>
      <c r="BM30" s="409" t="n"/>
      <c r="BN30" s="409" t="n"/>
      <c r="BO30" s="409" t="n"/>
      <c r="BP30" s="409" t="n"/>
      <c r="BQ30" s="409" t="n"/>
      <c r="BR30" s="409" t="n"/>
      <c r="BS30" s="409" t="n"/>
      <c r="BT30" s="409" t="n"/>
      <c r="BU30" s="409" t="n"/>
      <c r="BV30" s="409" t="n"/>
      <c r="BW30" s="412" t="n"/>
      <c r="BX30" s="408" t="n"/>
      <c r="BY30" s="409" t="n"/>
      <c r="BZ30" s="409" t="n"/>
      <c r="CA30" s="409" t="n"/>
      <c r="CB30" s="409" t="n"/>
      <c r="CC30" s="409" t="n"/>
      <c r="CD30" s="409" t="n"/>
      <c r="CE30" s="409" t="n"/>
      <c r="CF30" s="409" t="n"/>
      <c r="CG30" s="409" t="n"/>
      <c r="CH30" s="409" t="n"/>
      <c r="CI30" s="412" t="n"/>
    </row>
    <row r="31" ht="18" customHeight="1" s="145">
      <c r="A31" s="233" t="n"/>
      <c r="B31" s="325" t="inlineStr">
        <is>
          <t>賞与手当</t>
        </is>
      </c>
      <c r="C31" s="325" t="n"/>
      <c r="D31" s="326" t="n"/>
      <c r="E31" s="469">
        <f>SUMIF($AB$3:$CI$3,E$4,$AB31:$CI31)</f>
        <v>0.0</v>
      </c>
      <c r="F31" s="470">
        <f>SUMIF($AB$3:$CI$3,F$4,$AB31:$CI31)</f>
        <v>3000000.0</v>
      </c>
      <c r="G31" s="470">
        <f>SUMIF($AB$3:$CI$3,G$4,$AB31:$CI31)</f>
        <v>6000000.0</v>
      </c>
      <c r="H31" s="470">
        <f>SUMIF($AB$3:$CI$3,H$4,$AB31:$CI31)</f>
        <v>9000000.0</v>
      </c>
      <c r="I31" s="470">
        <f>SUMIF($AB$3:$CI$3,I$4,$AB31:$CI31)</f>
        <v>15000000.0</v>
      </c>
      <c r="J31" s="478">
        <f>SUM(E31:I31)</f>
        <v>33000000.0</v>
      </c>
      <c r="K31" s="478">
        <f>SUMIF($Q$3:$CN$3,K$4,$Q31:$CN31)</f>
        <v>0.0</v>
      </c>
      <c r="L31" s="478">
        <f>SUMIF($Q$3:$CN$3,L$4,$Q31:$CN31)</f>
        <v>0.0</v>
      </c>
      <c r="M31" s="478">
        <f>SUMIF($Q$3:$CN$3,M$4,$Q31:$CN31)</f>
        <v>0.0</v>
      </c>
      <c r="N31" s="478">
        <f>SUMIF($Q$3:$CN$3,N$4,$Q31:$CN31)</f>
        <v>0.0</v>
      </c>
      <c r="O31" s="316" t="n"/>
      <c r="P31" s="469" t="n"/>
      <c r="Q31" s="470" t="n"/>
      <c r="R31" s="470" t="n"/>
      <c r="S31" s="470" t="n"/>
      <c r="T31" s="470" t="n"/>
      <c r="U31" s="470" t="n"/>
      <c r="V31" s="470" t="n"/>
      <c r="W31" s="470" t="n"/>
      <c r="X31" s="470" t="n"/>
      <c r="Y31" s="470" t="n"/>
      <c r="Z31" s="470" t="n"/>
      <c r="AA31" s="471" t="n"/>
      <c r="AB31" s="469">
        <f>SUM(AB32:AB34)</f>
        <v>0.0</v>
      </c>
      <c r="AC31" s="470">
        <f>SUM(AC32:AC34)</f>
        <v>0.0</v>
      </c>
      <c r="AD31" s="470">
        <f>SUM(AD32:AD34)</f>
        <v>0.0</v>
      </c>
      <c r="AE31" s="470">
        <f>SUM(AE32:AE34)</f>
        <v>0.0</v>
      </c>
      <c r="AF31" s="470">
        <f>SUM(AF32:AF34)</f>
        <v>0.0</v>
      </c>
      <c r="AG31" s="470">
        <f>SUM(AG32:AG34)</f>
        <v>0.0</v>
      </c>
      <c r="AH31" s="470">
        <f>SUM(AH32:AH34)</f>
        <v>0.0</v>
      </c>
      <c r="AI31" s="470">
        <f>SUM(AI32:AI34)</f>
        <v>0.0</v>
      </c>
      <c r="AJ31" s="470">
        <f>SUM(AJ32:AJ34)</f>
        <v>0.0</v>
      </c>
      <c r="AK31" s="470">
        <f>SUM(AK32:AK34)</f>
        <v>0.0</v>
      </c>
      <c r="AL31" s="470">
        <f>SUM(AL32:AL34)</f>
        <v>0.0</v>
      </c>
      <c r="AM31" s="471">
        <f>SUM(AM32:AM34)</f>
        <v>0.0</v>
      </c>
      <c r="AN31" s="469">
        <f>SUM(AN32:AN34)</f>
        <v>250000.0</v>
      </c>
      <c r="AO31" s="470">
        <f>SUM(AO32:AO34)</f>
        <v>250000.0</v>
      </c>
      <c r="AP31" s="470">
        <f>SUM(AP32:AP34)</f>
        <v>250000.0</v>
      </c>
      <c r="AQ31" s="470">
        <f>SUM(AQ32:AQ34)</f>
        <v>250000.0</v>
      </c>
      <c r="AR31" s="470">
        <f>SUM(AR32:AR34)</f>
        <v>250000.0</v>
      </c>
      <c r="AS31" s="470">
        <f>SUM(AS32:AS34)</f>
        <v>250000.0</v>
      </c>
      <c r="AT31" s="470">
        <f>SUM(AT32:AT34)</f>
        <v>250000.0</v>
      </c>
      <c r="AU31" s="470">
        <f>SUM(AU32:AU34)</f>
        <v>250000.0</v>
      </c>
      <c r="AV31" s="470">
        <f>SUM(AV32:AV34)</f>
        <v>250000.0</v>
      </c>
      <c r="AW31" s="470">
        <f>SUM(AW32:AW34)</f>
        <v>250000.0</v>
      </c>
      <c r="AX31" s="470">
        <f>SUM(AX32:AX34)</f>
        <v>250000.0</v>
      </c>
      <c r="AY31" s="471">
        <f>SUM(AY32:AY34)</f>
        <v>250000.0</v>
      </c>
      <c r="AZ31" s="469">
        <f>SUM(AZ32:AZ34)</f>
        <v>500000.0</v>
      </c>
      <c r="BA31" s="470">
        <f>SUM(BA32:BA34)</f>
        <v>500000.0</v>
      </c>
      <c r="BB31" s="470">
        <f>SUM(BB32:BB34)</f>
        <v>500000.0</v>
      </c>
      <c r="BC31" s="470">
        <f>SUM(BC32:BC34)</f>
        <v>500000.0</v>
      </c>
      <c r="BD31" s="470">
        <f>SUM(BD32:BD34)</f>
        <v>500000.0</v>
      </c>
      <c r="BE31" s="470">
        <f>SUM(BE32:BE34)</f>
        <v>500000.0</v>
      </c>
      <c r="BF31" s="470">
        <f>SUM(BF32:BF34)</f>
        <v>500000.0</v>
      </c>
      <c r="BG31" s="470">
        <f>SUM(BG32:BG34)</f>
        <v>500000.0</v>
      </c>
      <c r="BH31" s="470">
        <f>SUM(BH32:BH34)</f>
        <v>500000.0</v>
      </c>
      <c r="BI31" s="470">
        <f>SUM(BI32:BI34)</f>
        <v>500000.0</v>
      </c>
      <c r="BJ31" s="470">
        <f>SUM(BJ32:BJ34)</f>
        <v>500000.0</v>
      </c>
      <c r="BK31" s="471">
        <f>SUM(BK32:BK34)</f>
        <v>500000.0</v>
      </c>
      <c r="BL31" s="469">
        <f>SUM(BL32:BL34)</f>
        <v>750000.0</v>
      </c>
      <c r="BM31" s="470">
        <f>SUM(BM32:BM34)</f>
        <v>750000.0</v>
      </c>
      <c r="BN31" s="470">
        <f>SUM(BN32:BN34)</f>
        <v>750000.0</v>
      </c>
      <c r="BO31" s="470">
        <f>SUM(BO32:BO34)</f>
        <v>750000.0</v>
      </c>
      <c r="BP31" s="470">
        <f>SUM(BP32:BP34)</f>
        <v>750000.0</v>
      </c>
      <c r="BQ31" s="470">
        <f>SUM(BQ32:BQ34)</f>
        <v>750000.0</v>
      </c>
      <c r="BR31" s="470">
        <f>SUM(BR32:BR34)</f>
        <v>750000.0</v>
      </c>
      <c r="BS31" s="470">
        <f>SUM(BS32:BS34)</f>
        <v>750000.0</v>
      </c>
      <c r="BT31" s="470">
        <f>SUM(BT32:BT34)</f>
        <v>750000.0</v>
      </c>
      <c r="BU31" s="470">
        <f>SUM(BU32:BU34)</f>
        <v>750000.0</v>
      </c>
      <c r="BV31" s="470">
        <f>SUM(BV32:BV34)</f>
        <v>750000.0</v>
      </c>
      <c r="BW31" s="471">
        <f>SUM(BW32:BW34)</f>
        <v>750000.0</v>
      </c>
      <c r="BX31" s="469">
        <f>SUM(BX32:BX34)</f>
        <v>1250000.0</v>
      </c>
      <c r="BY31" s="470">
        <f>SUM(BY32:BY34)</f>
        <v>1250000.0</v>
      </c>
      <c r="BZ31" s="470">
        <f>SUM(BZ32:BZ34)</f>
        <v>1250000.0</v>
      </c>
      <c r="CA31" s="470">
        <f>SUM(CA32:CA34)</f>
        <v>1250000.0</v>
      </c>
      <c r="CB31" s="470">
        <f>SUM(CB32:CB34)</f>
        <v>1250000.0</v>
      </c>
      <c r="CC31" s="470">
        <f>SUM(CC32:CC34)</f>
        <v>1250000.0</v>
      </c>
      <c r="CD31" s="470">
        <f>SUM(CD32:CD34)</f>
        <v>1250000.0</v>
      </c>
      <c r="CE31" s="470">
        <f>SUM(CE32:CE34)</f>
        <v>1250000.0</v>
      </c>
      <c r="CF31" s="470">
        <f>SUM(CF32:CF34)</f>
        <v>1250000.0</v>
      </c>
      <c r="CG31" s="470">
        <f>SUM(CG32:CG34)</f>
        <v>1250000.0</v>
      </c>
      <c r="CH31" s="470">
        <f>SUM(CH32:CH34)</f>
        <v>1250000.0</v>
      </c>
      <c r="CI31" s="471">
        <f>SUM(CI32:CI34)</f>
        <v>1250000.0</v>
      </c>
    </row>
    <row r="32" ht="18" customHeight="1" s="145">
      <c r="A32" s="233" t="n"/>
      <c r="B32" s="233" t="n"/>
      <c r="C32" s="233" t="inlineStr">
        <is>
          <t>全社</t>
        </is>
      </c>
      <c r="D32" s="234" t="n"/>
      <c r="E32" s="408">
        <f>SUMIF($AB$3:$CI$3,E$4,$AB32:$CI32)</f>
        <v>0.0</v>
      </c>
      <c r="F32" s="409">
        <f>SUMIF($AB$3:$CI$3,F$4,$AB32:$CI32)</f>
        <v>3000000.0</v>
      </c>
      <c r="G32" s="409">
        <f>SUMIF($AB$3:$CI$3,G$4,$AB32:$CI32)</f>
        <v>6000000.0</v>
      </c>
      <c r="H32" s="409">
        <f>SUMIF($AB$3:$CI$3,H$4,$AB32:$CI32)</f>
        <v>9000000.0</v>
      </c>
      <c r="I32" s="409">
        <f>SUMIF($AB$3:$CI$3,I$4,$AB32:$CI32)</f>
        <v>15000000.0</v>
      </c>
      <c r="J32" s="407">
        <f>SUM(E32:I32)</f>
        <v>33000000.0</v>
      </c>
      <c r="K32" s="407">
        <f>SUMIF($Q$3:$CN$3,K$4,$Q32:$CN32)</f>
        <v>0.0</v>
      </c>
      <c r="L32" s="407">
        <f>SUMIF($Q$3:$CN$3,L$4,$Q32:$CN32)</f>
        <v>0.0</v>
      </c>
      <c r="M32" s="407">
        <f>SUMIF($Q$3:$CN$3,M$4,$Q32:$CN32)</f>
        <v>0.0</v>
      </c>
      <c r="N32" s="407">
        <f>SUMIF($Q$3:$CN$3,N$4,$Q32:$CN32)</f>
        <v>0.0</v>
      </c>
      <c r="O32" s="235" t="n"/>
      <c r="P32" s="408" t="n"/>
      <c r="Q32" s="409" t="n"/>
      <c r="R32" s="409" t="n"/>
      <c r="S32" s="409" t="n"/>
      <c r="T32" s="409" t="n"/>
      <c r="U32" s="409" t="n"/>
      <c r="V32" s="409" t="n"/>
      <c r="W32" s="409" t="n"/>
      <c r="X32" s="409" t="n"/>
      <c r="Y32" s="409" t="n"/>
      <c r="Z32" s="409" t="n"/>
      <c r="AA32" s="412" t="n"/>
      <c r="AB32" s="408">
        <f>ROUND(INDEX(販管費予算!$E$7:$I$7,MATCH(AB$3,販管費予算!$E$4:$I$4,0))/12,0)+IF(COUNTIF($AB$3:AB$3,AB$3)=12,INDEX(販管費予算!$E$7:$I$7,MATCH(AB$3,販管費予算!$E$4:$I$4,0))-12*ROUND(INDEX(販管費予算!$E$7:$I$7,MATCH(AB$3,販管費予算!$E$4:$I$4,0))/12,0),0)</f>
        <v>0.0</v>
      </c>
      <c r="AC32" s="409">
        <f>ROUND(INDEX(販管費予算!$E$7:$I$7,MATCH(AC$3,販管費予算!$E$4:$I$4,0))/12,0)+IF(COUNTIF($AB$3:AC$3,AC$3)=12,INDEX(販管費予算!$E$7:$I$7,MATCH(AC$3,販管費予算!$E$4:$I$4,0))-12*ROUND(INDEX(販管費予算!$E$7:$I$7,MATCH(AC$3,販管費予算!$E$4:$I$4,0))/12,0),0)</f>
        <v>0.0</v>
      </c>
      <c r="AD32" s="409">
        <f>ROUND(INDEX(販管費予算!$E$7:$I$7,MATCH(AD$3,販管費予算!$E$4:$I$4,0))/12,0)+IF(COUNTIF($AB$3:AD$3,AD$3)=12,INDEX(販管費予算!$E$7:$I$7,MATCH(AD$3,販管費予算!$E$4:$I$4,0))-12*ROUND(INDEX(販管費予算!$E$7:$I$7,MATCH(AD$3,販管費予算!$E$4:$I$4,0))/12,0),0)</f>
        <v>0.0</v>
      </c>
      <c r="AE32" s="409">
        <f>ROUND(INDEX(販管費予算!$E$7:$I$7,MATCH(AE$3,販管費予算!$E$4:$I$4,0))/12,0)+IF(COUNTIF($AB$3:AE$3,AE$3)=12,INDEX(販管費予算!$E$7:$I$7,MATCH(AE$3,販管費予算!$E$4:$I$4,0))-12*ROUND(INDEX(販管費予算!$E$7:$I$7,MATCH(AE$3,販管費予算!$E$4:$I$4,0))/12,0),0)</f>
        <v>0.0</v>
      </c>
      <c r="AF32" s="409">
        <f>ROUND(INDEX(販管費予算!$E$7:$I$7,MATCH(AF$3,販管費予算!$E$4:$I$4,0))/12,0)+IF(COUNTIF($AB$3:AF$3,AF$3)=12,INDEX(販管費予算!$E$7:$I$7,MATCH(AF$3,販管費予算!$E$4:$I$4,0))-12*ROUND(INDEX(販管費予算!$E$7:$I$7,MATCH(AF$3,販管費予算!$E$4:$I$4,0))/12,0),0)</f>
        <v>0.0</v>
      </c>
      <c r="AG32" s="409">
        <f>ROUND(INDEX(販管費予算!$E$7:$I$7,MATCH(AG$3,販管費予算!$E$4:$I$4,0))/12,0)+IF(COUNTIF($AB$3:AG$3,AG$3)=12,INDEX(販管費予算!$E$7:$I$7,MATCH(AG$3,販管費予算!$E$4:$I$4,0))-12*ROUND(INDEX(販管費予算!$E$7:$I$7,MATCH(AG$3,販管費予算!$E$4:$I$4,0))/12,0),0)</f>
        <v>0.0</v>
      </c>
      <c r="AH32" s="409">
        <f>ROUND(INDEX(販管費予算!$E$7:$I$7,MATCH(AH$3,販管費予算!$E$4:$I$4,0))/12,0)+IF(COUNTIF($AB$3:AH$3,AH$3)=12,INDEX(販管費予算!$E$7:$I$7,MATCH(AH$3,販管費予算!$E$4:$I$4,0))-12*ROUND(INDEX(販管費予算!$E$7:$I$7,MATCH(AH$3,販管費予算!$E$4:$I$4,0))/12,0),0)</f>
        <v>0.0</v>
      </c>
      <c r="AI32" s="409">
        <f>ROUND(INDEX(販管費予算!$E$7:$I$7,MATCH(AI$3,販管費予算!$E$4:$I$4,0))/12,0)+IF(COUNTIF($AB$3:AI$3,AI$3)=12,INDEX(販管費予算!$E$7:$I$7,MATCH(AI$3,販管費予算!$E$4:$I$4,0))-12*ROUND(INDEX(販管費予算!$E$7:$I$7,MATCH(AI$3,販管費予算!$E$4:$I$4,0))/12,0),0)</f>
        <v>0.0</v>
      </c>
      <c r="AJ32" s="409">
        <f>ROUND(INDEX(販管費予算!$E$7:$I$7,MATCH(AJ$3,販管費予算!$E$4:$I$4,0))/12,0)+IF(COUNTIF($AB$3:AJ$3,AJ$3)=12,INDEX(販管費予算!$E$7:$I$7,MATCH(AJ$3,販管費予算!$E$4:$I$4,0))-12*ROUND(INDEX(販管費予算!$E$7:$I$7,MATCH(AJ$3,販管費予算!$E$4:$I$4,0))/12,0),0)</f>
        <v>0.0</v>
      </c>
      <c r="AK32" s="409">
        <f>ROUND(INDEX(販管費予算!$E$7:$I$7,MATCH(AK$3,販管費予算!$E$4:$I$4,0))/12,0)+IF(COUNTIF($AB$3:AK$3,AK$3)=12,INDEX(販管費予算!$E$7:$I$7,MATCH(AK$3,販管費予算!$E$4:$I$4,0))-12*ROUND(INDEX(販管費予算!$E$7:$I$7,MATCH(AK$3,販管費予算!$E$4:$I$4,0))/12,0),0)</f>
        <v>0.0</v>
      </c>
      <c r="AL32" s="409">
        <f>ROUND(INDEX(販管費予算!$E$7:$I$7,MATCH(AL$3,販管費予算!$E$4:$I$4,0))/12,0)+IF(COUNTIF($AB$3:AL$3,AL$3)=12,INDEX(販管費予算!$E$7:$I$7,MATCH(AL$3,販管費予算!$E$4:$I$4,0))-12*ROUND(INDEX(販管費予算!$E$7:$I$7,MATCH(AL$3,販管費予算!$E$4:$I$4,0))/12,0),0)</f>
        <v>0.0</v>
      </c>
      <c r="AM32" s="412">
        <f>ROUND(INDEX(販管費予算!$E$7:$I$7,MATCH(AM$3,販管費予算!$E$4:$I$4,0))/12,0)+IF(COUNTIF($AB$3:AM$3,AM$3)=12,INDEX(販管費予算!$E$7:$I$7,MATCH(AM$3,販管費予算!$E$4:$I$4,0))-12*ROUND(INDEX(販管費予算!$E$7:$I$7,MATCH(AM$3,販管費予算!$E$4:$I$4,0))/12,0),0)</f>
        <v>0.0</v>
      </c>
      <c r="AN32" s="408">
        <f>ROUND(INDEX(販管費予算!$E$7:$I$7,MATCH(AN$3,販管費予算!$E$4:$I$4,0))/12,0)+IF(COUNTIF($AB$3:AN$3,AN$3)=12,INDEX(販管費予算!$E$7:$I$7,MATCH(AN$3,販管費予算!$E$4:$I$4,0))-12*ROUND(INDEX(販管費予算!$E$7:$I$7,MATCH(AN$3,販管費予算!$E$4:$I$4,0))/12,0),0)</f>
        <v>250000.0</v>
      </c>
      <c r="AO32" s="409">
        <f>ROUND(INDEX(販管費予算!$E$7:$I$7,MATCH(AO$3,販管費予算!$E$4:$I$4,0))/12,0)+IF(COUNTIF($AB$3:AO$3,AO$3)=12,INDEX(販管費予算!$E$7:$I$7,MATCH(AO$3,販管費予算!$E$4:$I$4,0))-12*ROUND(INDEX(販管費予算!$E$7:$I$7,MATCH(AO$3,販管費予算!$E$4:$I$4,0))/12,0),0)</f>
        <v>250000.0</v>
      </c>
      <c r="AP32" s="409">
        <f>ROUND(INDEX(販管費予算!$E$7:$I$7,MATCH(AP$3,販管費予算!$E$4:$I$4,0))/12,0)+IF(COUNTIF($AB$3:AP$3,AP$3)=12,INDEX(販管費予算!$E$7:$I$7,MATCH(AP$3,販管費予算!$E$4:$I$4,0))-12*ROUND(INDEX(販管費予算!$E$7:$I$7,MATCH(AP$3,販管費予算!$E$4:$I$4,0))/12,0),0)</f>
        <v>250000.0</v>
      </c>
      <c r="AQ32" s="409">
        <f>ROUND(INDEX(販管費予算!$E$7:$I$7,MATCH(AQ$3,販管費予算!$E$4:$I$4,0))/12,0)+IF(COUNTIF($AB$3:AQ$3,AQ$3)=12,INDEX(販管費予算!$E$7:$I$7,MATCH(AQ$3,販管費予算!$E$4:$I$4,0))-12*ROUND(INDEX(販管費予算!$E$7:$I$7,MATCH(AQ$3,販管費予算!$E$4:$I$4,0))/12,0),0)</f>
        <v>250000.0</v>
      </c>
      <c r="AR32" s="409">
        <f>ROUND(INDEX(販管費予算!$E$7:$I$7,MATCH(AR$3,販管費予算!$E$4:$I$4,0))/12,0)+IF(COUNTIF($AB$3:AR$3,AR$3)=12,INDEX(販管費予算!$E$7:$I$7,MATCH(AR$3,販管費予算!$E$4:$I$4,0))-12*ROUND(INDEX(販管費予算!$E$7:$I$7,MATCH(AR$3,販管費予算!$E$4:$I$4,0))/12,0),0)</f>
        <v>250000.0</v>
      </c>
      <c r="AS32" s="409">
        <f>ROUND(INDEX(販管費予算!$E$7:$I$7,MATCH(AS$3,販管費予算!$E$4:$I$4,0))/12,0)+IF(COUNTIF($AB$3:AS$3,AS$3)=12,INDEX(販管費予算!$E$7:$I$7,MATCH(AS$3,販管費予算!$E$4:$I$4,0))-12*ROUND(INDEX(販管費予算!$E$7:$I$7,MATCH(AS$3,販管費予算!$E$4:$I$4,0))/12,0),0)</f>
        <v>250000.0</v>
      </c>
      <c r="AT32" s="409">
        <f>ROUND(INDEX(販管費予算!$E$7:$I$7,MATCH(AT$3,販管費予算!$E$4:$I$4,0))/12,0)+IF(COUNTIF($AB$3:AT$3,AT$3)=12,INDEX(販管費予算!$E$7:$I$7,MATCH(AT$3,販管費予算!$E$4:$I$4,0))-12*ROUND(INDEX(販管費予算!$E$7:$I$7,MATCH(AT$3,販管費予算!$E$4:$I$4,0))/12,0),0)</f>
        <v>250000.0</v>
      </c>
      <c r="AU32" s="409">
        <f>ROUND(INDEX(販管費予算!$E$7:$I$7,MATCH(AU$3,販管費予算!$E$4:$I$4,0))/12,0)+IF(COUNTIF($AB$3:AU$3,AU$3)=12,INDEX(販管費予算!$E$7:$I$7,MATCH(AU$3,販管費予算!$E$4:$I$4,0))-12*ROUND(INDEX(販管費予算!$E$7:$I$7,MATCH(AU$3,販管費予算!$E$4:$I$4,0))/12,0),0)</f>
        <v>250000.0</v>
      </c>
      <c r="AV32" s="409">
        <f>ROUND(INDEX(販管費予算!$E$7:$I$7,MATCH(AV$3,販管費予算!$E$4:$I$4,0))/12,0)+IF(COUNTIF($AB$3:AV$3,AV$3)=12,INDEX(販管費予算!$E$7:$I$7,MATCH(AV$3,販管費予算!$E$4:$I$4,0))-12*ROUND(INDEX(販管費予算!$E$7:$I$7,MATCH(AV$3,販管費予算!$E$4:$I$4,0))/12,0),0)</f>
        <v>250000.0</v>
      </c>
      <c r="AW32" s="409">
        <f>ROUND(INDEX(販管費予算!$E$7:$I$7,MATCH(AW$3,販管費予算!$E$4:$I$4,0))/12,0)+IF(COUNTIF($AB$3:AW$3,AW$3)=12,INDEX(販管費予算!$E$7:$I$7,MATCH(AW$3,販管費予算!$E$4:$I$4,0))-12*ROUND(INDEX(販管費予算!$E$7:$I$7,MATCH(AW$3,販管費予算!$E$4:$I$4,0))/12,0),0)</f>
        <v>250000.0</v>
      </c>
      <c r="AX32" s="409">
        <f>ROUND(INDEX(販管費予算!$E$7:$I$7,MATCH(AX$3,販管費予算!$E$4:$I$4,0))/12,0)+IF(COUNTIF($AB$3:AX$3,AX$3)=12,INDEX(販管費予算!$E$7:$I$7,MATCH(AX$3,販管費予算!$E$4:$I$4,0))-12*ROUND(INDEX(販管費予算!$E$7:$I$7,MATCH(AX$3,販管費予算!$E$4:$I$4,0))/12,0),0)</f>
        <v>250000.0</v>
      </c>
      <c r="AY32" s="412">
        <f>ROUND(INDEX(販管費予算!$E$7:$I$7,MATCH(AY$3,販管費予算!$E$4:$I$4,0))/12,0)+IF(COUNTIF($AB$3:AY$3,AY$3)=12,INDEX(販管費予算!$E$7:$I$7,MATCH(AY$3,販管費予算!$E$4:$I$4,0))-12*ROUND(INDEX(販管費予算!$E$7:$I$7,MATCH(AY$3,販管費予算!$E$4:$I$4,0))/12,0),0)</f>
        <v>250000.0</v>
      </c>
      <c r="AZ32" s="408">
        <f>ROUND(INDEX(販管費予算!$E$7:$I$7,MATCH(AZ$3,販管費予算!$E$4:$I$4,0))/12,0)+IF(COUNTIF($AB$3:AZ$3,AZ$3)=12,INDEX(販管費予算!$E$7:$I$7,MATCH(AZ$3,販管費予算!$E$4:$I$4,0))-12*ROUND(INDEX(販管費予算!$E$7:$I$7,MATCH(AZ$3,販管費予算!$E$4:$I$4,0))/12,0),0)</f>
        <v>500000.0</v>
      </c>
      <c r="BA32" s="409">
        <f>ROUND(INDEX(販管費予算!$E$7:$I$7,MATCH(BA$3,販管費予算!$E$4:$I$4,0))/12,0)+IF(COUNTIF($AB$3:BA$3,BA$3)=12,INDEX(販管費予算!$E$7:$I$7,MATCH(BA$3,販管費予算!$E$4:$I$4,0))-12*ROUND(INDEX(販管費予算!$E$7:$I$7,MATCH(BA$3,販管費予算!$E$4:$I$4,0))/12,0),0)</f>
        <v>500000.0</v>
      </c>
      <c r="BB32" s="409">
        <f>ROUND(INDEX(販管費予算!$E$7:$I$7,MATCH(BB$3,販管費予算!$E$4:$I$4,0))/12,0)+IF(COUNTIF($AB$3:BB$3,BB$3)=12,INDEX(販管費予算!$E$7:$I$7,MATCH(BB$3,販管費予算!$E$4:$I$4,0))-12*ROUND(INDEX(販管費予算!$E$7:$I$7,MATCH(BB$3,販管費予算!$E$4:$I$4,0))/12,0),0)</f>
        <v>500000.0</v>
      </c>
      <c r="BC32" s="409">
        <f>ROUND(INDEX(販管費予算!$E$7:$I$7,MATCH(BC$3,販管費予算!$E$4:$I$4,0))/12,0)+IF(COUNTIF($AB$3:BC$3,BC$3)=12,INDEX(販管費予算!$E$7:$I$7,MATCH(BC$3,販管費予算!$E$4:$I$4,0))-12*ROUND(INDEX(販管費予算!$E$7:$I$7,MATCH(BC$3,販管費予算!$E$4:$I$4,0))/12,0),0)</f>
        <v>500000.0</v>
      </c>
      <c r="BD32" s="409">
        <f>ROUND(INDEX(販管費予算!$E$7:$I$7,MATCH(BD$3,販管費予算!$E$4:$I$4,0))/12,0)+IF(COUNTIF($AB$3:BD$3,BD$3)=12,INDEX(販管費予算!$E$7:$I$7,MATCH(BD$3,販管費予算!$E$4:$I$4,0))-12*ROUND(INDEX(販管費予算!$E$7:$I$7,MATCH(BD$3,販管費予算!$E$4:$I$4,0))/12,0),0)</f>
        <v>500000.0</v>
      </c>
      <c r="BE32" s="409">
        <f>ROUND(INDEX(販管費予算!$E$7:$I$7,MATCH(BE$3,販管費予算!$E$4:$I$4,0))/12,0)+IF(COUNTIF($AB$3:BE$3,BE$3)=12,INDEX(販管費予算!$E$7:$I$7,MATCH(BE$3,販管費予算!$E$4:$I$4,0))-12*ROUND(INDEX(販管費予算!$E$7:$I$7,MATCH(BE$3,販管費予算!$E$4:$I$4,0))/12,0),0)</f>
        <v>500000.0</v>
      </c>
      <c r="BF32" s="409">
        <f>ROUND(INDEX(販管費予算!$E$7:$I$7,MATCH(BF$3,販管費予算!$E$4:$I$4,0))/12,0)+IF(COUNTIF($AB$3:BF$3,BF$3)=12,INDEX(販管費予算!$E$7:$I$7,MATCH(BF$3,販管費予算!$E$4:$I$4,0))-12*ROUND(INDEX(販管費予算!$E$7:$I$7,MATCH(BF$3,販管費予算!$E$4:$I$4,0))/12,0),0)</f>
        <v>500000.0</v>
      </c>
      <c r="BG32" s="409">
        <f>ROUND(INDEX(販管費予算!$E$7:$I$7,MATCH(BG$3,販管費予算!$E$4:$I$4,0))/12,0)+IF(COUNTIF($AB$3:BG$3,BG$3)=12,INDEX(販管費予算!$E$7:$I$7,MATCH(BG$3,販管費予算!$E$4:$I$4,0))-12*ROUND(INDEX(販管費予算!$E$7:$I$7,MATCH(BG$3,販管費予算!$E$4:$I$4,0))/12,0),0)</f>
        <v>500000.0</v>
      </c>
      <c r="BH32" s="409">
        <f>ROUND(INDEX(販管費予算!$E$7:$I$7,MATCH(BH$3,販管費予算!$E$4:$I$4,0))/12,0)+IF(COUNTIF($AB$3:BH$3,BH$3)=12,INDEX(販管費予算!$E$7:$I$7,MATCH(BH$3,販管費予算!$E$4:$I$4,0))-12*ROUND(INDEX(販管費予算!$E$7:$I$7,MATCH(BH$3,販管費予算!$E$4:$I$4,0))/12,0),0)</f>
        <v>500000.0</v>
      </c>
      <c r="BI32" s="409">
        <f>ROUND(INDEX(販管費予算!$E$7:$I$7,MATCH(BI$3,販管費予算!$E$4:$I$4,0))/12,0)+IF(COUNTIF($AB$3:BI$3,BI$3)=12,INDEX(販管費予算!$E$7:$I$7,MATCH(BI$3,販管費予算!$E$4:$I$4,0))-12*ROUND(INDEX(販管費予算!$E$7:$I$7,MATCH(BI$3,販管費予算!$E$4:$I$4,0))/12,0),0)</f>
        <v>500000.0</v>
      </c>
      <c r="BJ32" s="409">
        <f>ROUND(INDEX(販管費予算!$E$7:$I$7,MATCH(BJ$3,販管費予算!$E$4:$I$4,0))/12,0)+IF(COUNTIF($AB$3:BJ$3,BJ$3)=12,INDEX(販管費予算!$E$7:$I$7,MATCH(BJ$3,販管費予算!$E$4:$I$4,0))-12*ROUND(INDEX(販管費予算!$E$7:$I$7,MATCH(BJ$3,販管費予算!$E$4:$I$4,0))/12,0),0)</f>
        <v>500000.0</v>
      </c>
      <c r="BK32" s="412">
        <f>ROUND(INDEX(販管費予算!$E$7:$I$7,MATCH(BK$3,販管費予算!$E$4:$I$4,0))/12,0)+IF(COUNTIF($AB$3:BK$3,BK$3)=12,INDEX(販管費予算!$E$7:$I$7,MATCH(BK$3,販管費予算!$E$4:$I$4,0))-12*ROUND(INDEX(販管費予算!$E$7:$I$7,MATCH(BK$3,販管費予算!$E$4:$I$4,0))/12,0),0)</f>
        <v>500000.0</v>
      </c>
      <c r="BL32" s="408">
        <f>ROUND(INDEX(販管費予算!$E$7:$I$7,MATCH(BL$3,販管費予算!$E$4:$I$4,0))/12,0)+IF(COUNTIF($AB$3:BL$3,BL$3)=12,INDEX(販管費予算!$E$7:$I$7,MATCH(BL$3,販管費予算!$E$4:$I$4,0))-12*ROUND(INDEX(販管費予算!$E$7:$I$7,MATCH(BL$3,販管費予算!$E$4:$I$4,0))/12,0),0)</f>
        <v>750000.0</v>
      </c>
      <c r="BM32" s="409">
        <f>ROUND(INDEX(販管費予算!$E$7:$I$7,MATCH(BM$3,販管費予算!$E$4:$I$4,0))/12,0)+IF(COUNTIF($AB$3:BM$3,BM$3)=12,INDEX(販管費予算!$E$7:$I$7,MATCH(BM$3,販管費予算!$E$4:$I$4,0))-12*ROUND(INDEX(販管費予算!$E$7:$I$7,MATCH(BM$3,販管費予算!$E$4:$I$4,0))/12,0),0)</f>
        <v>750000.0</v>
      </c>
      <c r="BN32" s="409">
        <f>ROUND(INDEX(販管費予算!$E$7:$I$7,MATCH(BN$3,販管費予算!$E$4:$I$4,0))/12,0)+IF(COUNTIF($AB$3:BN$3,BN$3)=12,INDEX(販管費予算!$E$7:$I$7,MATCH(BN$3,販管費予算!$E$4:$I$4,0))-12*ROUND(INDEX(販管費予算!$E$7:$I$7,MATCH(BN$3,販管費予算!$E$4:$I$4,0))/12,0),0)</f>
        <v>750000.0</v>
      </c>
      <c r="BO32" s="409">
        <f>ROUND(INDEX(販管費予算!$E$7:$I$7,MATCH(BO$3,販管費予算!$E$4:$I$4,0))/12,0)+IF(COUNTIF($AB$3:BO$3,BO$3)=12,INDEX(販管費予算!$E$7:$I$7,MATCH(BO$3,販管費予算!$E$4:$I$4,0))-12*ROUND(INDEX(販管費予算!$E$7:$I$7,MATCH(BO$3,販管費予算!$E$4:$I$4,0))/12,0),0)</f>
        <v>750000.0</v>
      </c>
      <c r="BP32" s="409">
        <f>ROUND(INDEX(販管費予算!$E$7:$I$7,MATCH(BP$3,販管費予算!$E$4:$I$4,0))/12,0)+IF(COUNTIF($AB$3:BP$3,BP$3)=12,INDEX(販管費予算!$E$7:$I$7,MATCH(BP$3,販管費予算!$E$4:$I$4,0))-12*ROUND(INDEX(販管費予算!$E$7:$I$7,MATCH(BP$3,販管費予算!$E$4:$I$4,0))/12,0),0)</f>
        <v>750000.0</v>
      </c>
      <c r="BQ32" s="409">
        <f>ROUND(INDEX(販管費予算!$E$7:$I$7,MATCH(BQ$3,販管費予算!$E$4:$I$4,0))/12,0)+IF(COUNTIF($AB$3:BQ$3,BQ$3)=12,INDEX(販管費予算!$E$7:$I$7,MATCH(BQ$3,販管費予算!$E$4:$I$4,0))-12*ROUND(INDEX(販管費予算!$E$7:$I$7,MATCH(BQ$3,販管費予算!$E$4:$I$4,0))/12,0),0)</f>
        <v>750000.0</v>
      </c>
      <c r="BR32" s="409">
        <f>ROUND(INDEX(販管費予算!$E$7:$I$7,MATCH(BR$3,販管費予算!$E$4:$I$4,0))/12,0)+IF(COUNTIF($AB$3:BR$3,BR$3)=12,INDEX(販管費予算!$E$7:$I$7,MATCH(BR$3,販管費予算!$E$4:$I$4,0))-12*ROUND(INDEX(販管費予算!$E$7:$I$7,MATCH(BR$3,販管費予算!$E$4:$I$4,0))/12,0),0)</f>
        <v>750000.0</v>
      </c>
      <c r="BS32" s="409">
        <f>ROUND(INDEX(販管費予算!$E$7:$I$7,MATCH(BS$3,販管費予算!$E$4:$I$4,0))/12,0)+IF(COUNTIF($AB$3:BS$3,BS$3)=12,INDEX(販管費予算!$E$7:$I$7,MATCH(BS$3,販管費予算!$E$4:$I$4,0))-12*ROUND(INDEX(販管費予算!$E$7:$I$7,MATCH(BS$3,販管費予算!$E$4:$I$4,0))/12,0),0)</f>
        <v>750000.0</v>
      </c>
      <c r="BT32" s="409">
        <f>ROUND(INDEX(販管費予算!$E$7:$I$7,MATCH(BT$3,販管費予算!$E$4:$I$4,0))/12,0)+IF(COUNTIF($AB$3:BT$3,BT$3)=12,INDEX(販管費予算!$E$7:$I$7,MATCH(BT$3,販管費予算!$E$4:$I$4,0))-12*ROUND(INDEX(販管費予算!$E$7:$I$7,MATCH(BT$3,販管費予算!$E$4:$I$4,0))/12,0),0)</f>
        <v>750000.0</v>
      </c>
      <c r="BU32" s="409">
        <f>ROUND(INDEX(販管費予算!$E$7:$I$7,MATCH(BU$3,販管費予算!$E$4:$I$4,0))/12,0)+IF(COUNTIF($AB$3:BU$3,BU$3)=12,INDEX(販管費予算!$E$7:$I$7,MATCH(BU$3,販管費予算!$E$4:$I$4,0))-12*ROUND(INDEX(販管費予算!$E$7:$I$7,MATCH(BU$3,販管費予算!$E$4:$I$4,0))/12,0),0)</f>
        <v>750000.0</v>
      </c>
      <c r="BV32" s="409">
        <f>ROUND(INDEX(販管費予算!$E$7:$I$7,MATCH(BV$3,販管費予算!$E$4:$I$4,0))/12,0)+IF(COUNTIF($AB$3:BV$3,BV$3)=12,INDEX(販管費予算!$E$7:$I$7,MATCH(BV$3,販管費予算!$E$4:$I$4,0))-12*ROUND(INDEX(販管費予算!$E$7:$I$7,MATCH(BV$3,販管費予算!$E$4:$I$4,0))/12,0),0)</f>
        <v>750000.0</v>
      </c>
      <c r="BW32" s="412">
        <f>ROUND(INDEX(販管費予算!$E$7:$I$7,MATCH(BW$3,販管費予算!$E$4:$I$4,0))/12,0)+IF(COUNTIF($AB$3:BW$3,BW$3)=12,INDEX(販管費予算!$E$7:$I$7,MATCH(BW$3,販管費予算!$E$4:$I$4,0))-12*ROUND(INDEX(販管費予算!$E$7:$I$7,MATCH(BW$3,販管費予算!$E$4:$I$4,0))/12,0),0)</f>
        <v>750000.0</v>
      </c>
      <c r="BX32" s="408">
        <f>ROUND(INDEX(販管費予算!$E$7:$I$7,MATCH(BX$3,販管費予算!$E$4:$I$4,0))/12,0)+IF(COUNTIF($AB$3:BX$3,BX$3)=12,INDEX(販管費予算!$E$7:$I$7,MATCH(BX$3,販管費予算!$E$4:$I$4,0))-12*ROUND(INDEX(販管費予算!$E$7:$I$7,MATCH(BX$3,販管費予算!$E$4:$I$4,0))/12,0),0)</f>
        <v>1250000.0</v>
      </c>
      <c r="BY32" s="409">
        <f>ROUND(INDEX(販管費予算!$E$7:$I$7,MATCH(BY$3,販管費予算!$E$4:$I$4,0))/12,0)+IF(COUNTIF($AB$3:BY$3,BY$3)=12,INDEX(販管費予算!$E$7:$I$7,MATCH(BY$3,販管費予算!$E$4:$I$4,0))-12*ROUND(INDEX(販管費予算!$E$7:$I$7,MATCH(BY$3,販管費予算!$E$4:$I$4,0))/12,0),0)</f>
        <v>1250000.0</v>
      </c>
      <c r="BZ32" s="409">
        <f>ROUND(INDEX(販管費予算!$E$7:$I$7,MATCH(BZ$3,販管費予算!$E$4:$I$4,0))/12,0)+IF(COUNTIF($AB$3:BZ$3,BZ$3)=12,INDEX(販管費予算!$E$7:$I$7,MATCH(BZ$3,販管費予算!$E$4:$I$4,0))-12*ROUND(INDEX(販管費予算!$E$7:$I$7,MATCH(BZ$3,販管費予算!$E$4:$I$4,0))/12,0),0)</f>
        <v>1250000.0</v>
      </c>
      <c r="CA32" s="409">
        <f>ROUND(INDEX(販管費予算!$E$7:$I$7,MATCH(CA$3,販管費予算!$E$4:$I$4,0))/12,0)+IF(COUNTIF($AB$3:CA$3,CA$3)=12,INDEX(販管費予算!$E$7:$I$7,MATCH(CA$3,販管費予算!$E$4:$I$4,0))-12*ROUND(INDEX(販管費予算!$E$7:$I$7,MATCH(CA$3,販管費予算!$E$4:$I$4,0))/12,0),0)</f>
        <v>1250000.0</v>
      </c>
      <c r="CB32" s="409">
        <f>ROUND(INDEX(販管費予算!$E$7:$I$7,MATCH(CB$3,販管費予算!$E$4:$I$4,0))/12,0)+IF(COUNTIF($AB$3:CB$3,CB$3)=12,INDEX(販管費予算!$E$7:$I$7,MATCH(CB$3,販管費予算!$E$4:$I$4,0))-12*ROUND(INDEX(販管費予算!$E$7:$I$7,MATCH(CB$3,販管費予算!$E$4:$I$4,0))/12,0),0)</f>
        <v>1250000.0</v>
      </c>
      <c r="CC32" s="409">
        <f>ROUND(INDEX(販管費予算!$E$7:$I$7,MATCH(CC$3,販管費予算!$E$4:$I$4,0))/12,0)+IF(COUNTIF($AB$3:CC$3,CC$3)=12,INDEX(販管費予算!$E$7:$I$7,MATCH(CC$3,販管費予算!$E$4:$I$4,0))-12*ROUND(INDEX(販管費予算!$E$7:$I$7,MATCH(CC$3,販管費予算!$E$4:$I$4,0))/12,0),0)</f>
        <v>1250000.0</v>
      </c>
      <c r="CD32" s="409">
        <f>ROUND(INDEX(販管費予算!$E$7:$I$7,MATCH(CD$3,販管費予算!$E$4:$I$4,0))/12,0)+IF(COUNTIF($AB$3:CD$3,CD$3)=12,INDEX(販管費予算!$E$7:$I$7,MATCH(CD$3,販管費予算!$E$4:$I$4,0))-12*ROUND(INDEX(販管費予算!$E$7:$I$7,MATCH(CD$3,販管費予算!$E$4:$I$4,0))/12,0),0)</f>
        <v>1250000.0</v>
      </c>
      <c r="CE32" s="409">
        <f>ROUND(INDEX(販管費予算!$E$7:$I$7,MATCH(CE$3,販管費予算!$E$4:$I$4,0))/12,0)+IF(COUNTIF($AB$3:CE$3,CE$3)=12,INDEX(販管費予算!$E$7:$I$7,MATCH(CE$3,販管費予算!$E$4:$I$4,0))-12*ROUND(INDEX(販管費予算!$E$7:$I$7,MATCH(CE$3,販管費予算!$E$4:$I$4,0))/12,0),0)</f>
        <v>1250000.0</v>
      </c>
      <c r="CF32" s="409">
        <f>ROUND(INDEX(販管費予算!$E$7:$I$7,MATCH(CF$3,販管費予算!$E$4:$I$4,0))/12,0)+IF(COUNTIF($AB$3:CF$3,CF$3)=12,INDEX(販管費予算!$E$7:$I$7,MATCH(CF$3,販管費予算!$E$4:$I$4,0))-12*ROUND(INDEX(販管費予算!$E$7:$I$7,MATCH(CF$3,販管費予算!$E$4:$I$4,0))/12,0),0)</f>
        <v>1250000.0</v>
      </c>
      <c r="CG32" s="409">
        <f>ROUND(INDEX(販管費予算!$E$7:$I$7,MATCH(CG$3,販管費予算!$E$4:$I$4,0))/12,0)+IF(COUNTIF($AB$3:CG$3,CG$3)=12,INDEX(販管費予算!$E$7:$I$7,MATCH(CG$3,販管費予算!$E$4:$I$4,0))-12*ROUND(INDEX(販管費予算!$E$7:$I$7,MATCH(CG$3,販管費予算!$E$4:$I$4,0))/12,0),0)</f>
        <v>1250000.0</v>
      </c>
      <c r="CH32" s="409">
        <f>ROUND(INDEX(販管費予算!$E$7:$I$7,MATCH(CH$3,販管費予算!$E$4:$I$4,0))/12,0)+IF(COUNTIF($AB$3:CH$3,CH$3)=12,INDEX(販管費予算!$E$7:$I$7,MATCH(CH$3,販管費予算!$E$4:$I$4,0))-12*ROUND(INDEX(販管費予算!$E$7:$I$7,MATCH(CH$3,販管費予算!$E$4:$I$4,0))/12,0),0)</f>
        <v>1250000.0</v>
      </c>
      <c r="CI32" s="412">
        <f>ROUND(INDEX(販管費予算!$E$7:$I$7,MATCH(CI$3,販管費予算!$E$4:$I$4,0))/12,0)+IF(COUNTIF($AB$3:CI$3,CI$3)=12,INDEX(販管費予算!$E$7:$I$7,MATCH(CI$3,販管費予算!$E$4:$I$4,0))-12*ROUND(INDEX(販管費予算!$E$7:$I$7,MATCH(CI$3,販管費予算!$E$4:$I$4,0))/12,0),0)</f>
        <v>1250000.0</v>
      </c>
    </row>
    <row r="33" ht="18" customHeight="1" s="145">
      <c r="A33" s="233" t="n"/>
      <c r="B33" s="233" t="n"/>
      <c r="C33" s="233" t="inlineStr">
        <is>
          <t>SaaS</t>
        </is>
      </c>
      <c r="D33" s="234" t="n"/>
      <c r="E33" s="408">
        <f>SUMIF($AB$3:$CI$3,E$4,$AB33:$CI33)</f>
        <v>0.0</v>
      </c>
      <c r="F33" s="409">
        <f>SUMIF($AB$3:$CI$3,F$4,$AB33:$CI33)</f>
        <v>0.0</v>
      </c>
      <c r="G33" s="409">
        <f>SUMIF($AB$3:$CI$3,G$4,$AB33:$CI33)</f>
        <v>0.0</v>
      </c>
      <c r="H33" s="409">
        <f>SUMIF($AB$3:$CI$3,H$4,$AB33:$CI33)</f>
        <v>0.0</v>
      </c>
      <c r="I33" s="409">
        <f>SUMIF($AB$3:$CI$3,I$4,$AB33:$CI33)</f>
        <v>0.0</v>
      </c>
      <c r="J33" s="407">
        <f>SUM(E33:I33)</f>
        <v>0.0</v>
      </c>
      <c r="K33" s="407">
        <f>SUMIF($Q$3:$CN$3,K$4,$Q33:$CN33)</f>
        <v>0.0</v>
      </c>
      <c r="L33" s="407">
        <f>SUMIF($Q$3:$CN$3,L$4,$Q33:$CN33)</f>
        <v>0.0</v>
      </c>
      <c r="M33" s="407">
        <f>SUMIF($Q$3:$CN$3,M$4,$Q33:$CN33)</f>
        <v>0.0</v>
      </c>
      <c r="N33" s="407">
        <f>SUMIF($Q$3:$CN$3,N$4,$Q33:$CN33)</f>
        <v>0.0</v>
      </c>
      <c r="O33" s="235" t="n"/>
      <c r="P33" s="408" t="n"/>
      <c r="Q33" s="409" t="n"/>
      <c r="R33" s="409" t="n"/>
      <c r="S33" s="409" t="n"/>
      <c r="T33" s="409" t="n"/>
      <c r="U33" s="409" t="n"/>
      <c r="V33" s="409" t="n"/>
      <c r="W33" s="409" t="n"/>
      <c r="X33" s="409" t="n"/>
      <c r="Y33" s="409" t="n"/>
      <c r="Z33" s="409" t="n"/>
      <c r="AA33" s="412" t="n"/>
      <c r="AB33" s="408" t="n"/>
      <c r="AC33" s="409" t="n"/>
      <c r="AD33" s="409" t="n"/>
      <c r="AE33" s="409" t="n"/>
      <c r="AF33" s="409" t="n"/>
      <c r="AG33" s="409" t="n"/>
      <c r="AH33" s="409" t="n"/>
      <c r="AI33" s="409" t="n"/>
      <c r="AJ33" s="409" t="n"/>
      <c r="AK33" s="409" t="n"/>
      <c r="AL33" s="409" t="n"/>
      <c r="AM33" s="412" t="n"/>
      <c r="AN33" s="408" t="n"/>
      <c r="AO33" s="409" t="n"/>
      <c r="AP33" s="409" t="n"/>
      <c r="AQ33" s="409" t="n"/>
      <c r="AR33" s="409" t="n"/>
      <c r="AS33" s="409" t="n"/>
      <c r="AT33" s="409" t="n"/>
      <c r="AU33" s="409" t="n"/>
      <c r="AV33" s="409" t="n"/>
      <c r="AW33" s="409" t="n"/>
      <c r="AX33" s="409" t="n"/>
      <c r="AY33" s="412" t="n"/>
      <c r="AZ33" s="408" t="n"/>
      <c r="BA33" s="409" t="n"/>
      <c r="BB33" s="409" t="n"/>
      <c r="BC33" s="409" t="n"/>
      <c r="BD33" s="409" t="n"/>
      <c r="BE33" s="409" t="n"/>
      <c r="BF33" s="409" t="n"/>
      <c r="BG33" s="409" t="n"/>
      <c r="BH33" s="409" t="n"/>
      <c r="BI33" s="409" t="n"/>
      <c r="BJ33" s="409" t="n"/>
      <c r="BK33" s="412" t="n"/>
      <c r="BL33" s="408" t="n"/>
      <c r="BM33" s="409" t="n"/>
      <c r="BN33" s="409" t="n"/>
      <c r="BO33" s="409" t="n"/>
      <c r="BP33" s="409" t="n"/>
      <c r="BQ33" s="409" t="n"/>
      <c r="BR33" s="409" t="n"/>
      <c r="BS33" s="409" t="n"/>
      <c r="BT33" s="409" t="n"/>
      <c r="BU33" s="409" t="n"/>
      <c r="BV33" s="409" t="n"/>
      <c r="BW33" s="412" t="n"/>
      <c r="BX33" s="408" t="n"/>
      <c r="BY33" s="409" t="n"/>
      <c r="BZ33" s="409" t="n"/>
      <c r="CA33" s="409" t="n"/>
      <c r="CB33" s="409" t="n"/>
      <c r="CC33" s="409" t="n"/>
      <c r="CD33" s="409" t="n"/>
      <c r="CE33" s="409" t="n"/>
      <c r="CF33" s="409" t="n"/>
      <c r="CG33" s="409" t="n"/>
      <c r="CH33" s="409" t="n"/>
      <c r="CI33" s="412" t="n"/>
    </row>
    <row r="34" ht="18" customHeight="1" s="145">
      <c r="A34" s="233" t="n"/>
      <c r="B34" s="233" t="n"/>
      <c r="C34" s="233" t="inlineStr">
        <is>
          <t>事業・組織再生コンサル</t>
        </is>
      </c>
      <c r="D34" s="234" t="n"/>
      <c r="E34" s="408">
        <f>SUMIF($AB$3:$CI$3,E$4,$AB34:$CI34)</f>
        <v>0.0</v>
      </c>
      <c r="F34" s="409">
        <f>SUMIF($AB$3:$CI$3,F$4,$AB34:$CI34)</f>
        <v>0.0</v>
      </c>
      <c r="G34" s="409">
        <f>SUMIF($AB$3:$CI$3,G$4,$AB34:$CI34)</f>
        <v>0.0</v>
      </c>
      <c r="H34" s="409">
        <f>SUMIF($AB$3:$CI$3,H$4,$AB34:$CI34)</f>
        <v>0.0</v>
      </c>
      <c r="I34" s="409">
        <f>SUMIF($AB$3:$CI$3,I$4,$AB34:$CI34)</f>
        <v>0.0</v>
      </c>
      <c r="J34" s="407">
        <f>SUM(E34:I34)</f>
        <v>0.0</v>
      </c>
      <c r="K34" s="407">
        <f>SUMIF($Q$3:$CN$3,K$4,$Q34:$CN34)</f>
        <v>0.0</v>
      </c>
      <c r="L34" s="407">
        <f>SUMIF($Q$3:$CN$3,L$4,$Q34:$CN34)</f>
        <v>0.0</v>
      </c>
      <c r="M34" s="407">
        <f>SUMIF($Q$3:$CN$3,M$4,$Q34:$CN34)</f>
        <v>0.0</v>
      </c>
      <c r="N34" s="407">
        <f>SUMIF($Q$3:$CN$3,N$4,$Q34:$CN34)</f>
        <v>0.0</v>
      </c>
      <c r="O34" s="235" t="n"/>
      <c r="P34" s="408" t="n"/>
      <c r="Q34" s="409" t="n"/>
      <c r="R34" s="409" t="n"/>
      <c r="S34" s="409" t="n"/>
      <c r="T34" s="409" t="n"/>
      <c r="U34" s="409" t="n"/>
      <c r="V34" s="409" t="n"/>
      <c r="W34" s="409" t="n"/>
      <c r="X34" s="409" t="n"/>
      <c r="Y34" s="409" t="n"/>
      <c r="Z34" s="409" t="n"/>
      <c r="AA34" s="412" t="n"/>
      <c r="AB34" s="408" t="n"/>
      <c r="AC34" s="409" t="n"/>
      <c r="AD34" s="409" t="n"/>
      <c r="AE34" s="409" t="n"/>
      <c r="AF34" s="409" t="n"/>
      <c r="AG34" s="409" t="n"/>
      <c r="AH34" s="409" t="n"/>
      <c r="AI34" s="409" t="n"/>
      <c r="AJ34" s="409" t="n"/>
      <c r="AK34" s="409" t="n"/>
      <c r="AL34" s="409" t="n"/>
      <c r="AM34" s="412" t="n"/>
      <c r="AN34" s="408" t="n"/>
      <c r="AO34" s="409" t="n"/>
      <c r="AP34" s="409" t="n"/>
      <c r="AQ34" s="409" t="n"/>
      <c r="AR34" s="409" t="n"/>
      <c r="AS34" s="409" t="n"/>
      <c r="AT34" s="409" t="n"/>
      <c r="AU34" s="409" t="n"/>
      <c r="AV34" s="409" t="n"/>
      <c r="AW34" s="409" t="n"/>
      <c r="AX34" s="409" t="n"/>
      <c r="AY34" s="412" t="n"/>
      <c r="AZ34" s="408" t="n"/>
      <c r="BA34" s="409" t="n"/>
      <c r="BB34" s="409" t="n"/>
      <c r="BC34" s="409" t="n"/>
      <c r="BD34" s="409" t="n"/>
      <c r="BE34" s="409" t="n"/>
      <c r="BF34" s="409" t="n"/>
      <c r="BG34" s="409" t="n"/>
      <c r="BH34" s="409" t="n"/>
      <c r="BI34" s="409" t="n"/>
      <c r="BJ34" s="409" t="n"/>
      <c r="BK34" s="412" t="n"/>
      <c r="BL34" s="408" t="n"/>
      <c r="BM34" s="409" t="n"/>
      <c r="BN34" s="409" t="n"/>
      <c r="BO34" s="409" t="n"/>
      <c r="BP34" s="409" t="n"/>
      <c r="BQ34" s="409" t="n"/>
      <c r="BR34" s="409" t="n"/>
      <c r="BS34" s="409" t="n"/>
      <c r="BT34" s="409" t="n"/>
      <c r="BU34" s="409" t="n"/>
      <c r="BV34" s="409" t="n"/>
      <c r="BW34" s="412" t="n"/>
      <c r="BX34" s="408" t="n"/>
      <c r="BY34" s="409" t="n"/>
      <c r="BZ34" s="409" t="n"/>
      <c r="CA34" s="409" t="n"/>
      <c r="CB34" s="409" t="n"/>
      <c r="CC34" s="409" t="n"/>
      <c r="CD34" s="409" t="n"/>
      <c r="CE34" s="409" t="n"/>
      <c r="CF34" s="409" t="n"/>
      <c r="CG34" s="409" t="n"/>
      <c r="CH34" s="409" t="n"/>
      <c r="CI34" s="412" t="n"/>
    </row>
    <row r="35" ht="18" customHeight="1" s="145">
      <c r="A35" s="233" t="n"/>
      <c r="B35" s="325" t="inlineStr">
        <is>
          <t>法定福利費</t>
        </is>
      </c>
      <c r="C35" s="325" t="n"/>
      <c r="D35" s="326" t="n"/>
      <c r="E35" s="469">
        <f>SUMIF($AB$3:$CI$3,E$4,$AB35:$CI35)</f>
        <v>3600000.0</v>
      </c>
      <c r="F35" s="470">
        <f>SUMIF($AB$3:$CI$3,F$4,$AB35:$CI35)</f>
        <v>7200000.0</v>
      </c>
      <c r="G35" s="470">
        <f>SUMIF($AB$3:$CI$3,G$4,$AB35:$CI35)</f>
        <v>14400000.0</v>
      </c>
      <c r="H35" s="470">
        <f>SUMIF($AB$3:$CI$3,H$4,$AB35:$CI35)</f>
        <v>22000000.0</v>
      </c>
      <c r="I35" s="470">
        <f>SUMIF($AB$3:$CI$3,I$4,$AB35:$CI35)</f>
        <v>38000000.0</v>
      </c>
      <c r="J35" s="478">
        <f>SUM(E35:I35)</f>
        <v>85200000.0</v>
      </c>
      <c r="K35" s="478">
        <f>SUMIF($Q$3:$CN$3,K$4,$Q35:$CN35)</f>
        <v>0.0</v>
      </c>
      <c r="L35" s="478">
        <f>SUMIF($Q$3:$CN$3,L$4,$Q35:$CN35)</f>
        <v>0.0</v>
      </c>
      <c r="M35" s="478">
        <f>SUMIF($Q$3:$CN$3,M$4,$Q35:$CN35)</f>
        <v>0.0</v>
      </c>
      <c r="N35" s="478">
        <f>SUMIF($Q$3:$CN$3,N$4,$Q35:$CN35)</f>
        <v>0.0</v>
      </c>
      <c r="O35" s="316" t="n"/>
      <c r="P35" s="469" t="n"/>
      <c r="Q35" s="470" t="n"/>
      <c r="R35" s="470" t="n"/>
      <c r="S35" s="470" t="n"/>
      <c r="T35" s="470" t="n"/>
      <c r="U35" s="470" t="n"/>
      <c r="V35" s="470" t="n"/>
      <c r="W35" s="470" t="n"/>
      <c r="X35" s="470" t="n"/>
      <c r="Y35" s="470" t="n"/>
      <c r="Z35" s="470" t="n"/>
      <c r="AA35" s="471" t="n"/>
      <c r="AB35" s="479">
        <f>SUM(AB36:AB38)</f>
        <v>300000.0</v>
      </c>
      <c r="AC35" s="480">
        <f>SUM(AC36:AC38)</f>
        <v>300000.0</v>
      </c>
      <c r="AD35" s="480">
        <f>SUM(AD36:AD38)</f>
        <v>300000.0</v>
      </c>
      <c r="AE35" s="480">
        <f>SUM(AE36:AE38)</f>
        <v>300000.0</v>
      </c>
      <c r="AF35" s="480">
        <f>SUM(AF36:AF38)</f>
        <v>300000.0</v>
      </c>
      <c r="AG35" s="470">
        <f>SUM(AG36:AG38)</f>
        <v>300000.0</v>
      </c>
      <c r="AH35" s="470">
        <f>SUM(AH36:AH38)</f>
        <v>300000.0</v>
      </c>
      <c r="AI35" s="470">
        <f>SUM(AI36:AI38)</f>
        <v>300000.0</v>
      </c>
      <c r="AJ35" s="470">
        <f>SUM(AJ36:AJ38)</f>
        <v>300000.0</v>
      </c>
      <c r="AK35" s="470">
        <f>SUM(AK36:AK38)</f>
        <v>300000.0</v>
      </c>
      <c r="AL35" s="470">
        <f>SUM(AL36:AL38)</f>
        <v>300000.0</v>
      </c>
      <c r="AM35" s="471">
        <f>SUM(AM36:AM38)</f>
        <v>300000.0</v>
      </c>
      <c r="AN35" s="469">
        <f>SUM(AN36:AN38)</f>
        <v>600000.0</v>
      </c>
      <c r="AO35" s="470">
        <f>SUM(AO36:AO38)</f>
        <v>600000.0</v>
      </c>
      <c r="AP35" s="470">
        <f>SUM(AP36:AP38)</f>
        <v>600000.0</v>
      </c>
      <c r="AQ35" s="470">
        <f>SUM(AQ36:AQ38)</f>
        <v>600000.0</v>
      </c>
      <c r="AR35" s="470">
        <f>SUM(AR36:AR38)</f>
        <v>600000.0</v>
      </c>
      <c r="AS35" s="470">
        <f>SUM(AS36:AS38)</f>
        <v>600000.0</v>
      </c>
      <c r="AT35" s="470">
        <f>SUM(AT36:AT38)</f>
        <v>600000.0</v>
      </c>
      <c r="AU35" s="470">
        <f>SUM(AU36:AU38)</f>
        <v>600000.0</v>
      </c>
      <c r="AV35" s="470">
        <f>SUM(AV36:AV38)</f>
        <v>600000.0</v>
      </c>
      <c r="AW35" s="470">
        <f>SUM(AW36:AW38)</f>
        <v>600000.0</v>
      </c>
      <c r="AX35" s="470">
        <f>SUM(AX36:AX38)</f>
        <v>600000.0</v>
      </c>
      <c r="AY35" s="471">
        <f>SUM(AY36:AY38)</f>
        <v>600000.0</v>
      </c>
      <c r="AZ35" s="469">
        <f>SUM(AZ36:AZ38)</f>
        <v>1200000.0</v>
      </c>
      <c r="BA35" s="470">
        <f>SUM(BA36:BA38)</f>
        <v>1200000.0</v>
      </c>
      <c r="BB35" s="470">
        <f>SUM(BB36:BB38)</f>
        <v>1200000.0</v>
      </c>
      <c r="BC35" s="470">
        <f>SUM(BC36:BC38)</f>
        <v>1200000.0</v>
      </c>
      <c r="BD35" s="470">
        <f>SUM(BD36:BD38)</f>
        <v>1200000.0</v>
      </c>
      <c r="BE35" s="470">
        <f>SUM(BE36:BE38)</f>
        <v>1200000.0</v>
      </c>
      <c r="BF35" s="470">
        <f>SUM(BF36:BF38)</f>
        <v>1200000.0</v>
      </c>
      <c r="BG35" s="470">
        <f>SUM(BG36:BG38)</f>
        <v>1200000.0</v>
      </c>
      <c r="BH35" s="470">
        <f>SUM(BH36:BH38)</f>
        <v>1200000.0</v>
      </c>
      <c r="BI35" s="470">
        <f>SUM(BI36:BI38)</f>
        <v>1200000.0</v>
      </c>
      <c r="BJ35" s="470">
        <f>SUM(BJ36:BJ38)</f>
        <v>1200000.0</v>
      </c>
      <c r="BK35" s="471">
        <f>SUM(BK36:BK38)</f>
        <v>1200000.0</v>
      </c>
      <c r="BL35" s="469">
        <f>SUM(BL36:BL38)</f>
        <v>1833333.0</v>
      </c>
      <c r="BM35" s="470">
        <f>SUM(BM36:BM38)</f>
        <v>1833333.0</v>
      </c>
      <c r="BN35" s="470">
        <f>SUM(BN36:BN38)</f>
        <v>1833333.0</v>
      </c>
      <c r="BO35" s="470">
        <f>SUM(BO36:BO38)</f>
        <v>1833333.0</v>
      </c>
      <c r="BP35" s="470">
        <f>SUM(BP36:BP38)</f>
        <v>1833333.0</v>
      </c>
      <c r="BQ35" s="470">
        <f>SUM(BQ36:BQ38)</f>
        <v>1833333.0</v>
      </c>
      <c r="BR35" s="470">
        <f>SUM(BR36:BR38)</f>
        <v>1833333.0</v>
      </c>
      <c r="BS35" s="470">
        <f>SUM(BS36:BS38)</f>
        <v>1833333.0</v>
      </c>
      <c r="BT35" s="470">
        <f>SUM(BT36:BT38)</f>
        <v>1833333.0</v>
      </c>
      <c r="BU35" s="470">
        <f>SUM(BU36:BU38)</f>
        <v>1833333.0</v>
      </c>
      <c r="BV35" s="470">
        <f>SUM(BV36:BV38)</f>
        <v>1833333.0</v>
      </c>
      <c r="BW35" s="471">
        <f>SUM(BW36:BW38)</f>
        <v>1833337.0</v>
      </c>
      <c r="BX35" s="469">
        <f>SUM(BX36:BX38)</f>
        <v>3166667.0</v>
      </c>
      <c r="BY35" s="470">
        <f>SUM(BY36:BY38)</f>
        <v>3166667.0</v>
      </c>
      <c r="BZ35" s="470">
        <f>SUM(BZ36:BZ38)</f>
        <v>3166667.0</v>
      </c>
      <c r="CA35" s="470">
        <f>SUM(CA36:CA38)</f>
        <v>3166667.0</v>
      </c>
      <c r="CB35" s="470">
        <f>SUM(CB36:CB38)</f>
        <v>3166667.0</v>
      </c>
      <c r="CC35" s="470">
        <f>SUM(CC36:CC38)</f>
        <v>3166667.0</v>
      </c>
      <c r="CD35" s="470">
        <f>SUM(CD36:CD38)</f>
        <v>3166667.0</v>
      </c>
      <c r="CE35" s="470">
        <f>SUM(CE36:CE38)</f>
        <v>3166667.0</v>
      </c>
      <c r="CF35" s="470">
        <f>SUM(CF36:CF38)</f>
        <v>3166667.0</v>
      </c>
      <c r="CG35" s="470">
        <f>SUM(CG36:CG38)</f>
        <v>3166667.0</v>
      </c>
      <c r="CH35" s="470">
        <f>SUM(CH36:CH38)</f>
        <v>3166667.0</v>
      </c>
      <c r="CI35" s="471">
        <f>SUM(CI36:CI38)</f>
        <v>3166663.0</v>
      </c>
    </row>
    <row r="36" ht="18" customHeight="1" s="145">
      <c r="A36" s="233" t="n"/>
      <c r="B36" s="233" t="n"/>
      <c r="C36" s="233" t="inlineStr">
        <is>
          <t>全社</t>
        </is>
      </c>
      <c r="D36" s="234" t="n"/>
      <c r="E36" s="408">
        <f>SUMIF($AB$3:$CI$3,E$4,$AB36:$CI36)</f>
        <v>3600000.0</v>
      </c>
      <c r="F36" s="409">
        <f>SUMIF($AB$3:$CI$3,F$4,$AB36:$CI36)</f>
        <v>7200000.0</v>
      </c>
      <c r="G36" s="409">
        <f>SUMIF($AB$3:$CI$3,G$4,$AB36:$CI36)</f>
        <v>14400000.0</v>
      </c>
      <c r="H36" s="409">
        <f>SUMIF($AB$3:$CI$3,H$4,$AB36:$CI36)</f>
        <v>22000000.0</v>
      </c>
      <c r="I36" s="409">
        <f>SUMIF($AB$3:$CI$3,I$4,$AB36:$CI36)</f>
        <v>38000000.0</v>
      </c>
      <c r="J36" s="407">
        <f>SUM(E36:I36)</f>
        <v>85200000.0</v>
      </c>
      <c r="K36" s="407">
        <f>SUMIF($Q$3:$CN$3,K$4,$Q36:$CN36)</f>
        <v>0.0</v>
      </c>
      <c r="L36" s="407">
        <f>SUMIF($Q$3:$CN$3,L$4,$Q36:$CN36)</f>
        <v>0.0</v>
      </c>
      <c r="M36" s="407">
        <f>SUMIF($Q$3:$CN$3,M$4,$Q36:$CN36)</f>
        <v>0.0</v>
      </c>
      <c r="N36" s="407">
        <f>SUMIF($Q$3:$CN$3,N$4,$Q36:$CN36)</f>
        <v>0.0</v>
      </c>
      <c r="O36" s="235" t="n"/>
      <c r="P36" s="408" t="n"/>
      <c r="Q36" s="409" t="n"/>
      <c r="R36" s="409" t="n"/>
      <c r="S36" s="409" t="n"/>
      <c r="T36" s="409" t="n"/>
      <c r="U36" s="409" t="n"/>
      <c r="V36" s="409" t="n"/>
      <c r="W36" s="409" t="n"/>
      <c r="X36" s="409" t="n"/>
      <c r="Y36" s="409" t="n"/>
      <c r="Z36" s="409" t="n"/>
      <c r="AA36" s="412" t="n"/>
      <c r="AB36" s="408">
        <f>ROUND(INDEX(販管費予算!$E$8:$I$8,MATCH(AB$3,販管費予算!$E$4:$I$4,0))/12,0)+IF(COUNTIF($AB$3:AB$3,AB$3)=12,INDEX(販管費予算!$E$8:$I$8,MATCH(AB$3,販管費予算!$E$4:$I$4,0))-12*ROUND(INDEX(販管費予算!$E$8:$I$8,MATCH(AB$3,販管費予算!$E$4:$I$4,0))/12,0),0)</f>
        <v>300000.0</v>
      </c>
      <c r="AC36" s="409">
        <f>ROUND(INDEX(販管費予算!$E$8:$I$8,MATCH(AC$3,販管費予算!$E$4:$I$4,0))/12,0)+IF(COUNTIF($AB$3:AC$3,AC$3)=12,INDEX(販管費予算!$E$8:$I$8,MATCH(AC$3,販管費予算!$E$4:$I$4,0))-12*ROUND(INDEX(販管費予算!$E$8:$I$8,MATCH(AC$3,販管費予算!$E$4:$I$4,0))/12,0),0)</f>
        <v>300000.0</v>
      </c>
      <c r="AD36" s="409">
        <f>ROUND(INDEX(販管費予算!$E$8:$I$8,MATCH(AD$3,販管費予算!$E$4:$I$4,0))/12,0)+IF(COUNTIF($AB$3:AD$3,AD$3)=12,INDEX(販管費予算!$E$8:$I$8,MATCH(AD$3,販管費予算!$E$4:$I$4,0))-12*ROUND(INDEX(販管費予算!$E$8:$I$8,MATCH(AD$3,販管費予算!$E$4:$I$4,0))/12,0),0)</f>
        <v>300000.0</v>
      </c>
      <c r="AE36" s="409">
        <f>ROUND(INDEX(販管費予算!$E$8:$I$8,MATCH(AE$3,販管費予算!$E$4:$I$4,0))/12,0)+IF(COUNTIF($AB$3:AE$3,AE$3)=12,INDEX(販管費予算!$E$8:$I$8,MATCH(AE$3,販管費予算!$E$4:$I$4,0))-12*ROUND(INDEX(販管費予算!$E$8:$I$8,MATCH(AE$3,販管費予算!$E$4:$I$4,0))/12,0),0)</f>
        <v>300000.0</v>
      </c>
      <c r="AF36" s="409">
        <f>ROUND(INDEX(販管費予算!$E$8:$I$8,MATCH(AF$3,販管費予算!$E$4:$I$4,0))/12,0)+IF(COUNTIF($AB$3:AF$3,AF$3)=12,INDEX(販管費予算!$E$8:$I$8,MATCH(AF$3,販管費予算!$E$4:$I$4,0))-12*ROUND(INDEX(販管費予算!$E$8:$I$8,MATCH(AF$3,販管費予算!$E$4:$I$4,0))/12,0),0)</f>
        <v>300000.0</v>
      </c>
      <c r="AG36" s="409">
        <f>ROUND(INDEX(販管費予算!$E$8:$I$8,MATCH(AG$3,販管費予算!$E$4:$I$4,0))/12,0)+IF(COUNTIF($AB$3:AG$3,AG$3)=12,INDEX(販管費予算!$E$8:$I$8,MATCH(AG$3,販管費予算!$E$4:$I$4,0))-12*ROUND(INDEX(販管費予算!$E$8:$I$8,MATCH(AG$3,販管費予算!$E$4:$I$4,0))/12,0),0)</f>
        <v>300000.0</v>
      </c>
      <c r="AH36" s="409">
        <f>ROUND(INDEX(販管費予算!$E$8:$I$8,MATCH(AH$3,販管費予算!$E$4:$I$4,0))/12,0)+IF(COUNTIF($AB$3:AH$3,AH$3)=12,INDEX(販管費予算!$E$8:$I$8,MATCH(AH$3,販管費予算!$E$4:$I$4,0))-12*ROUND(INDEX(販管費予算!$E$8:$I$8,MATCH(AH$3,販管費予算!$E$4:$I$4,0))/12,0),0)</f>
        <v>300000.0</v>
      </c>
      <c r="AI36" s="409">
        <f>ROUND(INDEX(販管費予算!$E$8:$I$8,MATCH(AI$3,販管費予算!$E$4:$I$4,0))/12,0)+IF(COUNTIF($AB$3:AI$3,AI$3)=12,INDEX(販管費予算!$E$8:$I$8,MATCH(AI$3,販管費予算!$E$4:$I$4,0))-12*ROUND(INDEX(販管費予算!$E$8:$I$8,MATCH(AI$3,販管費予算!$E$4:$I$4,0))/12,0),0)</f>
        <v>300000.0</v>
      </c>
      <c r="AJ36" s="409">
        <f>ROUND(INDEX(販管費予算!$E$8:$I$8,MATCH(AJ$3,販管費予算!$E$4:$I$4,0))/12,0)+IF(COUNTIF($AB$3:AJ$3,AJ$3)=12,INDEX(販管費予算!$E$8:$I$8,MATCH(AJ$3,販管費予算!$E$4:$I$4,0))-12*ROUND(INDEX(販管費予算!$E$8:$I$8,MATCH(AJ$3,販管費予算!$E$4:$I$4,0))/12,0),0)</f>
        <v>300000.0</v>
      </c>
      <c r="AK36" s="409">
        <f>ROUND(INDEX(販管費予算!$E$8:$I$8,MATCH(AK$3,販管費予算!$E$4:$I$4,0))/12,0)+IF(COUNTIF($AB$3:AK$3,AK$3)=12,INDEX(販管費予算!$E$8:$I$8,MATCH(AK$3,販管費予算!$E$4:$I$4,0))-12*ROUND(INDEX(販管費予算!$E$8:$I$8,MATCH(AK$3,販管費予算!$E$4:$I$4,0))/12,0),0)</f>
        <v>300000.0</v>
      </c>
      <c r="AL36" s="409">
        <f>ROUND(INDEX(販管費予算!$E$8:$I$8,MATCH(AL$3,販管費予算!$E$4:$I$4,0))/12,0)+IF(COUNTIF($AB$3:AL$3,AL$3)=12,INDEX(販管費予算!$E$8:$I$8,MATCH(AL$3,販管費予算!$E$4:$I$4,0))-12*ROUND(INDEX(販管費予算!$E$8:$I$8,MATCH(AL$3,販管費予算!$E$4:$I$4,0))/12,0),0)</f>
        <v>300000.0</v>
      </c>
      <c r="AM36" s="412">
        <f>ROUND(INDEX(販管費予算!$E$8:$I$8,MATCH(AM$3,販管費予算!$E$4:$I$4,0))/12,0)+IF(COUNTIF($AB$3:AM$3,AM$3)=12,INDEX(販管費予算!$E$8:$I$8,MATCH(AM$3,販管費予算!$E$4:$I$4,0))-12*ROUND(INDEX(販管費予算!$E$8:$I$8,MATCH(AM$3,販管費予算!$E$4:$I$4,0))/12,0),0)</f>
        <v>300000.0</v>
      </c>
      <c r="AN36" s="408">
        <f>ROUND(INDEX(販管費予算!$E$8:$I$8,MATCH(AN$3,販管費予算!$E$4:$I$4,0))/12,0)+IF(COUNTIF($AB$3:AN$3,AN$3)=12,INDEX(販管費予算!$E$8:$I$8,MATCH(AN$3,販管費予算!$E$4:$I$4,0))-12*ROUND(INDEX(販管費予算!$E$8:$I$8,MATCH(AN$3,販管費予算!$E$4:$I$4,0))/12,0),0)</f>
        <v>600000.0</v>
      </c>
      <c r="AO36" s="409">
        <f>ROUND(INDEX(販管費予算!$E$8:$I$8,MATCH(AO$3,販管費予算!$E$4:$I$4,0))/12,0)+IF(COUNTIF($AB$3:AO$3,AO$3)=12,INDEX(販管費予算!$E$8:$I$8,MATCH(AO$3,販管費予算!$E$4:$I$4,0))-12*ROUND(INDEX(販管費予算!$E$8:$I$8,MATCH(AO$3,販管費予算!$E$4:$I$4,0))/12,0),0)</f>
        <v>600000.0</v>
      </c>
      <c r="AP36" s="409">
        <f>ROUND(INDEX(販管費予算!$E$8:$I$8,MATCH(AP$3,販管費予算!$E$4:$I$4,0))/12,0)+IF(COUNTIF($AB$3:AP$3,AP$3)=12,INDEX(販管費予算!$E$8:$I$8,MATCH(AP$3,販管費予算!$E$4:$I$4,0))-12*ROUND(INDEX(販管費予算!$E$8:$I$8,MATCH(AP$3,販管費予算!$E$4:$I$4,0))/12,0),0)</f>
        <v>600000.0</v>
      </c>
      <c r="AQ36" s="409">
        <f>ROUND(INDEX(販管費予算!$E$8:$I$8,MATCH(AQ$3,販管費予算!$E$4:$I$4,0))/12,0)+IF(COUNTIF($AB$3:AQ$3,AQ$3)=12,INDEX(販管費予算!$E$8:$I$8,MATCH(AQ$3,販管費予算!$E$4:$I$4,0))-12*ROUND(INDEX(販管費予算!$E$8:$I$8,MATCH(AQ$3,販管費予算!$E$4:$I$4,0))/12,0),0)</f>
        <v>600000.0</v>
      </c>
      <c r="AR36" s="409">
        <f>ROUND(INDEX(販管費予算!$E$8:$I$8,MATCH(AR$3,販管費予算!$E$4:$I$4,0))/12,0)+IF(COUNTIF($AB$3:AR$3,AR$3)=12,INDEX(販管費予算!$E$8:$I$8,MATCH(AR$3,販管費予算!$E$4:$I$4,0))-12*ROUND(INDEX(販管費予算!$E$8:$I$8,MATCH(AR$3,販管費予算!$E$4:$I$4,0))/12,0),0)</f>
        <v>600000.0</v>
      </c>
      <c r="AS36" s="409">
        <f>ROUND(INDEX(販管費予算!$E$8:$I$8,MATCH(AS$3,販管費予算!$E$4:$I$4,0))/12,0)+IF(COUNTIF($AB$3:AS$3,AS$3)=12,INDEX(販管費予算!$E$8:$I$8,MATCH(AS$3,販管費予算!$E$4:$I$4,0))-12*ROUND(INDEX(販管費予算!$E$8:$I$8,MATCH(AS$3,販管費予算!$E$4:$I$4,0))/12,0),0)</f>
        <v>600000.0</v>
      </c>
      <c r="AT36" s="409">
        <f>ROUND(INDEX(販管費予算!$E$8:$I$8,MATCH(AT$3,販管費予算!$E$4:$I$4,0))/12,0)+IF(COUNTIF($AB$3:AT$3,AT$3)=12,INDEX(販管費予算!$E$8:$I$8,MATCH(AT$3,販管費予算!$E$4:$I$4,0))-12*ROUND(INDEX(販管費予算!$E$8:$I$8,MATCH(AT$3,販管費予算!$E$4:$I$4,0))/12,0),0)</f>
        <v>600000.0</v>
      </c>
      <c r="AU36" s="409">
        <f>ROUND(INDEX(販管費予算!$E$8:$I$8,MATCH(AU$3,販管費予算!$E$4:$I$4,0))/12,0)+IF(COUNTIF($AB$3:AU$3,AU$3)=12,INDEX(販管費予算!$E$8:$I$8,MATCH(AU$3,販管費予算!$E$4:$I$4,0))-12*ROUND(INDEX(販管費予算!$E$8:$I$8,MATCH(AU$3,販管費予算!$E$4:$I$4,0))/12,0),0)</f>
        <v>600000.0</v>
      </c>
      <c r="AV36" s="409">
        <f>ROUND(INDEX(販管費予算!$E$8:$I$8,MATCH(AV$3,販管費予算!$E$4:$I$4,0))/12,0)+IF(COUNTIF($AB$3:AV$3,AV$3)=12,INDEX(販管費予算!$E$8:$I$8,MATCH(AV$3,販管費予算!$E$4:$I$4,0))-12*ROUND(INDEX(販管費予算!$E$8:$I$8,MATCH(AV$3,販管費予算!$E$4:$I$4,0))/12,0),0)</f>
        <v>600000.0</v>
      </c>
      <c r="AW36" s="409">
        <f>ROUND(INDEX(販管費予算!$E$8:$I$8,MATCH(AW$3,販管費予算!$E$4:$I$4,0))/12,0)+IF(COUNTIF($AB$3:AW$3,AW$3)=12,INDEX(販管費予算!$E$8:$I$8,MATCH(AW$3,販管費予算!$E$4:$I$4,0))-12*ROUND(INDEX(販管費予算!$E$8:$I$8,MATCH(AW$3,販管費予算!$E$4:$I$4,0))/12,0),0)</f>
        <v>600000.0</v>
      </c>
      <c r="AX36" s="409">
        <f>ROUND(INDEX(販管費予算!$E$8:$I$8,MATCH(AX$3,販管費予算!$E$4:$I$4,0))/12,0)+IF(COUNTIF($AB$3:AX$3,AX$3)=12,INDEX(販管費予算!$E$8:$I$8,MATCH(AX$3,販管費予算!$E$4:$I$4,0))-12*ROUND(INDEX(販管費予算!$E$8:$I$8,MATCH(AX$3,販管費予算!$E$4:$I$4,0))/12,0),0)</f>
        <v>600000.0</v>
      </c>
      <c r="AY36" s="412">
        <f>ROUND(INDEX(販管費予算!$E$8:$I$8,MATCH(AY$3,販管費予算!$E$4:$I$4,0))/12,0)+IF(COUNTIF($AB$3:AY$3,AY$3)=12,INDEX(販管費予算!$E$8:$I$8,MATCH(AY$3,販管費予算!$E$4:$I$4,0))-12*ROUND(INDEX(販管費予算!$E$8:$I$8,MATCH(AY$3,販管費予算!$E$4:$I$4,0))/12,0),0)</f>
        <v>600000.0</v>
      </c>
      <c r="AZ36" s="408">
        <f>ROUND(INDEX(販管費予算!$E$8:$I$8,MATCH(AZ$3,販管費予算!$E$4:$I$4,0))/12,0)+IF(COUNTIF($AB$3:AZ$3,AZ$3)=12,INDEX(販管費予算!$E$8:$I$8,MATCH(AZ$3,販管費予算!$E$4:$I$4,0))-12*ROUND(INDEX(販管費予算!$E$8:$I$8,MATCH(AZ$3,販管費予算!$E$4:$I$4,0))/12,0),0)</f>
        <v>1200000.0</v>
      </c>
      <c r="BA36" s="409">
        <f>ROUND(INDEX(販管費予算!$E$8:$I$8,MATCH(BA$3,販管費予算!$E$4:$I$4,0))/12,0)+IF(COUNTIF($AB$3:BA$3,BA$3)=12,INDEX(販管費予算!$E$8:$I$8,MATCH(BA$3,販管費予算!$E$4:$I$4,0))-12*ROUND(INDEX(販管費予算!$E$8:$I$8,MATCH(BA$3,販管費予算!$E$4:$I$4,0))/12,0),0)</f>
        <v>1200000.0</v>
      </c>
      <c r="BB36" s="409">
        <f>ROUND(INDEX(販管費予算!$E$8:$I$8,MATCH(BB$3,販管費予算!$E$4:$I$4,0))/12,0)+IF(COUNTIF($AB$3:BB$3,BB$3)=12,INDEX(販管費予算!$E$8:$I$8,MATCH(BB$3,販管費予算!$E$4:$I$4,0))-12*ROUND(INDEX(販管費予算!$E$8:$I$8,MATCH(BB$3,販管費予算!$E$4:$I$4,0))/12,0),0)</f>
        <v>1200000.0</v>
      </c>
      <c r="BC36" s="409">
        <f>ROUND(INDEX(販管費予算!$E$8:$I$8,MATCH(BC$3,販管費予算!$E$4:$I$4,0))/12,0)+IF(COUNTIF($AB$3:BC$3,BC$3)=12,INDEX(販管費予算!$E$8:$I$8,MATCH(BC$3,販管費予算!$E$4:$I$4,0))-12*ROUND(INDEX(販管費予算!$E$8:$I$8,MATCH(BC$3,販管費予算!$E$4:$I$4,0))/12,0),0)</f>
        <v>1200000.0</v>
      </c>
      <c r="BD36" s="409">
        <f>ROUND(INDEX(販管費予算!$E$8:$I$8,MATCH(BD$3,販管費予算!$E$4:$I$4,0))/12,0)+IF(COUNTIF($AB$3:BD$3,BD$3)=12,INDEX(販管費予算!$E$8:$I$8,MATCH(BD$3,販管費予算!$E$4:$I$4,0))-12*ROUND(INDEX(販管費予算!$E$8:$I$8,MATCH(BD$3,販管費予算!$E$4:$I$4,0))/12,0),0)</f>
        <v>1200000.0</v>
      </c>
      <c r="BE36" s="409">
        <f>ROUND(INDEX(販管費予算!$E$8:$I$8,MATCH(BE$3,販管費予算!$E$4:$I$4,0))/12,0)+IF(COUNTIF($AB$3:BE$3,BE$3)=12,INDEX(販管費予算!$E$8:$I$8,MATCH(BE$3,販管費予算!$E$4:$I$4,0))-12*ROUND(INDEX(販管費予算!$E$8:$I$8,MATCH(BE$3,販管費予算!$E$4:$I$4,0))/12,0),0)</f>
        <v>1200000.0</v>
      </c>
      <c r="BF36" s="409">
        <f>ROUND(INDEX(販管費予算!$E$8:$I$8,MATCH(BF$3,販管費予算!$E$4:$I$4,0))/12,0)+IF(COUNTIF($AB$3:BF$3,BF$3)=12,INDEX(販管費予算!$E$8:$I$8,MATCH(BF$3,販管費予算!$E$4:$I$4,0))-12*ROUND(INDEX(販管費予算!$E$8:$I$8,MATCH(BF$3,販管費予算!$E$4:$I$4,0))/12,0),0)</f>
        <v>1200000.0</v>
      </c>
      <c r="BG36" s="409">
        <f>ROUND(INDEX(販管費予算!$E$8:$I$8,MATCH(BG$3,販管費予算!$E$4:$I$4,0))/12,0)+IF(COUNTIF($AB$3:BG$3,BG$3)=12,INDEX(販管費予算!$E$8:$I$8,MATCH(BG$3,販管費予算!$E$4:$I$4,0))-12*ROUND(INDEX(販管費予算!$E$8:$I$8,MATCH(BG$3,販管費予算!$E$4:$I$4,0))/12,0),0)</f>
        <v>1200000.0</v>
      </c>
      <c r="BH36" s="409">
        <f>ROUND(INDEX(販管費予算!$E$8:$I$8,MATCH(BH$3,販管費予算!$E$4:$I$4,0))/12,0)+IF(COUNTIF($AB$3:BH$3,BH$3)=12,INDEX(販管費予算!$E$8:$I$8,MATCH(BH$3,販管費予算!$E$4:$I$4,0))-12*ROUND(INDEX(販管費予算!$E$8:$I$8,MATCH(BH$3,販管費予算!$E$4:$I$4,0))/12,0),0)</f>
        <v>1200000.0</v>
      </c>
      <c r="BI36" s="409">
        <f>ROUND(INDEX(販管費予算!$E$8:$I$8,MATCH(BI$3,販管費予算!$E$4:$I$4,0))/12,0)+IF(COUNTIF($AB$3:BI$3,BI$3)=12,INDEX(販管費予算!$E$8:$I$8,MATCH(BI$3,販管費予算!$E$4:$I$4,0))-12*ROUND(INDEX(販管費予算!$E$8:$I$8,MATCH(BI$3,販管費予算!$E$4:$I$4,0))/12,0),0)</f>
        <v>1200000.0</v>
      </c>
      <c r="BJ36" s="409">
        <f>ROUND(INDEX(販管費予算!$E$8:$I$8,MATCH(BJ$3,販管費予算!$E$4:$I$4,0))/12,0)+IF(COUNTIF($AB$3:BJ$3,BJ$3)=12,INDEX(販管費予算!$E$8:$I$8,MATCH(BJ$3,販管費予算!$E$4:$I$4,0))-12*ROUND(INDEX(販管費予算!$E$8:$I$8,MATCH(BJ$3,販管費予算!$E$4:$I$4,0))/12,0),0)</f>
        <v>1200000.0</v>
      </c>
      <c r="BK36" s="412">
        <f>ROUND(INDEX(販管費予算!$E$8:$I$8,MATCH(BK$3,販管費予算!$E$4:$I$4,0))/12,0)+IF(COUNTIF($AB$3:BK$3,BK$3)=12,INDEX(販管費予算!$E$8:$I$8,MATCH(BK$3,販管費予算!$E$4:$I$4,0))-12*ROUND(INDEX(販管費予算!$E$8:$I$8,MATCH(BK$3,販管費予算!$E$4:$I$4,0))/12,0),0)</f>
        <v>1200000.0</v>
      </c>
      <c r="BL36" s="408">
        <f>ROUND(INDEX(販管費予算!$E$8:$I$8,MATCH(BL$3,販管費予算!$E$4:$I$4,0))/12,0)+IF(COUNTIF($AB$3:BL$3,BL$3)=12,INDEX(販管費予算!$E$8:$I$8,MATCH(BL$3,販管費予算!$E$4:$I$4,0))-12*ROUND(INDEX(販管費予算!$E$8:$I$8,MATCH(BL$3,販管費予算!$E$4:$I$4,0))/12,0),0)</f>
        <v>1833333.0</v>
      </c>
      <c r="BM36" s="409">
        <f>ROUND(INDEX(販管費予算!$E$8:$I$8,MATCH(BM$3,販管費予算!$E$4:$I$4,0))/12,0)+IF(COUNTIF($AB$3:BM$3,BM$3)=12,INDEX(販管費予算!$E$8:$I$8,MATCH(BM$3,販管費予算!$E$4:$I$4,0))-12*ROUND(INDEX(販管費予算!$E$8:$I$8,MATCH(BM$3,販管費予算!$E$4:$I$4,0))/12,0),0)</f>
        <v>1833333.0</v>
      </c>
      <c r="BN36" s="409">
        <f>ROUND(INDEX(販管費予算!$E$8:$I$8,MATCH(BN$3,販管費予算!$E$4:$I$4,0))/12,0)+IF(COUNTIF($AB$3:BN$3,BN$3)=12,INDEX(販管費予算!$E$8:$I$8,MATCH(BN$3,販管費予算!$E$4:$I$4,0))-12*ROUND(INDEX(販管費予算!$E$8:$I$8,MATCH(BN$3,販管費予算!$E$4:$I$4,0))/12,0),0)</f>
        <v>1833333.0</v>
      </c>
      <c r="BO36" s="409">
        <f>ROUND(INDEX(販管費予算!$E$8:$I$8,MATCH(BO$3,販管費予算!$E$4:$I$4,0))/12,0)+IF(COUNTIF($AB$3:BO$3,BO$3)=12,INDEX(販管費予算!$E$8:$I$8,MATCH(BO$3,販管費予算!$E$4:$I$4,0))-12*ROUND(INDEX(販管費予算!$E$8:$I$8,MATCH(BO$3,販管費予算!$E$4:$I$4,0))/12,0),0)</f>
        <v>1833333.0</v>
      </c>
      <c r="BP36" s="409">
        <f>ROUND(INDEX(販管費予算!$E$8:$I$8,MATCH(BP$3,販管費予算!$E$4:$I$4,0))/12,0)+IF(COUNTIF($AB$3:BP$3,BP$3)=12,INDEX(販管費予算!$E$8:$I$8,MATCH(BP$3,販管費予算!$E$4:$I$4,0))-12*ROUND(INDEX(販管費予算!$E$8:$I$8,MATCH(BP$3,販管費予算!$E$4:$I$4,0))/12,0),0)</f>
        <v>1833333.0</v>
      </c>
      <c r="BQ36" s="409">
        <f>ROUND(INDEX(販管費予算!$E$8:$I$8,MATCH(BQ$3,販管費予算!$E$4:$I$4,0))/12,0)+IF(COUNTIF($AB$3:BQ$3,BQ$3)=12,INDEX(販管費予算!$E$8:$I$8,MATCH(BQ$3,販管費予算!$E$4:$I$4,0))-12*ROUND(INDEX(販管費予算!$E$8:$I$8,MATCH(BQ$3,販管費予算!$E$4:$I$4,0))/12,0),0)</f>
        <v>1833333.0</v>
      </c>
      <c r="BR36" s="409">
        <f>ROUND(INDEX(販管費予算!$E$8:$I$8,MATCH(BR$3,販管費予算!$E$4:$I$4,0))/12,0)+IF(COUNTIF($AB$3:BR$3,BR$3)=12,INDEX(販管費予算!$E$8:$I$8,MATCH(BR$3,販管費予算!$E$4:$I$4,0))-12*ROUND(INDEX(販管費予算!$E$8:$I$8,MATCH(BR$3,販管費予算!$E$4:$I$4,0))/12,0),0)</f>
        <v>1833333.0</v>
      </c>
      <c r="BS36" s="409">
        <f>ROUND(INDEX(販管費予算!$E$8:$I$8,MATCH(BS$3,販管費予算!$E$4:$I$4,0))/12,0)+IF(COUNTIF($AB$3:BS$3,BS$3)=12,INDEX(販管費予算!$E$8:$I$8,MATCH(BS$3,販管費予算!$E$4:$I$4,0))-12*ROUND(INDEX(販管費予算!$E$8:$I$8,MATCH(BS$3,販管費予算!$E$4:$I$4,0))/12,0),0)</f>
        <v>1833333.0</v>
      </c>
      <c r="BT36" s="409">
        <f>ROUND(INDEX(販管費予算!$E$8:$I$8,MATCH(BT$3,販管費予算!$E$4:$I$4,0))/12,0)+IF(COUNTIF($AB$3:BT$3,BT$3)=12,INDEX(販管費予算!$E$8:$I$8,MATCH(BT$3,販管費予算!$E$4:$I$4,0))-12*ROUND(INDEX(販管費予算!$E$8:$I$8,MATCH(BT$3,販管費予算!$E$4:$I$4,0))/12,0),0)</f>
        <v>1833333.0</v>
      </c>
      <c r="BU36" s="409">
        <f>ROUND(INDEX(販管費予算!$E$8:$I$8,MATCH(BU$3,販管費予算!$E$4:$I$4,0))/12,0)+IF(COUNTIF($AB$3:BU$3,BU$3)=12,INDEX(販管費予算!$E$8:$I$8,MATCH(BU$3,販管費予算!$E$4:$I$4,0))-12*ROUND(INDEX(販管費予算!$E$8:$I$8,MATCH(BU$3,販管費予算!$E$4:$I$4,0))/12,0),0)</f>
        <v>1833333.0</v>
      </c>
      <c r="BV36" s="409">
        <f>ROUND(INDEX(販管費予算!$E$8:$I$8,MATCH(BV$3,販管費予算!$E$4:$I$4,0))/12,0)+IF(COUNTIF($AB$3:BV$3,BV$3)=12,INDEX(販管費予算!$E$8:$I$8,MATCH(BV$3,販管費予算!$E$4:$I$4,0))-12*ROUND(INDEX(販管費予算!$E$8:$I$8,MATCH(BV$3,販管費予算!$E$4:$I$4,0))/12,0),0)</f>
        <v>1833333.0</v>
      </c>
      <c r="BW36" s="412">
        <f>ROUND(INDEX(販管費予算!$E$8:$I$8,MATCH(BW$3,販管費予算!$E$4:$I$4,0))/12,0)+IF(COUNTIF($AB$3:BW$3,BW$3)=12,INDEX(販管費予算!$E$8:$I$8,MATCH(BW$3,販管費予算!$E$4:$I$4,0))-12*ROUND(INDEX(販管費予算!$E$8:$I$8,MATCH(BW$3,販管費予算!$E$4:$I$4,0))/12,0),0)</f>
        <v>1833337.0</v>
      </c>
      <c r="BX36" s="408">
        <f>ROUND(INDEX(販管費予算!$E$8:$I$8,MATCH(BX$3,販管費予算!$E$4:$I$4,0))/12,0)+IF(COUNTIF($AB$3:BX$3,BX$3)=12,INDEX(販管費予算!$E$8:$I$8,MATCH(BX$3,販管費予算!$E$4:$I$4,0))-12*ROUND(INDEX(販管費予算!$E$8:$I$8,MATCH(BX$3,販管費予算!$E$4:$I$4,0))/12,0),0)</f>
        <v>3166667.0</v>
      </c>
      <c r="BY36" s="409">
        <f>ROUND(INDEX(販管費予算!$E$8:$I$8,MATCH(BY$3,販管費予算!$E$4:$I$4,0))/12,0)+IF(COUNTIF($AB$3:BY$3,BY$3)=12,INDEX(販管費予算!$E$8:$I$8,MATCH(BY$3,販管費予算!$E$4:$I$4,0))-12*ROUND(INDEX(販管費予算!$E$8:$I$8,MATCH(BY$3,販管費予算!$E$4:$I$4,0))/12,0),0)</f>
        <v>3166667.0</v>
      </c>
      <c r="BZ36" s="409">
        <f>ROUND(INDEX(販管費予算!$E$8:$I$8,MATCH(BZ$3,販管費予算!$E$4:$I$4,0))/12,0)+IF(COUNTIF($AB$3:BZ$3,BZ$3)=12,INDEX(販管費予算!$E$8:$I$8,MATCH(BZ$3,販管費予算!$E$4:$I$4,0))-12*ROUND(INDEX(販管費予算!$E$8:$I$8,MATCH(BZ$3,販管費予算!$E$4:$I$4,0))/12,0),0)</f>
        <v>3166667.0</v>
      </c>
      <c r="CA36" s="409">
        <f>ROUND(INDEX(販管費予算!$E$8:$I$8,MATCH(CA$3,販管費予算!$E$4:$I$4,0))/12,0)+IF(COUNTIF($AB$3:CA$3,CA$3)=12,INDEX(販管費予算!$E$8:$I$8,MATCH(CA$3,販管費予算!$E$4:$I$4,0))-12*ROUND(INDEX(販管費予算!$E$8:$I$8,MATCH(CA$3,販管費予算!$E$4:$I$4,0))/12,0),0)</f>
        <v>3166667.0</v>
      </c>
      <c r="CB36" s="409">
        <f>ROUND(INDEX(販管費予算!$E$8:$I$8,MATCH(CB$3,販管費予算!$E$4:$I$4,0))/12,0)+IF(COUNTIF($AB$3:CB$3,CB$3)=12,INDEX(販管費予算!$E$8:$I$8,MATCH(CB$3,販管費予算!$E$4:$I$4,0))-12*ROUND(INDEX(販管費予算!$E$8:$I$8,MATCH(CB$3,販管費予算!$E$4:$I$4,0))/12,0),0)</f>
        <v>3166667.0</v>
      </c>
      <c r="CC36" s="409">
        <f>ROUND(INDEX(販管費予算!$E$8:$I$8,MATCH(CC$3,販管費予算!$E$4:$I$4,0))/12,0)+IF(COUNTIF($AB$3:CC$3,CC$3)=12,INDEX(販管費予算!$E$8:$I$8,MATCH(CC$3,販管費予算!$E$4:$I$4,0))-12*ROUND(INDEX(販管費予算!$E$8:$I$8,MATCH(CC$3,販管費予算!$E$4:$I$4,0))/12,0),0)</f>
        <v>3166667.0</v>
      </c>
      <c r="CD36" s="409">
        <f>ROUND(INDEX(販管費予算!$E$8:$I$8,MATCH(CD$3,販管費予算!$E$4:$I$4,0))/12,0)+IF(COUNTIF($AB$3:CD$3,CD$3)=12,INDEX(販管費予算!$E$8:$I$8,MATCH(CD$3,販管費予算!$E$4:$I$4,0))-12*ROUND(INDEX(販管費予算!$E$8:$I$8,MATCH(CD$3,販管費予算!$E$4:$I$4,0))/12,0),0)</f>
        <v>3166667.0</v>
      </c>
      <c r="CE36" s="409">
        <f>ROUND(INDEX(販管費予算!$E$8:$I$8,MATCH(CE$3,販管費予算!$E$4:$I$4,0))/12,0)+IF(COUNTIF($AB$3:CE$3,CE$3)=12,INDEX(販管費予算!$E$8:$I$8,MATCH(CE$3,販管費予算!$E$4:$I$4,0))-12*ROUND(INDEX(販管費予算!$E$8:$I$8,MATCH(CE$3,販管費予算!$E$4:$I$4,0))/12,0),0)</f>
        <v>3166667.0</v>
      </c>
      <c r="CF36" s="409">
        <f>ROUND(INDEX(販管費予算!$E$8:$I$8,MATCH(CF$3,販管費予算!$E$4:$I$4,0))/12,0)+IF(COUNTIF($AB$3:CF$3,CF$3)=12,INDEX(販管費予算!$E$8:$I$8,MATCH(CF$3,販管費予算!$E$4:$I$4,0))-12*ROUND(INDEX(販管費予算!$E$8:$I$8,MATCH(CF$3,販管費予算!$E$4:$I$4,0))/12,0),0)</f>
        <v>3166667.0</v>
      </c>
      <c r="CG36" s="409">
        <f>ROUND(INDEX(販管費予算!$E$8:$I$8,MATCH(CG$3,販管費予算!$E$4:$I$4,0))/12,0)+IF(COUNTIF($AB$3:CG$3,CG$3)=12,INDEX(販管費予算!$E$8:$I$8,MATCH(CG$3,販管費予算!$E$4:$I$4,0))-12*ROUND(INDEX(販管費予算!$E$8:$I$8,MATCH(CG$3,販管費予算!$E$4:$I$4,0))/12,0),0)</f>
        <v>3166667.0</v>
      </c>
      <c r="CH36" s="409">
        <f>ROUND(INDEX(販管費予算!$E$8:$I$8,MATCH(CH$3,販管費予算!$E$4:$I$4,0))/12,0)+IF(COUNTIF($AB$3:CH$3,CH$3)=12,INDEX(販管費予算!$E$8:$I$8,MATCH(CH$3,販管費予算!$E$4:$I$4,0))-12*ROUND(INDEX(販管費予算!$E$8:$I$8,MATCH(CH$3,販管費予算!$E$4:$I$4,0))/12,0),0)</f>
        <v>3166667.0</v>
      </c>
      <c r="CI36" s="412">
        <f>ROUND(INDEX(販管費予算!$E$8:$I$8,MATCH(CI$3,販管費予算!$E$4:$I$4,0))/12,0)+IF(COUNTIF($AB$3:CI$3,CI$3)=12,INDEX(販管費予算!$E$8:$I$8,MATCH(CI$3,販管費予算!$E$4:$I$4,0))-12*ROUND(INDEX(販管費予算!$E$8:$I$8,MATCH(CI$3,販管費予算!$E$4:$I$4,0))/12,0),0)</f>
        <v>3166663.0</v>
      </c>
    </row>
    <row r="37" ht="18" customHeight="1" s="145">
      <c r="A37" s="233" t="n"/>
      <c r="B37" s="233" t="n"/>
      <c r="C37" s="233" t="inlineStr">
        <is>
          <t>SaaS</t>
        </is>
      </c>
      <c r="D37" s="234" t="n"/>
      <c r="E37" s="408">
        <f>SUMIF($AB$3:$CI$3,E$4,$AB37:$CI37)</f>
        <v>0.0</v>
      </c>
      <c r="F37" s="409">
        <f>SUMIF($AB$3:$CI$3,F$4,$AB37:$CI37)</f>
        <v>0.0</v>
      </c>
      <c r="G37" s="409">
        <f>SUMIF($AB$3:$CI$3,G$4,$AB37:$CI37)</f>
        <v>0.0</v>
      </c>
      <c r="H37" s="409">
        <f>SUMIF($AB$3:$CI$3,H$4,$AB37:$CI37)</f>
        <v>0.0</v>
      </c>
      <c r="I37" s="409">
        <f>SUMIF($AB$3:$CI$3,I$4,$AB37:$CI37)</f>
        <v>0.0</v>
      </c>
      <c r="J37" s="407">
        <f>SUM(E37:I37)</f>
        <v>0.0</v>
      </c>
      <c r="K37" s="407">
        <f>SUMIF($Q$3:$CN$3,K$4,$Q37:$CN37)</f>
        <v>0.0</v>
      </c>
      <c r="L37" s="407">
        <f>SUMIF($Q$3:$CN$3,L$4,$Q37:$CN37)</f>
        <v>0.0</v>
      </c>
      <c r="M37" s="407">
        <f>SUMIF($Q$3:$CN$3,M$4,$Q37:$CN37)</f>
        <v>0.0</v>
      </c>
      <c r="N37" s="407">
        <f>SUMIF($Q$3:$CN$3,N$4,$Q37:$CN37)</f>
        <v>0.0</v>
      </c>
      <c r="O37" s="235" t="n"/>
      <c r="P37" s="408" t="n"/>
      <c r="Q37" s="409" t="n"/>
      <c r="R37" s="409" t="n"/>
      <c r="S37" s="409" t="n"/>
      <c r="T37" s="409" t="n"/>
      <c r="U37" s="409" t="n"/>
      <c r="V37" s="409" t="n"/>
      <c r="W37" s="409" t="n"/>
      <c r="X37" s="409" t="n"/>
      <c r="Y37" s="409" t="n"/>
      <c r="Z37" s="409" t="n"/>
      <c r="AA37" s="412" t="n"/>
      <c r="AB37" s="408" t="n"/>
      <c r="AC37" s="409" t="n"/>
      <c r="AD37" s="409" t="n"/>
      <c r="AE37" s="409" t="n"/>
      <c r="AF37" s="409" t="n"/>
      <c r="AG37" s="409" t="n"/>
      <c r="AH37" s="409" t="n"/>
      <c r="AI37" s="409" t="n"/>
      <c r="AJ37" s="409" t="n"/>
      <c r="AK37" s="409" t="n"/>
      <c r="AL37" s="409" t="n"/>
      <c r="AM37" s="412" t="n"/>
      <c r="AN37" s="408" t="n"/>
      <c r="AO37" s="409" t="n"/>
      <c r="AP37" s="409" t="n"/>
      <c r="AQ37" s="409" t="n"/>
      <c r="AR37" s="409" t="n"/>
      <c r="AS37" s="409" t="n"/>
      <c r="AT37" s="409" t="n"/>
      <c r="AU37" s="409" t="n"/>
      <c r="AV37" s="409" t="n"/>
      <c r="AW37" s="409" t="n"/>
      <c r="AX37" s="409" t="n"/>
      <c r="AY37" s="412" t="n"/>
      <c r="AZ37" s="408" t="n"/>
      <c r="BA37" s="409" t="n"/>
      <c r="BB37" s="409" t="n"/>
      <c r="BC37" s="409" t="n"/>
      <c r="BD37" s="409" t="n"/>
      <c r="BE37" s="409" t="n"/>
      <c r="BF37" s="409" t="n"/>
      <c r="BG37" s="409" t="n"/>
      <c r="BH37" s="409" t="n"/>
      <c r="BI37" s="409" t="n"/>
      <c r="BJ37" s="409" t="n"/>
      <c r="BK37" s="412" t="n"/>
      <c r="BL37" s="408" t="n"/>
      <c r="BM37" s="409" t="n"/>
      <c r="BN37" s="409" t="n"/>
      <c r="BO37" s="409" t="n"/>
      <c r="BP37" s="409" t="n"/>
      <c r="BQ37" s="409" t="n"/>
      <c r="BR37" s="409" t="n"/>
      <c r="BS37" s="409" t="n"/>
      <c r="BT37" s="409" t="n"/>
      <c r="BU37" s="409" t="n"/>
      <c r="BV37" s="409" t="n"/>
      <c r="BW37" s="412" t="n"/>
      <c r="BX37" s="408" t="n"/>
      <c r="BY37" s="409" t="n"/>
      <c r="BZ37" s="409" t="n"/>
      <c r="CA37" s="409" t="n"/>
      <c r="CB37" s="409" t="n"/>
      <c r="CC37" s="409" t="n"/>
      <c r="CD37" s="409" t="n"/>
      <c r="CE37" s="409" t="n"/>
      <c r="CF37" s="409" t="n"/>
      <c r="CG37" s="409" t="n"/>
      <c r="CH37" s="409" t="n"/>
      <c r="CI37" s="412" t="n"/>
    </row>
    <row r="38" ht="18" customHeight="1" s="145">
      <c r="A38" s="233" t="n"/>
      <c r="B38" s="233" t="n"/>
      <c r="C38" s="233" t="inlineStr">
        <is>
          <t>事業・組織再生コンサル</t>
        </is>
      </c>
      <c r="D38" s="234" t="n"/>
      <c r="E38" s="408">
        <f>SUMIF($AB$3:$CI$3,E$4,$AB38:$CI38)</f>
        <v>0.0</v>
      </c>
      <c r="F38" s="409">
        <f>SUMIF($AB$3:$CI$3,F$4,$AB38:$CI38)</f>
        <v>0.0</v>
      </c>
      <c r="G38" s="409">
        <f>SUMIF($AB$3:$CI$3,G$4,$AB38:$CI38)</f>
        <v>0.0</v>
      </c>
      <c r="H38" s="409">
        <f>SUMIF($AB$3:$CI$3,H$4,$AB38:$CI38)</f>
        <v>0.0</v>
      </c>
      <c r="I38" s="409">
        <f>SUMIF($AB$3:$CI$3,I$4,$AB38:$CI38)</f>
        <v>0.0</v>
      </c>
      <c r="J38" s="407">
        <f>SUM(E38:I38)</f>
        <v>0.0</v>
      </c>
      <c r="K38" s="407">
        <f>SUMIF($Q$3:$CN$3,K$4,$Q38:$CN38)</f>
        <v>0.0</v>
      </c>
      <c r="L38" s="407">
        <f>SUMIF($Q$3:$CN$3,L$4,$Q38:$CN38)</f>
        <v>0.0</v>
      </c>
      <c r="M38" s="407">
        <f>SUMIF($Q$3:$CN$3,M$4,$Q38:$CN38)</f>
        <v>0.0</v>
      </c>
      <c r="N38" s="407">
        <f>SUMIF($Q$3:$CN$3,N$4,$Q38:$CN38)</f>
        <v>0.0</v>
      </c>
      <c r="O38" s="235" t="n"/>
      <c r="P38" s="408" t="n"/>
      <c r="Q38" s="409" t="n"/>
      <c r="R38" s="409" t="n"/>
      <c r="S38" s="409" t="n"/>
      <c r="T38" s="409" t="n"/>
      <c r="U38" s="409" t="n"/>
      <c r="V38" s="409" t="n"/>
      <c r="W38" s="409" t="n"/>
      <c r="X38" s="409" t="n"/>
      <c r="Y38" s="409" t="n"/>
      <c r="Z38" s="409" t="n"/>
      <c r="AA38" s="412" t="n"/>
      <c r="AB38" s="408" t="n"/>
      <c r="AC38" s="409" t="n"/>
      <c r="AD38" s="409" t="n"/>
      <c r="AE38" s="409" t="n"/>
      <c r="AF38" s="409" t="n"/>
      <c r="AG38" s="409" t="n"/>
      <c r="AH38" s="409" t="n"/>
      <c r="AI38" s="409" t="n"/>
      <c r="AJ38" s="409" t="n"/>
      <c r="AK38" s="409" t="n"/>
      <c r="AL38" s="409" t="n"/>
      <c r="AM38" s="412" t="n"/>
      <c r="AN38" s="408" t="n"/>
      <c r="AO38" s="409" t="n"/>
      <c r="AP38" s="409" t="n"/>
      <c r="AQ38" s="409" t="n"/>
      <c r="AR38" s="409" t="n"/>
      <c r="AS38" s="409" t="n"/>
      <c r="AT38" s="409" t="n"/>
      <c r="AU38" s="409" t="n"/>
      <c r="AV38" s="409" t="n"/>
      <c r="AW38" s="409" t="n"/>
      <c r="AX38" s="409" t="n"/>
      <c r="AY38" s="412" t="n"/>
      <c r="AZ38" s="408" t="n"/>
      <c r="BA38" s="409" t="n"/>
      <c r="BB38" s="409" t="n"/>
      <c r="BC38" s="409" t="n"/>
      <c r="BD38" s="409" t="n"/>
      <c r="BE38" s="409" t="n"/>
      <c r="BF38" s="409" t="n"/>
      <c r="BG38" s="409" t="n"/>
      <c r="BH38" s="409" t="n"/>
      <c r="BI38" s="409" t="n"/>
      <c r="BJ38" s="409" t="n"/>
      <c r="BK38" s="412" t="n"/>
      <c r="BL38" s="408" t="n"/>
      <c r="BM38" s="409" t="n"/>
      <c r="BN38" s="409" t="n"/>
      <c r="BO38" s="409" t="n"/>
      <c r="BP38" s="409" t="n"/>
      <c r="BQ38" s="409" t="n"/>
      <c r="BR38" s="409" t="n"/>
      <c r="BS38" s="409" t="n"/>
      <c r="BT38" s="409" t="n"/>
      <c r="BU38" s="409" t="n"/>
      <c r="BV38" s="409" t="n"/>
      <c r="BW38" s="412" t="n"/>
      <c r="BX38" s="408" t="n"/>
      <c r="BY38" s="409" t="n"/>
      <c r="BZ38" s="409" t="n"/>
      <c r="CA38" s="409" t="n"/>
      <c r="CB38" s="409" t="n"/>
      <c r="CC38" s="409" t="n"/>
      <c r="CD38" s="409" t="n"/>
      <c r="CE38" s="409" t="n"/>
      <c r="CF38" s="409" t="n"/>
      <c r="CG38" s="409" t="n"/>
      <c r="CH38" s="409" t="n"/>
      <c r="CI38" s="412" t="n"/>
    </row>
    <row r="39" ht="18" customHeight="1" s="145">
      <c r="A39" s="233" t="n"/>
      <c r="B39" s="325" t="inlineStr">
        <is>
          <t>福利厚生費</t>
        </is>
      </c>
      <c r="C39" s="325" t="n"/>
      <c r="D39" s="326" t="n"/>
      <c r="E39" s="469">
        <f>SUMIF($AB$3:$CI$3,E$4,$AB39:$CI39)</f>
        <v>300000.0</v>
      </c>
      <c r="F39" s="470">
        <f>SUMIF($AB$3:$CI$3,F$4,$AB39:$CI39)</f>
        <v>600000.0</v>
      </c>
      <c r="G39" s="470">
        <f>SUMIF($AB$3:$CI$3,G$4,$AB39:$CI39)</f>
        <v>1200000.0</v>
      </c>
      <c r="H39" s="470">
        <f>SUMIF($AB$3:$CI$3,H$4,$AB39:$CI39)</f>
        <v>2000000.0</v>
      </c>
      <c r="I39" s="470">
        <f>SUMIF($AB$3:$CI$3,I$4,$AB39:$CI39)</f>
        <v>3500000.0</v>
      </c>
      <c r="J39" s="478">
        <f>SUM(E39:I39)</f>
        <v>7600000.0</v>
      </c>
      <c r="K39" s="478">
        <f>SUMIF($Q$3:$CN$3,K$4,$Q39:$CN39)</f>
        <v>0.0</v>
      </c>
      <c r="L39" s="478">
        <f>SUMIF($Q$3:$CN$3,L$4,$Q39:$CN39)</f>
        <v>0.0</v>
      </c>
      <c r="M39" s="478">
        <f>SUMIF($Q$3:$CN$3,M$4,$Q39:$CN39)</f>
        <v>0.0</v>
      </c>
      <c r="N39" s="478">
        <f>SUMIF($Q$3:$CN$3,N$4,$Q39:$CN39)</f>
        <v>0.0</v>
      </c>
      <c r="O39" s="316" t="n"/>
      <c r="P39" s="469" t="n"/>
      <c r="Q39" s="470" t="n"/>
      <c r="R39" s="470" t="n"/>
      <c r="S39" s="470" t="n"/>
      <c r="T39" s="470" t="n"/>
      <c r="U39" s="470" t="n"/>
      <c r="V39" s="470" t="n"/>
      <c r="W39" s="470" t="n"/>
      <c r="X39" s="470" t="n"/>
      <c r="Y39" s="470" t="n"/>
      <c r="Z39" s="470" t="n"/>
      <c r="AA39" s="471" t="n"/>
      <c r="AB39" s="479">
        <f>SUM(AB40:AB42)</f>
        <v>25000.0</v>
      </c>
      <c r="AC39" s="480">
        <f>SUM(AC40:AC42)</f>
        <v>25000.0</v>
      </c>
      <c r="AD39" s="480">
        <f>SUM(AD40:AD42)</f>
        <v>25000.0</v>
      </c>
      <c r="AE39" s="480">
        <f>SUM(AE40:AE42)</f>
        <v>25000.0</v>
      </c>
      <c r="AF39" s="480">
        <f>SUM(AF40:AF42)</f>
        <v>25000.0</v>
      </c>
      <c r="AG39" s="470">
        <f>SUM(AG40:AG42)</f>
        <v>25000.0</v>
      </c>
      <c r="AH39" s="470">
        <f>SUM(AH40:AH42)</f>
        <v>25000.0</v>
      </c>
      <c r="AI39" s="470">
        <f>SUM(AI40:AI42)</f>
        <v>25000.0</v>
      </c>
      <c r="AJ39" s="470">
        <f>SUM(AJ40:AJ42)</f>
        <v>25000.0</v>
      </c>
      <c r="AK39" s="470">
        <f>SUM(AK40:AK42)</f>
        <v>25000.0</v>
      </c>
      <c r="AL39" s="470">
        <f>SUM(AL40:AL42)</f>
        <v>25000.0</v>
      </c>
      <c r="AM39" s="471">
        <f>SUM(AM40:AM42)</f>
        <v>25000.0</v>
      </c>
      <c r="AN39" s="469">
        <f>SUM(AN40:AN42)</f>
        <v>50000.0</v>
      </c>
      <c r="AO39" s="470">
        <f>SUM(AO40:AO42)</f>
        <v>50000.0</v>
      </c>
      <c r="AP39" s="470">
        <f>SUM(AP40:AP42)</f>
        <v>50000.0</v>
      </c>
      <c r="AQ39" s="470">
        <f>SUM(AQ40:AQ42)</f>
        <v>50000.0</v>
      </c>
      <c r="AR39" s="470">
        <f>SUM(AR40:AR42)</f>
        <v>50000.0</v>
      </c>
      <c r="AS39" s="470">
        <f>SUM(AS40:AS42)</f>
        <v>50000.0</v>
      </c>
      <c r="AT39" s="470">
        <f>SUM(AT40:AT42)</f>
        <v>50000.0</v>
      </c>
      <c r="AU39" s="470">
        <f>SUM(AU40:AU42)</f>
        <v>50000.0</v>
      </c>
      <c r="AV39" s="470">
        <f>SUM(AV40:AV42)</f>
        <v>50000.0</v>
      </c>
      <c r="AW39" s="470">
        <f>SUM(AW40:AW42)</f>
        <v>50000.0</v>
      </c>
      <c r="AX39" s="470">
        <f>SUM(AX40:AX42)</f>
        <v>50000.0</v>
      </c>
      <c r="AY39" s="471">
        <f>SUM(AY40:AY42)</f>
        <v>50000.0</v>
      </c>
      <c r="AZ39" s="469">
        <f>SUM(AZ40:AZ42)</f>
        <v>100000.0</v>
      </c>
      <c r="BA39" s="470">
        <f>SUM(BA40:BA42)</f>
        <v>100000.0</v>
      </c>
      <c r="BB39" s="470">
        <f>SUM(BB40:BB42)</f>
        <v>100000.0</v>
      </c>
      <c r="BC39" s="470">
        <f>SUM(BC40:BC42)</f>
        <v>100000.0</v>
      </c>
      <c r="BD39" s="470">
        <f>SUM(BD40:BD42)</f>
        <v>100000.0</v>
      </c>
      <c r="BE39" s="470">
        <f>SUM(BE40:BE42)</f>
        <v>100000.0</v>
      </c>
      <c r="BF39" s="470">
        <f>SUM(BF40:BF42)</f>
        <v>100000.0</v>
      </c>
      <c r="BG39" s="470">
        <f>SUM(BG40:BG42)</f>
        <v>100000.0</v>
      </c>
      <c r="BH39" s="470">
        <f>SUM(BH40:BH42)</f>
        <v>100000.0</v>
      </c>
      <c r="BI39" s="470">
        <f>SUM(BI40:BI42)</f>
        <v>100000.0</v>
      </c>
      <c r="BJ39" s="470">
        <f>SUM(BJ40:BJ42)</f>
        <v>100000.0</v>
      </c>
      <c r="BK39" s="471">
        <f>SUM(BK40:BK42)</f>
        <v>100000.0</v>
      </c>
      <c r="BL39" s="469">
        <f>SUM(BL40:BL42)</f>
        <v>166667.0</v>
      </c>
      <c r="BM39" s="470">
        <f>SUM(BM40:BM42)</f>
        <v>166667.0</v>
      </c>
      <c r="BN39" s="470">
        <f>SUM(BN40:BN42)</f>
        <v>166667.0</v>
      </c>
      <c r="BO39" s="470">
        <f>SUM(BO40:BO42)</f>
        <v>166667.0</v>
      </c>
      <c r="BP39" s="470">
        <f>SUM(BP40:BP42)</f>
        <v>166667.0</v>
      </c>
      <c r="BQ39" s="470">
        <f>SUM(BQ40:BQ42)</f>
        <v>166667.0</v>
      </c>
      <c r="BR39" s="470">
        <f>SUM(BR40:BR42)</f>
        <v>166667.0</v>
      </c>
      <c r="BS39" s="470">
        <f>SUM(BS40:BS42)</f>
        <v>166667.0</v>
      </c>
      <c r="BT39" s="470">
        <f>SUM(BT40:BT42)</f>
        <v>166667.0</v>
      </c>
      <c r="BU39" s="470">
        <f>SUM(BU40:BU42)</f>
        <v>166667.0</v>
      </c>
      <c r="BV39" s="470">
        <f>SUM(BV40:BV42)</f>
        <v>166667.0</v>
      </c>
      <c r="BW39" s="471">
        <f>SUM(BW40:BW42)</f>
        <v>166663.0</v>
      </c>
      <c r="BX39" s="469">
        <f>SUM(BX40:BX42)</f>
        <v>291667.0</v>
      </c>
      <c r="BY39" s="470">
        <f>SUM(BY40:BY42)</f>
        <v>291667.0</v>
      </c>
      <c r="BZ39" s="470">
        <f>SUM(BZ40:BZ42)</f>
        <v>291667.0</v>
      </c>
      <c r="CA39" s="470">
        <f>SUM(CA40:CA42)</f>
        <v>291667.0</v>
      </c>
      <c r="CB39" s="470">
        <f>SUM(CB40:CB42)</f>
        <v>291667.0</v>
      </c>
      <c r="CC39" s="470">
        <f>SUM(CC40:CC42)</f>
        <v>291667.0</v>
      </c>
      <c r="CD39" s="470">
        <f>SUM(CD40:CD42)</f>
        <v>291667.0</v>
      </c>
      <c r="CE39" s="470">
        <f>SUM(CE40:CE42)</f>
        <v>291667.0</v>
      </c>
      <c r="CF39" s="470">
        <f>SUM(CF40:CF42)</f>
        <v>291667.0</v>
      </c>
      <c r="CG39" s="470">
        <f>SUM(CG40:CG42)</f>
        <v>291667.0</v>
      </c>
      <c r="CH39" s="470">
        <f>SUM(CH40:CH42)</f>
        <v>291667.0</v>
      </c>
      <c r="CI39" s="471">
        <f>SUM(CI40:CI42)</f>
        <v>291663.0</v>
      </c>
    </row>
    <row r="40" ht="18" customHeight="1" s="145">
      <c r="A40" s="233" t="n"/>
      <c r="B40" s="233" t="n"/>
      <c r="C40" t="inlineStr">
        <is>
          <t>全社</t>
        </is>
      </c>
      <c r="D40" s="234" t="n"/>
      <c r="E40" s="408">
        <f>SUMIF($AB$3:$CI$3,E$4,$AB40:$CI40)</f>
        <v>300000.0</v>
      </c>
      <c r="F40" s="409">
        <f>SUMIF($AB$3:$CI$3,F$4,$AB40:$CI40)</f>
        <v>600000.0</v>
      </c>
      <c r="G40" s="409">
        <f>SUMIF($AB$3:$CI$3,G$4,$AB40:$CI40)</f>
        <v>1200000.0</v>
      </c>
      <c r="H40" s="409">
        <f>SUMIF($AB$3:$CI$3,H$4,$AB40:$CI40)</f>
        <v>2000000.0</v>
      </c>
      <c r="I40" s="409">
        <f>SUMIF($AB$3:$CI$3,I$4,$AB40:$CI40)</f>
        <v>3500000.0</v>
      </c>
      <c r="J40" s="407">
        <f>SUM(E40:I40)</f>
        <v>7600000.0</v>
      </c>
      <c r="K40" s="407">
        <f>SUMIF($Q$3:$CN$3,K$4,$Q40:$CN40)</f>
        <v>0.0</v>
      </c>
      <c r="L40" s="407">
        <f>SUMIF($Q$3:$CN$3,L$4,$Q40:$CN40)</f>
        <v>0.0</v>
      </c>
      <c r="M40" s="407">
        <f>SUMIF($Q$3:$CN$3,M$4,$Q40:$CN40)</f>
        <v>0.0</v>
      </c>
      <c r="N40" s="407">
        <f>SUMIF($Q$3:$CN$3,N$4,$Q40:$CN40)</f>
        <v>0.0</v>
      </c>
      <c r="O40" s="235" t="n"/>
      <c r="P40" s="408" t="n"/>
      <c r="Q40" s="409" t="n"/>
      <c r="R40" s="409" t="n"/>
      <c r="S40" s="409" t="n"/>
      <c r="T40" s="409" t="n"/>
      <c r="U40" s="409" t="n"/>
      <c r="V40" s="409" t="n"/>
      <c r="W40" s="409" t="n"/>
      <c r="X40" s="409" t="n"/>
      <c r="Y40" s="409" t="n"/>
      <c r="Z40" s="409" t="n"/>
      <c r="AA40" s="412" t="n"/>
      <c r="AB40" s="408">
        <f>ROUND(INDEX(販管費予算!$E$9:$I$9,MATCH(AB$3,販管費予算!$E$4:$I$4,0))/12,0)+IF(COUNTIF($AB$3:AB$3,AB$3)=12,INDEX(販管費予算!$E$9:$I$9,MATCH(AB$3,販管費予算!$E$4:$I$4,0))-12*ROUND(INDEX(販管費予算!$E$9:$I$9,MATCH(AB$3,販管費予算!$E$4:$I$4,0))/12,0),0)</f>
        <v>25000.0</v>
      </c>
      <c r="AC40" s="409">
        <f>ROUND(INDEX(販管費予算!$E$9:$I$9,MATCH(AC$3,販管費予算!$E$4:$I$4,0))/12,0)+IF(COUNTIF($AB$3:AC$3,AC$3)=12,INDEX(販管費予算!$E$9:$I$9,MATCH(AC$3,販管費予算!$E$4:$I$4,0))-12*ROUND(INDEX(販管費予算!$E$9:$I$9,MATCH(AC$3,販管費予算!$E$4:$I$4,0))/12,0),0)</f>
        <v>25000.0</v>
      </c>
      <c r="AD40" s="409">
        <f>ROUND(INDEX(販管費予算!$E$9:$I$9,MATCH(AD$3,販管費予算!$E$4:$I$4,0))/12,0)+IF(COUNTIF($AB$3:AD$3,AD$3)=12,INDEX(販管費予算!$E$9:$I$9,MATCH(AD$3,販管費予算!$E$4:$I$4,0))-12*ROUND(INDEX(販管費予算!$E$9:$I$9,MATCH(AD$3,販管費予算!$E$4:$I$4,0))/12,0),0)</f>
        <v>25000.0</v>
      </c>
      <c r="AE40" s="409">
        <f>ROUND(INDEX(販管費予算!$E$9:$I$9,MATCH(AE$3,販管費予算!$E$4:$I$4,0))/12,0)+IF(COUNTIF($AB$3:AE$3,AE$3)=12,INDEX(販管費予算!$E$9:$I$9,MATCH(AE$3,販管費予算!$E$4:$I$4,0))-12*ROUND(INDEX(販管費予算!$E$9:$I$9,MATCH(AE$3,販管費予算!$E$4:$I$4,0))/12,0),0)</f>
        <v>25000.0</v>
      </c>
      <c r="AF40" s="409">
        <f>ROUND(INDEX(販管費予算!$E$9:$I$9,MATCH(AF$3,販管費予算!$E$4:$I$4,0))/12,0)+IF(COUNTIF($AB$3:AF$3,AF$3)=12,INDEX(販管費予算!$E$9:$I$9,MATCH(AF$3,販管費予算!$E$4:$I$4,0))-12*ROUND(INDEX(販管費予算!$E$9:$I$9,MATCH(AF$3,販管費予算!$E$4:$I$4,0))/12,0),0)</f>
        <v>25000.0</v>
      </c>
      <c r="AG40" s="409">
        <f>ROUND(INDEX(販管費予算!$E$9:$I$9,MATCH(AG$3,販管費予算!$E$4:$I$4,0))/12,0)+IF(COUNTIF($AB$3:AG$3,AG$3)=12,INDEX(販管費予算!$E$9:$I$9,MATCH(AG$3,販管費予算!$E$4:$I$4,0))-12*ROUND(INDEX(販管費予算!$E$9:$I$9,MATCH(AG$3,販管費予算!$E$4:$I$4,0))/12,0),0)</f>
        <v>25000.0</v>
      </c>
      <c r="AH40" s="409">
        <f>ROUND(INDEX(販管費予算!$E$9:$I$9,MATCH(AH$3,販管費予算!$E$4:$I$4,0))/12,0)+IF(COUNTIF($AB$3:AH$3,AH$3)=12,INDEX(販管費予算!$E$9:$I$9,MATCH(AH$3,販管費予算!$E$4:$I$4,0))-12*ROUND(INDEX(販管費予算!$E$9:$I$9,MATCH(AH$3,販管費予算!$E$4:$I$4,0))/12,0),0)</f>
        <v>25000.0</v>
      </c>
      <c r="AI40" s="409">
        <f>ROUND(INDEX(販管費予算!$E$9:$I$9,MATCH(AI$3,販管費予算!$E$4:$I$4,0))/12,0)+IF(COUNTIF($AB$3:AI$3,AI$3)=12,INDEX(販管費予算!$E$9:$I$9,MATCH(AI$3,販管費予算!$E$4:$I$4,0))-12*ROUND(INDEX(販管費予算!$E$9:$I$9,MATCH(AI$3,販管費予算!$E$4:$I$4,0))/12,0),0)</f>
        <v>25000.0</v>
      </c>
      <c r="AJ40" s="409">
        <f>ROUND(INDEX(販管費予算!$E$9:$I$9,MATCH(AJ$3,販管費予算!$E$4:$I$4,0))/12,0)+IF(COUNTIF($AB$3:AJ$3,AJ$3)=12,INDEX(販管費予算!$E$9:$I$9,MATCH(AJ$3,販管費予算!$E$4:$I$4,0))-12*ROUND(INDEX(販管費予算!$E$9:$I$9,MATCH(AJ$3,販管費予算!$E$4:$I$4,0))/12,0),0)</f>
        <v>25000.0</v>
      </c>
      <c r="AK40" s="409">
        <f>ROUND(INDEX(販管費予算!$E$9:$I$9,MATCH(AK$3,販管費予算!$E$4:$I$4,0))/12,0)+IF(COUNTIF($AB$3:AK$3,AK$3)=12,INDEX(販管費予算!$E$9:$I$9,MATCH(AK$3,販管費予算!$E$4:$I$4,0))-12*ROUND(INDEX(販管費予算!$E$9:$I$9,MATCH(AK$3,販管費予算!$E$4:$I$4,0))/12,0),0)</f>
        <v>25000.0</v>
      </c>
      <c r="AL40" s="409">
        <f>ROUND(INDEX(販管費予算!$E$9:$I$9,MATCH(AL$3,販管費予算!$E$4:$I$4,0))/12,0)+IF(COUNTIF($AB$3:AL$3,AL$3)=12,INDEX(販管費予算!$E$9:$I$9,MATCH(AL$3,販管費予算!$E$4:$I$4,0))-12*ROUND(INDEX(販管費予算!$E$9:$I$9,MATCH(AL$3,販管費予算!$E$4:$I$4,0))/12,0),0)</f>
        <v>25000.0</v>
      </c>
      <c r="AM40" s="412">
        <f>ROUND(INDEX(販管費予算!$E$9:$I$9,MATCH(AM$3,販管費予算!$E$4:$I$4,0))/12,0)+IF(COUNTIF($AB$3:AM$3,AM$3)=12,INDEX(販管費予算!$E$9:$I$9,MATCH(AM$3,販管費予算!$E$4:$I$4,0))-12*ROUND(INDEX(販管費予算!$E$9:$I$9,MATCH(AM$3,販管費予算!$E$4:$I$4,0))/12,0),0)</f>
        <v>25000.0</v>
      </c>
      <c r="AN40" s="408">
        <f>ROUND(INDEX(販管費予算!$E$9:$I$9,MATCH(AN$3,販管費予算!$E$4:$I$4,0))/12,0)+IF(COUNTIF($AB$3:AN$3,AN$3)=12,INDEX(販管費予算!$E$9:$I$9,MATCH(AN$3,販管費予算!$E$4:$I$4,0))-12*ROUND(INDEX(販管費予算!$E$9:$I$9,MATCH(AN$3,販管費予算!$E$4:$I$4,0))/12,0),0)</f>
        <v>50000.0</v>
      </c>
      <c r="AO40" s="409">
        <f>ROUND(INDEX(販管費予算!$E$9:$I$9,MATCH(AO$3,販管費予算!$E$4:$I$4,0))/12,0)+IF(COUNTIF($AB$3:AO$3,AO$3)=12,INDEX(販管費予算!$E$9:$I$9,MATCH(AO$3,販管費予算!$E$4:$I$4,0))-12*ROUND(INDEX(販管費予算!$E$9:$I$9,MATCH(AO$3,販管費予算!$E$4:$I$4,0))/12,0),0)</f>
        <v>50000.0</v>
      </c>
      <c r="AP40" s="409">
        <f>ROUND(INDEX(販管費予算!$E$9:$I$9,MATCH(AP$3,販管費予算!$E$4:$I$4,0))/12,0)+IF(COUNTIF($AB$3:AP$3,AP$3)=12,INDEX(販管費予算!$E$9:$I$9,MATCH(AP$3,販管費予算!$E$4:$I$4,0))-12*ROUND(INDEX(販管費予算!$E$9:$I$9,MATCH(AP$3,販管費予算!$E$4:$I$4,0))/12,0),0)</f>
        <v>50000.0</v>
      </c>
      <c r="AQ40" s="409">
        <f>ROUND(INDEX(販管費予算!$E$9:$I$9,MATCH(AQ$3,販管費予算!$E$4:$I$4,0))/12,0)+IF(COUNTIF($AB$3:AQ$3,AQ$3)=12,INDEX(販管費予算!$E$9:$I$9,MATCH(AQ$3,販管費予算!$E$4:$I$4,0))-12*ROUND(INDEX(販管費予算!$E$9:$I$9,MATCH(AQ$3,販管費予算!$E$4:$I$4,0))/12,0),0)</f>
        <v>50000.0</v>
      </c>
      <c r="AR40" s="409">
        <f>ROUND(INDEX(販管費予算!$E$9:$I$9,MATCH(AR$3,販管費予算!$E$4:$I$4,0))/12,0)+IF(COUNTIF($AB$3:AR$3,AR$3)=12,INDEX(販管費予算!$E$9:$I$9,MATCH(AR$3,販管費予算!$E$4:$I$4,0))-12*ROUND(INDEX(販管費予算!$E$9:$I$9,MATCH(AR$3,販管費予算!$E$4:$I$4,0))/12,0),0)</f>
        <v>50000.0</v>
      </c>
      <c r="AS40" s="409">
        <f>ROUND(INDEX(販管費予算!$E$9:$I$9,MATCH(AS$3,販管費予算!$E$4:$I$4,0))/12,0)+IF(COUNTIF($AB$3:AS$3,AS$3)=12,INDEX(販管費予算!$E$9:$I$9,MATCH(AS$3,販管費予算!$E$4:$I$4,0))-12*ROUND(INDEX(販管費予算!$E$9:$I$9,MATCH(AS$3,販管費予算!$E$4:$I$4,0))/12,0),0)</f>
        <v>50000.0</v>
      </c>
      <c r="AT40" s="409">
        <f>ROUND(INDEX(販管費予算!$E$9:$I$9,MATCH(AT$3,販管費予算!$E$4:$I$4,0))/12,0)+IF(COUNTIF($AB$3:AT$3,AT$3)=12,INDEX(販管費予算!$E$9:$I$9,MATCH(AT$3,販管費予算!$E$4:$I$4,0))-12*ROUND(INDEX(販管費予算!$E$9:$I$9,MATCH(AT$3,販管費予算!$E$4:$I$4,0))/12,0),0)</f>
        <v>50000.0</v>
      </c>
      <c r="AU40" s="409">
        <f>ROUND(INDEX(販管費予算!$E$9:$I$9,MATCH(AU$3,販管費予算!$E$4:$I$4,0))/12,0)+IF(COUNTIF($AB$3:AU$3,AU$3)=12,INDEX(販管費予算!$E$9:$I$9,MATCH(AU$3,販管費予算!$E$4:$I$4,0))-12*ROUND(INDEX(販管費予算!$E$9:$I$9,MATCH(AU$3,販管費予算!$E$4:$I$4,0))/12,0),0)</f>
        <v>50000.0</v>
      </c>
      <c r="AV40" s="409">
        <f>ROUND(INDEX(販管費予算!$E$9:$I$9,MATCH(AV$3,販管費予算!$E$4:$I$4,0))/12,0)+IF(COUNTIF($AB$3:AV$3,AV$3)=12,INDEX(販管費予算!$E$9:$I$9,MATCH(AV$3,販管費予算!$E$4:$I$4,0))-12*ROUND(INDEX(販管費予算!$E$9:$I$9,MATCH(AV$3,販管費予算!$E$4:$I$4,0))/12,0),0)</f>
        <v>50000.0</v>
      </c>
      <c r="AW40" s="409">
        <f>ROUND(INDEX(販管費予算!$E$9:$I$9,MATCH(AW$3,販管費予算!$E$4:$I$4,0))/12,0)+IF(COUNTIF($AB$3:AW$3,AW$3)=12,INDEX(販管費予算!$E$9:$I$9,MATCH(AW$3,販管費予算!$E$4:$I$4,0))-12*ROUND(INDEX(販管費予算!$E$9:$I$9,MATCH(AW$3,販管費予算!$E$4:$I$4,0))/12,0),0)</f>
        <v>50000.0</v>
      </c>
      <c r="AX40" s="409">
        <f>ROUND(INDEX(販管費予算!$E$9:$I$9,MATCH(AX$3,販管費予算!$E$4:$I$4,0))/12,0)+IF(COUNTIF($AB$3:AX$3,AX$3)=12,INDEX(販管費予算!$E$9:$I$9,MATCH(AX$3,販管費予算!$E$4:$I$4,0))-12*ROUND(INDEX(販管費予算!$E$9:$I$9,MATCH(AX$3,販管費予算!$E$4:$I$4,0))/12,0),0)</f>
        <v>50000.0</v>
      </c>
      <c r="AY40" s="412">
        <f>ROUND(INDEX(販管費予算!$E$9:$I$9,MATCH(AY$3,販管費予算!$E$4:$I$4,0))/12,0)+IF(COUNTIF($AB$3:AY$3,AY$3)=12,INDEX(販管費予算!$E$9:$I$9,MATCH(AY$3,販管費予算!$E$4:$I$4,0))-12*ROUND(INDEX(販管費予算!$E$9:$I$9,MATCH(AY$3,販管費予算!$E$4:$I$4,0))/12,0),0)</f>
        <v>50000.0</v>
      </c>
      <c r="AZ40" s="408">
        <f>ROUND(INDEX(販管費予算!$E$9:$I$9,MATCH(AZ$3,販管費予算!$E$4:$I$4,0))/12,0)+IF(COUNTIF($AB$3:AZ$3,AZ$3)=12,INDEX(販管費予算!$E$9:$I$9,MATCH(AZ$3,販管費予算!$E$4:$I$4,0))-12*ROUND(INDEX(販管費予算!$E$9:$I$9,MATCH(AZ$3,販管費予算!$E$4:$I$4,0))/12,0),0)</f>
        <v>100000.0</v>
      </c>
      <c r="BA40" s="409">
        <f>ROUND(INDEX(販管費予算!$E$9:$I$9,MATCH(BA$3,販管費予算!$E$4:$I$4,0))/12,0)+IF(COUNTIF($AB$3:BA$3,BA$3)=12,INDEX(販管費予算!$E$9:$I$9,MATCH(BA$3,販管費予算!$E$4:$I$4,0))-12*ROUND(INDEX(販管費予算!$E$9:$I$9,MATCH(BA$3,販管費予算!$E$4:$I$4,0))/12,0),0)</f>
        <v>100000.0</v>
      </c>
      <c r="BB40" s="409">
        <f>ROUND(INDEX(販管費予算!$E$9:$I$9,MATCH(BB$3,販管費予算!$E$4:$I$4,0))/12,0)+IF(COUNTIF($AB$3:BB$3,BB$3)=12,INDEX(販管費予算!$E$9:$I$9,MATCH(BB$3,販管費予算!$E$4:$I$4,0))-12*ROUND(INDEX(販管費予算!$E$9:$I$9,MATCH(BB$3,販管費予算!$E$4:$I$4,0))/12,0),0)</f>
        <v>100000.0</v>
      </c>
      <c r="BC40" s="409">
        <f>ROUND(INDEX(販管費予算!$E$9:$I$9,MATCH(BC$3,販管費予算!$E$4:$I$4,0))/12,0)+IF(COUNTIF($AB$3:BC$3,BC$3)=12,INDEX(販管費予算!$E$9:$I$9,MATCH(BC$3,販管費予算!$E$4:$I$4,0))-12*ROUND(INDEX(販管費予算!$E$9:$I$9,MATCH(BC$3,販管費予算!$E$4:$I$4,0))/12,0),0)</f>
        <v>100000.0</v>
      </c>
      <c r="BD40" s="409">
        <f>ROUND(INDEX(販管費予算!$E$9:$I$9,MATCH(BD$3,販管費予算!$E$4:$I$4,0))/12,0)+IF(COUNTIF($AB$3:BD$3,BD$3)=12,INDEX(販管費予算!$E$9:$I$9,MATCH(BD$3,販管費予算!$E$4:$I$4,0))-12*ROUND(INDEX(販管費予算!$E$9:$I$9,MATCH(BD$3,販管費予算!$E$4:$I$4,0))/12,0),0)</f>
        <v>100000.0</v>
      </c>
      <c r="BE40" s="409">
        <f>ROUND(INDEX(販管費予算!$E$9:$I$9,MATCH(BE$3,販管費予算!$E$4:$I$4,0))/12,0)+IF(COUNTIF($AB$3:BE$3,BE$3)=12,INDEX(販管費予算!$E$9:$I$9,MATCH(BE$3,販管費予算!$E$4:$I$4,0))-12*ROUND(INDEX(販管費予算!$E$9:$I$9,MATCH(BE$3,販管費予算!$E$4:$I$4,0))/12,0),0)</f>
        <v>100000.0</v>
      </c>
      <c r="BF40" s="409">
        <f>ROUND(INDEX(販管費予算!$E$9:$I$9,MATCH(BF$3,販管費予算!$E$4:$I$4,0))/12,0)+IF(COUNTIF($AB$3:BF$3,BF$3)=12,INDEX(販管費予算!$E$9:$I$9,MATCH(BF$3,販管費予算!$E$4:$I$4,0))-12*ROUND(INDEX(販管費予算!$E$9:$I$9,MATCH(BF$3,販管費予算!$E$4:$I$4,0))/12,0),0)</f>
        <v>100000.0</v>
      </c>
      <c r="BG40" s="409">
        <f>ROUND(INDEX(販管費予算!$E$9:$I$9,MATCH(BG$3,販管費予算!$E$4:$I$4,0))/12,0)+IF(COUNTIF($AB$3:BG$3,BG$3)=12,INDEX(販管費予算!$E$9:$I$9,MATCH(BG$3,販管費予算!$E$4:$I$4,0))-12*ROUND(INDEX(販管費予算!$E$9:$I$9,MATCH(BG$3,販管費予算!$E$4:$I$4,0))/12,0),0)</f>
        <v>100000.0</v>
      </c>
      <c r="BH40" s="409">
        <f>ROUND(INDEX(販管費予算!$E$9:$I$9,MATCH(BH$3,販管費予算!$E$4:$I$4,0))/12,0)+IF(COUNTIF($AB$3:BH$3,BH$3)=12,INDEX(販管費予算!$E$9:$I$9,MATCH(BH$3,販管費予算!$E$4:$I$4,0))-12*ROUND(INDEX(販管費予算!$E$9:$I$9,MATCH(BH$3,販管費予算!$E$4:$I$4,0))/12,0),0)</f>
        <v>100000.0</v>
      </c>
      <c r="BI40" s="409">
        <f>ROUND(INDEX(販管費予算!$E$9:$I$9,MATCH(BI$3,販管費予算!$E$4:$I$4,0))/12,0)+IF(COUNTIF($AB$3:BI$3,BI$3)=12,INDEX(販管費予算!$E$9:$I$9,MATCH(BI$3,販管費予算!$E$4:$I$4,0))-12*ROUND(INDEX(販管費予算!$E$9:$I$9,MATCH(BI$3,販管費予算!$E$4:$I$4,0))/12,0),0)</f>
        <v>100000.0</v>
      </c>
      <c r="BJ40" s="409">
        <f>ROUND(INDEX(販管費予算!$E$9:$I$9,MATCH(BJ$3,販管費予算!$E$4:$I$4,0))/12,0)+IF(COUNTIF($AB$3:BJ$3,BJ$3)=12,INDEX(販管費予算!$E$9:$I$9,MATCH(BJ$3,販管費予算!$E$4:$I$4,0))-12*ROUND(INDEX(販管費予算!$E$9:$I$9,MATCH(BJ$3,販管費予算!$E$4:$I$4,0))/12,0),0)</f>
        <v>100000.0</v>
      </c>
      <c r="BK40" s="412">
        <f>ROUND(INDEX(販管費予算!$E$9:$I$9,MATCH(BK$3,販管費予算!$E$4:$I$4,0))/12,0)+IF(COUNTIF($AB$3:BK$3,BK$3)=12,INDEX(販管費予算!$E$9:$I$9,MATCH(BK$3,販管費予算!$E$4:$I$4,0))-12*ROUND(INDEX(販管費予算!$E$9:$I$9,MATCH(BK$3,販管費予算!$E$4:$I$4,0))/12,0),0)</f>
        <v>100000.0</v>
      </c>
      <c r="BL40" s="408">
        <f>ROUND(INDEX(販管費予算!$E$9:$I$9,MATCH(BL$3,販管費予算!$E$4:$I$4,0))/12,0)+IF(COUNTIF($AB$3:BL$3,BL$3)=12,INDEX(販管費予算!$E$9:$I$9,MATCH(BL$3,販管費予算!$E$4:$I$4,0))-12*ROUND(INDEX(販管費予算!$E$9:$I$9,MATCH(BL$3,販管費予算!$E$4:$I$4,0))/12,0),0)</f>
        <v>166667.0</v>
      </c>
      <c r="BM40" s="409">
        <f>ROUND(INDEX(販管費予算!$E$9:$I$9,MATCH(BM$3,販管費予算!$E$4:$I$4,0))/12,0)+IF(COUNTIF($AB$3:BM$3,BM$3)=12,INDEX(販管費予算!$E$9:$I$9,MATCH(BM$3,販管費予算!$E$4:$I$4,0))-12*ROUND(INDEX(販管費予算!$E$9:$I$9,MATCH(BM$3,販管費予算!$E$4:$I$4,0))/12,0),0)</f>
        <v>166667.0</v>
      </c>
      <c r="BN40" s="409">
        <f>ROUND(INDEX(販管費予算!$E$9:$I$9,MATCH(BN$3,販管費予算!$E$4:$I$4,0))/12,0)+IF(COUNTIF($AB$3:BN$3,BN$3)=12,INDEX(販管費予算!$E$9:$I$9,MATCH(BN$3,販管費予算!$E$4:$I$4,0))-12*ROUND(INDEX(販管費予算!$E$9:$I$9,MATCH(BN$3,販管費予算!$E$4:$I$4,0))/12,0),0)</f>
        <v>166667.0</v>
      </c>
      <c r="BO40" s="409">
        <f>ROUND(INDEX(販管費予算!$E$9:$I$9,MATCH(BO$3,販管費予算!$E$4:$I$4,0))/12,0)+IF(COUNTIF($AB$3:BO$3,BO$3)=12,INDEX(販管費予算!$E$9:$I$9,MATCH(BO$3,販管費予算!$E$4:$I$4,0))-12*ROUND(INDEX(販管費予算!$E$9:$I$9,MATCH(BO$3,販管費予算!$E$4:$I$4,0))/12,0),0)</f>
        <v>166667.0</v>
      </c>
      <c r="BP40" s="409">
        <f>ROUND(INDEX(販管費予算!$E$9:$I$9,MATCH(BP$3,販管費予算!$E$4:$I$4,0))/12,0)+IF(COUNTIF($AB$3:BP$3,BP$3)=12,INDEX(販管費予算!$E$9:$I$9,MATCH(BP$3,販管費予算!$E$4:$I$4,0))-12*ROUND(INDEX(販管費予算!$E$9:$I$9,MATCH(BP$3,販管費予算!$E$4:$I$4,0))/12,0),0)</f>
        <v>166667.0</v>
      </c>
      <c r="BQ40" s="409">
        <f>ROUND(INDEX(販管費予算!$E$9:$I$9,MATCH(BQ$3,販管費予算!$E$4:$I$4,0))/12,0)+IF(COUNTIF($AB$3:BQ$3,BQ$3)=12,INDEX(販管費予算!$E$9:$I$9,MATCH(BQ$3,販管費予算!$E$4:$I$4,0))-12*ROUND(INDEX(販管費予算!$E$9:$I$9,MATCH(BQ$3,販管費予算!$E$4:$I$4,0))/12,0),0)</f>
        <v>166667.0</v>
      </c>
      <c r="BR40" s="409">
        <f>ROUND(INDEX(販管費予算!$E$9:$I$9,MATCH(BR$3,販管費予算!$E$4:$I$4,0))/12,0)+IF(COUNTIF($AB$3:BR$3,BR$3)=12,INDEX(販管費予算!$E$9:$I$9,MATCH(BR$3,販管費予算!$E$4:$I$4,0))-12*ROUND(INDEX(販管費予算!$E$9:$I$9,MATCH(BR$3,販管費予算!$E$4:$I$4,0))/12,0),0)</f>
        <v>166667.0</v>
      </c>
      <c r="BS40" s="409">
        <f>ROUND(INDEX(販管費予算!$E$9:$I$9,MATCH(BS$3,販管費予算!$E$4:$I$4,0))/12,0)+IF(COUNTIF($AB$3:BS$3,BS$3)=12,INDEX(販管費予算!$E$9:$I$9,MATCH(BS$3,販管費予算!$E$4:$I$4,0))-12*ROUND(INDEX(販管費予算!$E$9:$I$9,MATCH(BS$3,販管費予算!$E$4:$I$4,0))/12,0),0)</f>
        <v>166667.0</v>
      </c>
      <c r="BT40" s="409">
        <f>ROUND(INDEX(販管費予算!$E$9:$I$9,MATCH(BT$3,販管費予算!$E$4:$I$4,0))/12,0)+IF(COUNTIF($AB$3:BT$3,BT$3)=12,INDEX(販管費予算!$E$9:$I$9,MATCH(BT$3,販管費予算!$E$4:$I$4,0))-12*ROUND(INDEX(販管費予算!$E$9:$I$9,MATCH(BT$3,販管費予算!$E$4:$I$4,0))/12,0),0)</f>
        <v>166667.0</v>
      </c>
      <c r="BU40" s="409">
        <f>ROUND(INDEX(販管費予算!$E$9:$I$9,MATCH(BU$3,販管費予算!$E$4:$I$4,0))/12,0)+IF(COUNTIF($AB$3:BU$3,BU$3)=12,INDEX(販管費予算!$E$9:$I$9,MATCH(BU$3,販管費予算!$E$4:$I$4,0))-12*ROUND(INDEX(販管費予算!$E$9:$I$9,MATCH(BU$3,販管費予算!$E$4:$I$4,0))/12,0),0)</f>
        <v>166667.0</v>
      </c>
      <c r="BV40" s="409">
        <f>ROUND(INDEX(販管費予算!$E$9:$I$9,MATCH(BV$3,販管費予算!$E$4:$I$4,0))/12,0)+IF(COUNTIF($AB$3:BV$3,BV$3)=12,INDEX(販管費予算!$E$9:$I$9,MATCH(BV$3,販管費予算!$E$4:$I$4,0))-12*ROUND(INDEX(販管費予算!$E$9:$I$9,MATCH(BV$3,販管費予算!$E$4:$I$4,0))/12,0),0)</f>
        <v>166667.0</v>
      </c>
      <c r="BW40" s="412">
        <f>ROUND(INDEX(販管費予算!$E$9:$I$9,MATCH(BW$3,販管費予算!$E$4:$I$4,0))/12,0)+IF(COUNTIF($AB$3:BW$3,BW$3)=12,INDEX(販管費予算!$E$9:$I$9,MATCH(BW$3,販管費予算!$E$4:$I$4,0))-12*ROUND(INDEX(販管費予算!$E$9:$I$9,MATCH(BW$3,販管費予算!$E$4:$I$4,0))/12,0),0)</f>
        <v>166663.0</v>
      </c>
      <c r="BX40" s="408">
        <f>ROUND(INDEX(販管費予算!$E$9:$I$9,MATCH(BX$3,販管費予算!$E$4:$I$4,0))/12,0)+IF(COUNTIF($AB$3:BX$3,BX$3)=12,INDEX(販管費予算!$E$9:$I$9,MATCH(BX$3,販管費予算!$E$4:$I$4,0))-12*ROUND(INDEX(販管費予算!$E$9:$I$9,MATCH(BX$3,販管費予算!$E$4:$I$4,0))/12,0),0)</f>
        <v>291667.0</v>
      </c>
      <c r="BY40" s="409">
        <f>ROUND(INDEX(販管費予算!$E$9:$I$9,MATCH(BY$3,販管費予算!$E$4:$I$4,0))/12,0)+IF(COUNTIF($AB$3:BY$3,BY$3)=12,INDEX(販管費予算!$E$9:$I$9,MATCH(BY$3,販管費予算!$E$4:$I$4,0))-12*ROUND(INDEX(販管費予算!$E$9:$I$9,MATCH(BY$3,販管費予算!$E$4:$I$4,0))/12,0),0)</f>
        <v>291667.0</v>
      </c>
      <c r="BZ40" s="409">
        <f>ROUND(INDEX(販管費予算!$E$9:$I$9,MATCH(BZ$3,販管費予算!$E$4:$I$4,0))/12,0)+IF(COUNTIF($AB$3:BZ$3,BZ$3)=12,INDEX(販管費予算!$E$9:$I$9,MATCH(BZ$3,販管費予算!$E$4:$I$4,0))-12*ROUND(INDEX(販管費予算!$E$9:$I$9,MATCH(BZ$3,販管費予算!$E$4:$I$4,0))/12,0),0)</f>
        <v>291667.0</v>
      </c>
      <c r="CA40" s="409">
        <f>ROUND(INDEX(販管費予算!$E$9:$I$9,MATCH(CA$3,販管費予算!$E$4:$I$4,0))/12,0)+IF(COUNTIF($AB$3:CA$3,CA$3)=12,INDEX(販管費予算!$E$9:$I$9,MATCH(CA$3,販管費予算!$E$4:$I$4,0))-12*ROUND(INDEX(販管費予算!$E$9:$I$9,MATCH(CA$3,販管費予算!$E$4:$I$4,0))/12,0),0)</f>
        <v>291667.0</v>
      </c>
      <c r="CB40" s="409">
        <f>ROUND(INDEX(販管費予算!$E$9:$I$9,MATCH(CB$3,販管費予算!$E$4:$I$4,0))/12,0)+IF(COUNTIF($AB$3:CB$3,CB$3)=12,INDEX(販管費予算!$E$9:$I$9,MATCH(CB$3,販管費予算!$E$4:$I$4,0))-12*ROUND(INDEX(販管費予算!$E$9:$I$9,MATCH(CB$3,販管費予算!$E$4:$I$4,0))/12,0),0)</f>
        <v>291667.0</v>
      </c>
      <c r="CC40" s="409">
        <f>ROUND(INDEX(販管費予算!$E$9:$I$9,MATCH(CC$3,販管費予算!$E$4:$I$4,0))/12,0)+IF(COUNTIF($AB$3:CC$3,CC$3)=12,INDEX(販管費予算!$E$9:$I$9,MATCH(CC$3,販管費予算!$E$4:$I$4,0))-12*ROUND(INDEX(販管費予算!$E$9:$I$9,MATCH(CC$3,販管費予算!$E$4:$I$4,0))/12,0),0)</f>
        <v>291667.0</v>
      </c>
      <c r="CD40" s="409">
        <f>ROUND(INDEX(販管費予算!$E$9:$I$9,MATCH(CD$3,販管費予算!$E$4:$I$4,0))/12,0)+IF(COUNTIF($AB$3:CD$3,CD$3)=12,INDEX(販管費予算!$E$9:$I$9,MATCH(CD$3,販管費予算!$E$4:$I$4,0))-12*ROUND(INDEX(販管費予算!$E$9:$I$9,MATCH(CD$3,販管費予算!$E$4:$I$4,0))/12,0),0)</f>
        <v>291667.0</v>
      </c>
      <c r="CE40" s="409">
        <f>ROUND(INDEX(販管費予算!$E$9:$I$9,MATCH(CE$3,販管費予算!$E$4:$I$4,0))/12,0)+IF(COUNTIF($AB$3:CE$3,CE$3)=12,INDEX(販管費予算!$E$9:$I$9,MATCH(CE$3,販管費予算!$E$4:$I$4,0))-12*ROUND(INDEX(販管費予算!$E$9:$I$9,MATCH(CE$3,販管費予算!$E$4:$I$4,0))/12,0),0)</f>
        <v>291667.0</v>
      </c>
      <c r="CF40" s="409">
        <f>ROUND(INDEX(販管費予算!$E$9:$I$9,MATCH(CF$3,販管費予算!$E$4:$I$4,0))/12,0)+IF(COUNTIF($AB$3:CF$3,CF$3)=12,INDEX(販管費予算!$E$9:$I$9,MATCH(CF$3,販管費予算!$E$4:$I$4,0))-12*ROUND(INDEX(販管費予算!$E$9:$I$9,MATCH(CF$3,販管費予算!$E$4:$I$4,0))/12,0),0)</f>
        <v>291667.0</v>
      </c>
      <c r="CG40" s="409">
        <f>ROUND(INDEX(販管費予算!$E$9:$I$9,MATCH(CG$3,販管費予算!$E$4:$I$4,0))/12,0)+IF(COUNTIF($AB$3:CG$3,CG$3)=12,INDEX(販管費予算!$E$9:$I$9,MATCH(CG$3,販管費予算!$E$4:$I$4,0))-12*ROUND(INDEX(販管費予算!$E$9:$I$9,MATCH(CG$3,販管費予算!$E$4:$I$4,0))/12,0),0)</f>
        <v>291667.0</v>
      </c>
      <c r="CH40" s="409">
        <f>ROUND(INDEX(販管費予算!$E$9:$I$9,MATCH(CH$3,販管費予算!$E$4:$I$4,0))/12,0)+IF(COUNTIF($AB$3:CH$3,CH$3)=12,INDEX(販管費予算!$E$9:$I$9,MATCH(CH$3,販管費予算!$E$4:$I$4,0))-12*ROUND(INDEX(販管費予算!$E$9:$I$9,MATCH(CH$3,販管費予算!$E$4:$I$4,0))/12,0),0)</f>
        <v>291667.0</v>
      </c>
      <c r="CI40" s="412">
        <f>ROUND(INDEX(販管費予算!$E$9:$I$9,MATCH(CI$3,販管費予算!$E$4:$I$4,0))/12,0)+IF(COUNTIF($AB$3:CI$3,CI$3)=12,INDEX(販管費予算!$E$9:$I$9,MATCH(CI$3,販管費予算!$E$4:$I$4,0))-12*ROUND(INDEX(販管費予算!$E$9:$I$9,MATCH(CI$3,販管費予算!$E$4:$I$4,0))/12,0),0)</f>
        <v>291663.0</v>
      </c>
    </row>
    <row r="41" ht="18" customHeight="1" s="145">
      <c r="A41" s="233" t="n"/>
      <c r="B41" s="233" t="n"/>
      <c r="C41" t="inlineStr">
        <is>
          <t>SaaS</t>
        </is>
      </c>
      <c r="D41" s="234" t="n"/>
      <c r="E41" s="408">
        <f>SUMIF($AB$3:$CI$3,E$4,$AB41:$CI41)</f>
        <v>0.0</v>
      </c>
      <c r="F41" s="409">
        <f>SUMIF($AB$3:$CI$3,F$4,$AB41:$CI41)</f>
        <v>0.0</v>
      </c>
      <c r="G41" s="409">
        <f>SUMIF($AB$3:$CI$3,G$4,$AB41:$CI41)</f>
        <v>0.0</v>
      </c>
      <c r="H41" s="409">
        <f>SUMIF($AB$3:$CI$3,H$4,$AB41:$CI41)</f>
        <v>0.0</v>
      </c>
      <c r="I41" s="409">
        <f>SUMIF($AB$3:$CI$3,I$4,$AB41:$CI41)</f>
        <v>0.0</v>
      </c>
      <c r="J41" s="407">
        <f>SUM(E41:I41)</f>
        <v>0.0</v>
      </c>
      <c r="K41" s="407">
        <f>SUMIF($Q$3:$CN$3,K$4,$Q41:$CN41)</f>
        <v>0.0</v>
      </c>
      <c r="L41" s="407">
        <f>SUMIF($Q$3:$CN$3,L$4,$Q41:$CN41)</f>
        <v>0.0</v>
      </c>
      <c r="M41" s="407">
        <f>SUMIF($Q$3:$CN$3,M$4,$Q41:$CN41)</f>
        <v>0.0</v>
      </c>
      <c r="N41" s="407">
        <f>SUMIF($Q$3:$CN$3,N$4,$Q41:$CN41)</f>
        <v>0.0</v>
      </c>
      <c r="O41" s="235" t="n"/>
      <c r="P41" s="408" t="n"/>
      <c r="Q41" s="409" t="n"/>
      <c r="R41" s="409" t="n"/>
      <c r="S41" s="409" t="n"/>
      <c r="T41" s="409" t="n"/>
      <c r="U41" s="409" t="n"/>
      <c r="V41" s="409" t="n"/>
      <c r="W41" s="409" t="n"/>
      <c r="X41" s="409" t="n"/>
      <c r="Y41" s="409" t="n"/>
      <c r="Z41" s="409" t="n"/>
      <c r="AA41" s="412" t="n"/>
      <c r="AB41" s="408" t="n"/>
      <c r="AC41" s="409" t="n"/>
      <c r="AD41" s="409" t="n"/>
      <c r="AE41" s="409" t="n"/>
      <c r="AF41" s="409" t="n"/>
      <c r="AG41" s="409" t="n"/>
      <c r="AH41" s="409" t="n"/>
      <c r="AI41" s="409" t="n"/>
      <c r="AJ41" s="409" t="n"/>
      <c r="AK41" s="409" t="n"/>
      <c r="AL41" s="409" t="n"/>
      <c r="AM41" s="412" t="n"/>
      <c r="AN41" s="408" t="n"/>
      <c r="AO41" s="409" t="n"/>
      <c r="AP41" s="409" t="n"/>
      <c r="AQ41" s="409" t="n"/>
      <c r="AR41" s="409" t="n"/>
      <c r="AS41" s="409" t="n"/>
      <c r="AT41" s="409" t="n"/>
      <c r="AU41" s="409" t="n"/>
      <c r="AV41" s="409" t="n"/>
      <c r="AW41" s="409" t="n"/>
      <c r="AX41" s="409" t="n"/>
      <c r="AY41" s="412" t="n"/>
      <c r="AZ41" s="408" t="n"/>
      <c r="BA41" s="409" t="n"/>
      <c r="BB41" s="409" t="n"/>
      <c r="BC41" s="409" t="n"/>
      <c r="BD41" s="409" t="n"/>
      <c r="BE41" s="409" t="n"/>
      <c r="BF41" s="409" t="n"/>
      <c r="BG41" s="409" t="n"/>
      <c r="BH41" s="409" t="n"/>
      <c r="BI41" s="409" t="n"/>
      <c r="BJ41" s="409" t="n"/>
      <c r="BK41" s="412" t="n"/>
      <c r="BL41" s="408" t="n"/>
      <c r="BM41" s="409" t="n"/>
      <c r="BN41" s="409" t="n"/>
      <c r="BO41" s="409" t="n"/>
      <c r="BP41" s="409" t="n"/>
      <c r="BQ41" s="409" t="n"/>
      <c r="BR41" s="409" t="n"/>
      <c r="BS41" s="409" t="n"/>
      <c r="BT41" s="409" t="n"/>
      <c r="BU41" s="409" t="n"/>
      <c r="BV41" s="409" t="n"/>
      <c r="BW41" s="412" t="n"/>
      <c r="BX41" s="408" t="n"/>
      <c r="BY41" s="409" t="n"/>
      <c r="BZ41" s="409" t="n"/>
      <c r="CA41" s="409" t="n"/>
      <c r="CB41" s="409" t="n"/>
      <c r="CC41" s="409" t="n"/>
      <c r="CD41" s="409" t="n"/>
      <c r="CE41" s="409" t="n"/>
      <c r="CF41" s="409" t="n"/>
      <c r="CG41" s="409" t="n"/>
      <c r="CH41" s="409" t="n"/>
      <c r="CI41" s="412" t="n"/>
    </row>
    <row r="42" ht="18" customHeight="1" s="145">
      <c r="A42" s="233" t="n"/>
      <c r="B42" s="233" t="n"/>
      <c r="C42" t="inlineStr">
        <is>
          <t>事業・組織再生コンサル</t>
        </is>
      </c>
      <c r="D42" s="234" t="n"/>
      <c r="E42" s="408">
        <f>SUMIF($AB$3:$CI$3,E$4,$AB42:$CI42)</f>
        <v>0.0</v>
      </c>
      <c r="F42" s="409">
        <f>SUMIF($AB$3:$CI$3,F$4,$AB42:$CI42)</f>
        <v>0.0</v>
      </c>
      <c r="G42" s="409">
        <f>SUMIF($AB$3:$CI$3,G$4,$AB42:$CI42)</f>
        <v>0.0</v>
      </c>
      <c r="H42" s="409">
        <f>SUMIF($AB$3:$CI$3,H$4,$AB42:$CI42)</f>
        <v>0.0</v>
      </c>
      <c r="I42" s="409">
        <f>SUMIF($AB$3:$CI$3,I$4,$AB42:$CI42)</f>
        <v>0.0</v>
      </c>
      <c r="J42" s="407">
        <f>SUM(E42:I42)</f>
        <v>0.0</v>
      </c>
      <c r="K42" s="407">
        <f>SUMIF($Q$3:$CN$3,K$4,$Q42:$CN42)</f>
        <v>0.0</v>
      </c>
      <c r="L42" s="407">
        <f>SUMIF($Q$3:$CN$3,L$4,$Q42:$CN42)</f>
        <v>0.0</v>
      </c>
      <c r="M42" s="407">
        <f>SUMIF($Q$3:$CN$3,M$4,$Q42:$CN42)</f>
        <v>0.0</v>
      </c>
      <c r="N42" s="407">
        <f>SUMIF($Q$3:$CN$3,N$4,$Q42:$CN42)</f>
        <v>0.0</v>
      </c>
      <c r="O42" s="235" t="n"/>
      <c r="P42" s="408" t="n"/>
      <c r="Q42" s="409" t="n"/>
      <c r="R42" s="409" t="n"/>
      <c r="S42" s="409" t="n"/>
      <c r="T42" s="409" t="n"/>
      <c r="U42" s="409" t="n"/>
      <c r="V42" s="409" t="n"/>
      <c r="W42" s="409" t="n"/>
      <c r="X42" s="409" t="n"/>
      <c r="Y42" s="409" t="n"/>
      <c r="Z42" s="409" t="n"/>
      <c r="AA42" s="412" t="n"/>
      <c r="AB42" s="408" t="n"/>
      <c r="AC42" s="409" t="n"/>
      <c r="AD42" s="409" t="n"/>
      <c r="AE42" s="409" t="n"/>
      <c r="AF42" s="409" t="n"/>
      <c r="AG42" s="409" t="n"/>
      <c r="AH42" s="409" t="n"/>
      <c r="AI42" s="409" t="n"/>
      <c r="AJ42" s="409" t="n"/>
      <c r="AK42" s="409" t="n"/>
      <c r="AL42" s="409" t="n"/>
      <c r="AM42" s="412" t="n"/>
      <c r="AN42" s="408" t="n"/>
      <c r="AO42" s="409" t="n"/>
      <c r="AP42" s="409" t="n"/>
      <c r="AQ42" s="409" t="n"/>
      <c r="AR42" s="409" t="n"/>
      <c r="AS42" s="409" t="n"/>
      <c r="AT42" s="409" t="n"/>
      <c r="AU42" s="409" t="n"/>
      <c r="AV42" s="409" t="n"/>
      <c r="AW42" s="409" t="n"/>
      <c r="AX42" s="409" t="n"/>
      <c r="AY42" s="412" t="n"/>
      <c r="AZ42" s="408" t="n"/>
      <c r="BA42" s="409" t="n"/>
      <c r="BB42" s="409" t="n"/>
      <c r="BC42" s="409" t="n"/>
      <c r="BD42" s="409" t="n"/>
      <c r="BE42" s="409" t="n"/>
      <c r="BF42" s="409" t="n"/>
      <c r="BG42" s="409" t="n"/>
      <c r="BH42" s="409" t="n"/>
      <c r="BI42" s="409" t="n"/>
      <c r="BJ42" s="409" t="n"/>
      <c r="BK42" s="412" t="n"/>
      <c r="BL42" s="408" t="n"/>
      <c r="BM42" s="409" t="n"/>
      <c r="BN42" s="409" t="n"/>
      <c r="BO42" s="409" t="n"/>
      <c r="BP42" s="409" t="n"/>
      <c r="BQ42" s="409" t="n"/>
      <c r="BR42" s="409" t="n"/>
      <c r="BS42" s="409" t="n"/>
      <c r="BT42" s="409" t="n"/>
      <c r="BU42" s="409" t="n"/>
      <c r="BV42" s="409" t="n"/>
      <c r="BW42" s="412" t="n"/>
      <c r="BX42" s="408" t="n"/>
      <c r="BY42" s="409" t="n"/>
      <c r="BZ42" s="409" t="n"/>
      <c r="CA42" s="409" t="n"/>
      <c r="CB42" s="409" t="n"/>
      <c r="CC42" s="409" t="n"/>
      <c r="CD42" s="409" t="n"/>
      <c r="CE42" s="409" t="n"/>
      <c r="CF42" s="409" t="n"/>
      <c r="CG42" s="409" t="n"/>
      <c r="CH42" s="409" t="n"/>
      <c r="CI42" s="412" t="n"/>
    </row>
    <row r="43" ht="18" customHeight="1" s="145">
      <c r="A43" s="233" t="n"/>
      <c r="B43" s="325" t="inlineStr">
        <is>
          <t>採用教育費</t>
        </is>
      </c>
      <c r="C43" s="325" t="n"/>
      <c r="D43" s="326" t="n"/>
      <c r="E43" s="469">
        <f>SUMIF($AB$3:$CI$3,E$4,$AB43:$CI43)</f>
        <v>2000000.0</v>
      </c>
      <c r="F43" s="470">
        <f>SUMIF($AB$3:$CI$3,F$4,$AB43:$CI43)</f>
        <v>5000000.0</v>
      </c>
      <c r="G43" s="470">
        <f>SUMIF($AB$3:$CI$3,G$4,$AB43:$CI43)</f>
        <v>10000000.0</v>
      </c>
      <c r="H43" s="470">
        <f>SUMIF($AB$3:$CI$3,H$4,$AB43:$CI43)</f>
        <v>15000000.0</v>
      </c>
      <c r="I43" s="470">
        <f>SUMIF($AB$3:$CI$3,I$4,$AB43:$CI43)</f>
        <v>25000000.0</v>
      </c>
      <c r="J43" s="478">
        <f>SUM(E43:I43)</f>
        <v>57000000.0</v>
      </c>
      <c r="K43" s="478">
        <f>SUMIF($Q$3:$CN$3,K$4,$Q43:$CN43)</f>
        <v>0.0</v>
      </c>
      <c r="L43" s="478">
        <f>SUMIF($Q$3:$CN$3,L$4,$Q43:$CN43)</f>
        <v>0.0</v>
      </c>
      <c r="M43" s="478">
        <f>SUMIF($Q$3:$CN$3,M$4,$Q43:$CN43)</f>
        <v>0.0</v>
      </c>
      <c r="N43" s="478">
        <f>SUMIF($Q$3:$CN$3,N$4,$Q43:$CN43)</f>
        <v>0.0</v>
      </c>
      <c r="O43" s="316" t="n"/>
      <c r="P43" s="469" t="n"/>
      <c r="Q43" s="470" t="n"/>
      <c r="R43" s="470" t="n"/>
      <c r="S43" s="470" t="n"/>
      <c r="T43" s="470" t="n"/>
      <c r="U43" s="470" t="n"/>
      <c r="V43" s="470" t="n"/>
      <c r="W43" s="470" t="n"/>
      <c r="X43" s="470" t="n"/>
      <c r="Y43" s="470" t="n"/>
      <c r="Z43" s="470" t="n"/>
      <c r="AA43" s="471" t="n"/>
      <c r="AB43" s="479">
        <f>SUM(AB44:AB45)</f>
        <v>166667.0</v>
      </c>
      <c r="AC43" s="480">
        <f>SUM(AC44:AC45)</f>
        <v>166667.0</v>
      </c>
      <c r="AD43" s="480">
        <f>SUM(AD44:AD45)</f>
        <v>166667.0</v>
      </c>
      <c r="AE43" s="480">
        <f>SUM(AE44:AE45)</f>
        <v>166667.0</v>
      </c>
      <c r="AF43" s="480">
        <f>SUM(AF44:AF45)</f>
        <v>166667.0</v>
      </c>
      <c r="AG43" s="470">
        <f>SUM(AG44:AG45)</f>
        <v>166667.0</v>
      </c>
      <c r="AH43" s="470">
        <f>SUM(AH44:AH45)</f>
        <v>166667.0</v>
      </c>
      <c r="AI43" s="470">
        <f>SUM(AI44:AI45)</f>
        <v>166667.0</v>
      </c>
      <c r="AJ43" s="470">
        <f>SUM(AJ44:AJ45)</f>
        <v>166667.0</v>
      </c>
      <c r="AK43" s="470">
        <f>SUM(AK44:AK45)</f>
        <v>166667.0</v>
      </c>
      <c r="AL43" s="470">
        <f>SUM(AL44:AL45)</f>
        <v>166667.0</v>
      </c>
      <c r="AM43" s="471">
        <f>SUM(AM44:AM45)</f>
        <v>166663.0</v>
      </c>
      <c r="AN43" s="469">
        <f>SUM(AN44:AN45)</f>
        <v>416667.0</v>
      </c>
      <c r="AO43" s="470">
        <f>SUM(AO44:AO45)</f>
        <v>416667.0</v>
      </c>
      <c r="AP43" s="470">
        <f>SUM(AP44:AP45)</f>
        <v>416667.0</v>
      </c>
      <c r="AQ43" s="470">
        <f>SUM(AQ44:AQ45)</f>
        <v>416667.0</v>
      </c>
      <c r="AR43" s="470">
        <f>SUM(AR44:AR45)</f>
        <v>416667.0</v>
      </c>
      <c r="AS43" s="470">
        <f>SUM(AS44:AS45)</f>
        <v>416667.0</v>
      </c>
      <c r="AT43" s="470">
        <f>SUM(AT44:AT45)</f>
        <v>416667.0</v>
      </c>
      <c r="AU43" s="470">
        <f>SUM(AU44:AU45)</f>
        <v>416667.0</v>
      </c>
      <c r="AV43" s="470">
        <f>SUM(AV44:AV45)</f>
        <v>416667.0</v>
      </c>
      <c r="AW43" s="470">
        <f>SUM(AW44:AW45)</f>
        <v>416667.0</v>
      </c>
      <c r="AX43" s="470">
        <f>SUM(AX44:AX45)</f>
        <v>416667.0</v>
      </c>
      <c r="AY43" s="471">
        <f>SUM(AY44:AY45)</f>
        <v>416663.0</v>
      </c>
      <c r="AZ43" s="469">
        <f>SUM(AZ44:AZ45)</f>
        <v>833333.0</v>
      </c>
      <c r="BA43" s="470">
        <f>SUM(BA44:BA45)</f>
        <v>833333.0</v>
      </c>
      <c r="BB43" s="470">
        <f>SUM(BB44:BB45)</f>
        <v>833333.0</v>
      </c>
      <c r="BC43" s="470">
        <f>SUM(BC44:BC45)</f>
        <v>833333.0</v>
      </c>
      <c r="BD43" s="470">
        <f>SUM(BD44:BD45)</f>
        <v>833333.0</v>
      </c>
      <c r="BE43" s="470">
        <f>SUM(BE44:BE45)</f>
        <v>833333.0</v>
      </c>
      <c r="BF43" s="470">
        <f>SUM(BF44:BF45)</f>
        <v>833333.0</v>
      </c>
      <c r="BG43" s="470">
        <f>SUM(BG44:BG45)</f>
        <v>833333.0</v>
      </c>
      <c r="BH43" s="470">
        <f>SUM(BH44:BH45)</f>
        <v>833333.0</v>
      </c>
      <c r="BI43" s="470">
        <f>SUM(BI44:BI45)</f>
        <v>833333.0</v>
      </c>
      <c r="BJ43" s="470">
        <f>SUM(BJ44:BJ45)</f>
        <v>833333.0</v>
      </c>
      <c r="BK43" s="471">
        <f>SUM(BK44:BK45)</f>
        <v>833337.0</v>
      </c>
      <c r="BL43" s="469">
        <f>SUM(BL44:BL45)</f>
        <v>1250000.0</v>
      </c>
      <c r="BM43" s="470">
        <f>SUM(BM44:BM45)</f>
        <v>1250000.0</v>
      </c>
      <c r="BN43" s="470">
        <f>SUM(BN44:BN45)</f>
        <v>1250000.0</v>
      </c>
      <c r="BO43" s="470">
        <f>SUM(BO44:BO45)</f>
        <v>1250000.0</v>
      </c>
      <c r="BP43" s="470">
        <f>SUM(BP44:BP45)</f>
        <v>1250000.0</v>
      </c>
      <c r="BQ43" s="470">
        <f>SUM(BQ44:BQ45)</f>
        <v>1250000.0</v>
      </c>
      <c r="BR43" s="470">
        <f>SUM(BR44:BR45)</f>
        <v>1250000.0</v>
      </c>
      <c r="BS43" s="470">
        <f>SUM(BS44:BS45)</f>
        <v>1250000.0</v>
      </c>
      <c r="BT43" s="470">
        <f>SUM(BT44:BT45)</f>
        <v>1250000.0</v>
      </c>
      <c r="BU43" s="470">
        <f>SUM(BU44:BU45)</f>
        <v>1250000.0</v>
      </c>
      <c r="BV43" s="470">
        <f>SUM(BV44:BV45)</f>
        <v>1250000.0</v>
      </c>
      <c r="BW43" s="471">
        <f>SUM(BW44:BW45)</f>
        <v>1250000.0</v>
      </c>
      <c r="BX43" s="469">
        <f>SUM(BX44:BX45)</f>
        <v>2083333.0</v>
      </c>
      <c r="BY43" s="470">
        <f>SUM(BY44:BY45)</f>
        <v>2083333.0</v>
      </c>
      <c r="BZ43" s="470">
        <f>SUM(BZ44:BZ45)</f>
        <v>2083333.0</v>
      </c>
      <c r="CA43" s="470">
        <f>SUM(CA44:CA45)</f>
        <v>2083333.0</v>
      </c>
      <c r="CB43" s="470">
        <f>SUM(CB44:CB45)</f>
        <v>2083333.0</v>
      </c>
      <c r="CC43" s="470">
        <f>SUM(CC44:CC45)</f>
        <v>2083333.0</v>
      </c>
      <c r="CD43" s="470">
        <f>SUM(CD44:CD45)</f>
        <v>2083333.0</v>
      </c>
      <c r="CE43" s="470">
        <f>SUM(CE44:CE45)</f>
        <v>2083333.0</v>
      </c>
      <c r="CF43" s="470">
        <f>SUM(CF44:CF45)</f>
        <v>2083333.0</v>
      </c>
      <c r="CG43" s="470">
        <f>SUM(CG44:CG45)</f>
        <v>2083333.0</v>
      </c>
      <c r="CH43" s="470">
        <f>SUM(CH44:CH45)</f>
        <v>2083333.0</v>
      </c>
      <c r="CI43" s="471">
        <f>SUM(CI44:CI45)</f>
        <v>2083337.0</v>
      </c>
    </row>
    <row r="44" ht="18" customHeight="1" s="145">
      <c r="A44" s="233" t="n"/>
      <c r="B44" s="233" t="n"/>
      <c r="C44" s="233" t="inlineStr">
        <is>
          <t>全社</t>
        </is>
      </c>
      <c r="D44" s="234" t="n"/>
      <c r="E44" s="408">
        <f>SUMIF($AB$3:$CI$3,E$4,$AB44:$CI44)</f>
        <v>2000000.0</v>
      </c>
      <c r="F44" s="409">
        <f>SUMIF($AB$3:$CI$3,F$4,$AB44:$CI44)</f>
        <v>5000000.0</v>
      </c>
      <c r="G44" s="409">
        <f>SUMIF($AB$3:$CI$3,G$4,$AB44:$CI44)</f>
        <v>10000000.0</v>
      </c>
      <c r="H44" s="409">
        <f>SUMIF($AB$3:$CI$3,H$4,$AB44:$CI44)</f>
        <v>15000000.0</v>
      </c>
      <c r="I44" s="409">
        <f>SUMIF($AB$3:$CI$3,I$4,$AB44:$CI44)</f>
        <v>25000000.0</v>
      </c>
      <c r="J44" s="407">
        <f>SUM(E44:I44)</f>
        <v>57000000.0</v>
      </c>
      <c r="K44" s="407">
        <f>SUMIF($Q$3:$CN$3,K$4,$Q44:$CN44)</f>
        <v>0.0</v>
      </c>
      <c r="L44" s="407">
        <f>SUMIF($Q$3:$CN$3,L$4,$Q44:$CN44)</f>
        <v>0.0</v>
      </c>
      <c r="M44" s="407">
        <f>SUMIF($Q$3:$CN$3,M$4,$Q44:$CN44)</f>
        <v>0.0</v>
      </c>
      <c r="N44" s="407">
        <f>SUMIF($Q$3:$CN$3,N$4,$Q44:$CN44)</f>
        <v>0.0</v>
      </c>
      <c r="O44" s="235" t="n"/>
      <c r="P44" s="408" t="n"/>
      <c r="Q44" s="409" t="n"/>
      <c r="R44" s="409" t="n"/>
      <c r="S44" s="409" t="n"/>
      <c r="T44" s="409" t="n"/>
      <c r="U44" s="409" t="n"/>
      <c r="V44" s="409" t="n"/>
      <c r="W44" s="409" t="n"/>
      <c r="X44" s="409" t="n"/>
      <c r="Y44" s="409" t="n"/>
      <c r="Z44" s="409" t="n"/>
      <c r="AA44" s="412" t="n"/>
      <c r="AB44" s="408">
        <f>ROUND(INDEX(販管費予算!$E$10:$I$10,MATCH(AB$3,販管費予算!$E$4:$I$4,0))/12,0)+IF(COUNTIF($AB$3:AB$3,AB$3)=12,INDEX(販管費予算!$E$10:$I$10,MATCH(AB$3,販管費予算!$E$4:$I$4,0))-12*ROUND(INDEX(販管費予算!$E$10:$I$10,MATCH(AB$3,販管費予算!$E$4:$I$4,0))/12,0),0)</f>
        <v>166667.0</v>
      </c>
      <c r="AC44" s="409">
        <f>ROUND(INDEX(販管費予算!$E$10:$I$10,MATCH(AC$3,販管費予算!$E$4:$I$4,0))/12,0)+IF(COUNTIF($AB$3:AC$3,AC$3)=12,INDEX(販管費予算!$E$10:$I$10,MATCH(AC$3,販管費予算!$E$4:$I$4,0))-12*ROUND(INDEX(販管費予算!$E$10:$I$10,MATCH(AC$3,販管費予算!$E$4:$I$4,0))/12,0),0)</f>
        <v>166667.0</v>
      </c>
      <c r="AD44" s="409">
        <f>ROUND(INDEX(販管費予算!$E$10:$I$10,MATCH(AD$3,販管費予算!$E$4:$I$4,0))/12,0)+IF(COUNTIF($AB$3:AD$3,AD$3)=12,INDEX(販管費予算!$E$10:$I$10,MATCH(AD$3,販管費予算!$E$4:$I$4,0))-12*ROUND(INDEX(販管費予算!$E$10:$I$10,MATCH(AD$3,販管費予算!$E$4:$I$4,0))/12,0),0)</f>
        <v>166667.0</v>
      </c>
      <c r="AE44" s="409">
        <f>ROUND(INDEX(販管費予算!$E$10:$I$10,MATCH(AE$3,販管費予算!$E$4:$I$4,0))/12,0)+IF(COUNTIF($AB$3:AE$3,AE$3)=12,INDEX(販管費予算!$E$10:$I$10,MATCH(AE$3,販管費予算!$E$4:$I$4,0))-12*ROUND(INDEX(販管費予算!$E$10:$I$10,MATCH(AE$3,販管費予算!$E$4:$I$4,0))/12,0),0)</f>
        <v>166667.0</v>
      </c>
      <c r="AF44" s="409">
        <f>ROUND(INDEX(販管費予算!$E$10:$I$10,MATCH(AF$3,販管費予算!$E$4:$I$4,0))/12,0)+IF(COUNTIF($AB$3:AF$3,AF$3)=12,INDEX(販管費予算!$E$10:$I$10,MATCH(AF$3,販管費予算!$E$4:$I$4,0))-12*ROUND(INDEX(販管費予算!$E$10:$I$10,MATCH(AF$3,販管費予算!$E$4:$I$4,0))/12,0),0)</f>
        <v>166667.0</v>
      </c>
      <c r="AG44" s="409">
        <f>ROUND(INDEX(販管費予算!$E$10:$I$10,MATCH(AG$3,販管費予算!$E$4:$I$4,0))/12,0)+IF(COUNTIF($AB$3:AG$3,AG$3)=12,INDEX(販管費予算!$E$10:$I$10,MATCH(AG$3,販管費予算!$E$4:$I$4,0))-12*ROUND(INDEX(販管費予算!$E$10:$I$10,MATCH(AG$3,販管費予算!$E$4:$I$4,0))/12,0),0)</f>
        <v>166667.0</v>
      </c>
      <c r="AH44" s="409">
        <f>ROUND(INDEX(販管費予算!$E$10:$I$10,MATCH(AH$3,販管費予算!$E$4:$I$4,0))/12,0)+IF(COUNTIF($AB$3:AH$3,AH$3)=12,INDEX(販管費予算!$E$10:$I$10,MATCH(AH$3,販管費予算!$E$4:$I$4,0))-12*ROUND(INDEX(販管費予算!$E$10:$I$10,MATCH(AH$3,販管費予算!$E$4:$I$4,0))/12,0),0)</f>
        <v>166667.0</v>
      </c>
      <c r="AI44" s="409">
        <f>ROUND(INDEX(販管費予算!$E$10:$I$10,MATCH(AI$3,販管費予算!$E$4:$I$4,0))/12,0)+IF(COUNTIF($AB$3:AI$3,AI$3)=12,INDEX(販管費予算!$E$10:$I$10,MATCH(AI$3,販管費予算!$E$4:$I$4,0))-12*ROUND(INDEX(販管費予算!$E$10:$I$10,MATCH(AI$3,販管費予算!$E$4:$I$4,0))/12,0),0)</f>
        <v>166667.0</v>
      </c>
      <c r="AJ44" s="409">
        <f>ROUND(INDEX(販管費予算!$E$10:$I$10,MATCH(AJ$3,販管費予算!$E$4:$I$4,0))/12,0)+IF(COUNTIF($AB$3:AJ$3,AJ$3)=12,INDEX(販管費予算!$E$10:$I$10,MATCH(AJ$3,販管費予算!$E$4:$I$4,0))-12*ROUND(INDEX(販管費予算!$E$10:$I$10,MATCH(AJ$3,販管費予算!$E$4:$I$4,0))/12,0),0)</f>
        <v>166667.0</v>
      </c>
      <c r="AK44" s="409">
        <f>ROUND(INDEX(販管費予算!$E$10:$I$10,MATCH(AK$3,販管費予算!$E$4:$I$4,0))/12,0)+IF(COUNTIF($AB$3:AK$3,AK$3)=12,INDEX(販管費予算!$E$10:$I$10,MATCH(AK$3,販管費予算!$E$4:$I$4,0))-12*ROUND(INDEX(販管費予算!$E$10:$I$10,MATCH(AK$3,販管費予算!$E$4:$I$4,0))/12,0),0)</f>
        <v>166667.0</v>
      </c>
      <c r="AL44" s="409">
        <f>ROUND(INDEX(販管費予算!$E$10:$I$10,MATCH(AL$3,販管費予算!$E$4:$I$4,0))/12,0)+IF(COUNTIF($AB$3:AL$3,AL$3)=12,INDEX(販管費予算!$E$10:$I$10,MATCH(AL$3,販管費予算!$E$4:$I$4,0))-12*ROUND(INDEX(販管費予算!$E$10:$I$10,MATCH(AL$3,販管費予算!$E$4:$I$4,0))/12,0),0)</f>
        <v>166667.0</v>
      </c>
      <c r="AM44" s="412">
        <f>ROUND(INDEX(販管費予算!$E$10:$I$10,MATCH(AM$3,販管費予算!$E$4:$I$4,0))/12,0)+IF(COUNTIF($AB$3:AM$3,AM$3)=12,INDEX(販管費予算!$E$10:$I$10,MATCH(AM$3,販管費予算!$E$4:$I$4,0))-12*ROUND(INDEX(販管費予算!$E$10:$I$10,MATCH(AM$3,販管費予算!$E$4:$I$4,0))/12,0),0)</f>
        <v>166663.0</v>
      </c>
      <c r="AN44" s="408">
        <f>ROUND(INDEX(販管費予算!$E$10:$I$10,MATCH(AN$3,販管費予算!$E$4:$I$4,0))/12,0)+IF(COUNTIF($AB$3:AN$3,AN$3)=12,INDEX(販管費予算!$E$10:$I$10,MATCH(AN$3,販管費予算!$E$4:$I$4,0))-12*ROUND(INDEX(販管費予算!$E$10:$I$10,MATCH(AN$3,販管費予算!$E$4:$I$4,0))/12,0),0)</f>
        <v>416667.0</v>
      </c>
      <c r="AO44" s="409">
        <f>ROUND(INDEX(販管費予算!$E$10:$I$10,MATCH(AO$3,販管費予算!$E$4:$I$4,0))/12,0)+IF(COUNTIF($AB$3:AO$3,AO$3)=12,INDEX(販管費予算!$E$10:$I$10,MATCH(AO$3,販管費予算!$E$4:$I$4,0))-12*ROUND(INDEX(販管費予算!$E$10:$I$10,MATCH(AO$3,販管費予算!$E$4:$I$4,0))/12,0),0)</f>
        <v>416667.0</v>
      </c>
      <c r="AP44" s="409">
        <f>ROUND(INDEX(販管費予算!$E$10:$I$10,MATCH(AP$3,販管費予算!$E$4:$I$4,0))/12,0)+IF(COUNTIF($AB$3:AP$3,AP$3)=12,INDEX(販管費予算!$E$10:$I$10,MATCH(AP$3,販管費予算!$E$4:$I$4,0))-12*ROUND(INDEX(販管費予算!$E$10:$I$10,MATCH(AP$3,販管費予算!$E$4:$I$4,0))/12,0),0)</f>
        <v>416667.0</v>
      </c>
      <c r="AQ44" s="409">
        <f>ROUND(INDEX(販管費予算!$E$10:$I$10,MATCH(AQ$3,販管費予算!$E$4:$I$4,0))/12,0)+IF(COUNTIF($AB$3:AQ$3,AQ$3)=12,INDEX(販管費予算!$E$10:$I$10,MATCH(AQ$3,販管費予算!$E$4:$I$4,0))-12*ROUND(INDEX(販管費予算!$E$10:$I$10,MATCH(AQ$3,販管費予算!$E$4:$I$4,0))/12,0),0)</f>
        <v>416667.0</v>
      </c>
      <c r="AR44" s="409">
        <f>ROUND(INDEX(販管費予算!$E$10:$I$10,MATCH(AR$3,販管費予算!$E$4:$I$4,0))/12,0)+IF(COUNTIF($AB$3:AR$3,AR$3)=12,INDEX(販管費予算!$E$10:$I$10,MATCH(AR$3,販管費予算!$E$4:$I$4,0))-12*ROUND(INDEX(販管費予算!$E$10:$I$10,MATCH(AR$3,販管費予算!$E$4:$I$4,0))/12,0),0)</f>
        <v>416667.0</v>
      </c>
      <c r="AS44" s="409">
        <f>ROUND(INDEX(販管費予算!$E$10:$I$10,MATCH(AS$3,販管費予算!$E$4:$I$4,0))/12,0)+IF(COUNTIF($AB$3:AS$3,AS$3)=12,INDEX(販管費予算!$E$10:$I$10,MATCH(AS$3,販管費予算!$E$4:$I$4,0))-12*ROUND(INDEX(販管費予算!$E$10:$I$10,MATCH(AS$3,販管費予算!$E$4:$I$4,0))/12,0),0)</f>
        <v>416667.0</v>
      </c>
      <c r="AT44" s="409">
        <f>ROUND(INDEX(販管費予算!$E$10:$I$10,MATCH(AT$3,販管費予算!$E$4:$I$4,0))/12,0)+IF(COUNTIF($AB$3:AT$3,AT$3)=12,INDEX(販管費予算!$E$10:$I$10,MATCH(AT$3,販管費予算!$E$4:$I$4,0))-12*ROUND(INDEX(販管費予算!$E$10:$I$10,MATCH(AT$3,販管費予算!$E$4:$I$4,0))/12,0),0)</f>
        <v>416667.0</v>
      </c>
      <c r="AU44" s="409">
        <f>ROUND(INDEX(販管費予算!$E$10:$I$10,MATCH(AU$3,販管費予算!$E$4:$I$4,0))/12,0)+IF(COUNTIF($AB$3:AU$3,AU$3)=12,INDEX(販管費予算!$E$10:$I$10,MATCH(AU$3,販管費予算!$E$4:$I$4,0))-12*ROUND(INDEX(販管費予算!$E$10:$I$10,MATCH(AU$3,販管費予算!$E$4:$I$4,0))/12,0),0)</f>
        <v>416667.0</v>
      </c>
      <c r="AV44" s="409">
        <f>ROUND(INDEX(販管費予算!$E$10:$I$10,MATCH(AV$3,販管費予算!$E$4:$I$4,0))/12,0)+IF(COUNTIF($AB$3:AV$3,AV$3)=12,INDEX(販管費予算!$E$10:$I$10,MATCH(AV$3,販管費予算!$E$4:$I$4,0))-12*ROUND(INDEX(販管費予算!$E$10:$I$10,MATCH(AV$3,販管費予算!$E$4:$I$4,0))/12,0),0)</f>
        <v>416667.0</v>
      </c>
      <c r="AW44" s="409">
        <f>ROUND(INDEX(販管費予算!$E$10:$I$10,MATCH(AW$3,販管費予算!$E$4:$I$4,0))/12,0)+IF(COUNTIF($AB$3:AW$3,AW$3)=12,INDEX(販管費予算!$E$10:$I$10,MATCH(AW$3,販管費予算!$E$4:$I$4,0))-12*ROUND(INDEX(販管費予算!$E$10:$I$10,MATCH(AW$3,販管費予算!$E$4:$I$4,0))/12,0),0)</f>
        <v>416667.0</v>
      </c>
      <c r="AX44" s="409">
        <f>ROUND(INDEX(販管費予算!$E$10:$I$10,MATCH(AX$3,販管費予算!$E$4:$I$4,0))/12,0)+IF(COUNTIF($AB$3:AX$3,AX$3)=12,INDEX(販管費予算!$E$10:$I$10,MATCH(AX$3,販管費予算!$E$4:$I$4,0))-12*ROUND(INDEX(販管費予算!$E$10:$I$10,MATCH(AX$3,販管費予算!$E$4:$I$4,0))/12,0),0)</f>
        <v>416667.0</v>
      </c>
      <c r="AY44" s="412">
        <f>ROUND(INDEX(販管費予算!$E$10:$I$10,MATCH(AY$3,販管費予算!$E$4:$I$4,0))/12,0)+IF(COUNTIF($AB$3:AY$3,AY$3)=12,INDEX(販管費予算!$E$10:$I$10,MATCH(AY$3,販管費予算!$E$4:$I$4,0))-12*ROUND(INDEX(販管費予算!$E$10:$I$10,MATCH(AY$3,販管費予算!$E$4:$I$4,0))/12,0),0)</f>
        <v>416663.0</v>
      </c>
      <c r="AZ44" s="408">
        <f>ROUND(INDEX(販管費予算!$E$10:$I$10,MATCH(AZ$3,販管費予算!$E$4:$I$4,0))/12,0)+IF(COUNTIF($AB$3:AZ$3,AZ$3)=12,INDEX(販管費予算!$E$10:$I$10,MATCH(AZ$3,販管費予算!$E$4:$I$4,0))-12*ROUND(INDEX(販管費予算!$E$10:$I$10,MATCH(AZ$3,販管費予算!$E$4:$I$4,0))/12,0),0)</f>
        <v>833333.0</v>
      </c>
      <c r="BA44" s="409">
        <f>ROUND(INDEX(販管費予算!$E$10:$I$10,MATCH(BA$3,販管費予算!$E$4:$I$4,0))/12,0)+IF(COUNTIF($AB$3:BA$3,BA$3)=12,INDEX(販管費予算!$E$10:$I$10,MATCH(BA$3,販管費予算!$E$4:$I$4,0))-12*ROUND(INDEX(販管費予算!$E$10:$I$10,MATCH(BA$3,販管費予算!$E$4:$I$4,0))/12,0),0)</f>
        <v>833333.0</v>
      </c>
      <c r="BB44" s="409">
        <f>ROUND(INDEX(販管費予算!$E$10:$I$10,MATCH(BB$3,販管費予算!$E$4:$I$4,0))/12,0)+IF(COUNTIF($AB$3:BB$3,BB$3)=12,INDEX(販管費予算!$E$10:$I$10,MATCH(BB$3,販管費予算!$E$4:$I$4,0))-12*ROUND(INDEX(販管費予算!$E$10:$I$10,MATCH(BB$3,販管費予算!$E$4:$I$4,0))/12,0),0)</f>
        <v>833333.0</v>
      </c>
      <c r="BC44" s="409">
        <f>ROUND(INDEX(販管費予算!$E$10:$I$10,MATCH(BC$3,販管費予算!$E$4:$I$4,0))/12,0)+IF(COUNTIF($AB$3:BC$3,BC$3)=12,INDEX(販管費予算!$E$10:$I$10,MATCH(BC$3,販管費予算!$E$4:$I$4,0))-12*ROUND(INDEX(販管費予算!$E$10:$I$10,MATCH(BC$3,販管費予算!$E$4:$I$4,0))/12,0),0)</f>
        <v>833333.0</v>
      </c>
      <c r="BD44" s="409">
        <f>ROUND(INDEX(販管費予算!$E$10:$I$10,MATCH(BD$3,販管費予算!$E$4:$I$4,0))/12,0)+IF(COUNTIF($AB$3:BD$3,BD$3)=12,INDEX(販管費予算!$E$10:$I$10,MATCH(BD$3,販管費予算!$E$4:$I$4,0))-12*ROUND(INDEX(販管費予算!$E$10:$I$10,MATCH(BD$3,販管費予算!$E$4:$I$4,0))/12,0),0)</f>
        <v>833333.0</v>
      </c>
      <c r="BE44" s="409">
        <f>ROUND(INDEX(販管費予算!$E$10:$I$10,MATCH(BE$3,販管費予算!$E$4:$I$4,0))/12,0)+IF(COUNTIF($AB$3:BE$3,BE$3)=12,INDEX(販管費予算!$E$10:$I$10,MATCH(BE$3,販管費予算!$E$4:$I$4,0))-12*ROUND(INDEX(販管費予算!$E$10:$I$10,MATCH(BE$3,販管費予算!$E$4:$I$4,0))/12,0),0)</f>
        <v>833333.0</v>
      </c>
      <c r="BF44" s="409">
        <f>ROUND(INDEX(販管費予算!$E$10:$I$10,MATCH(BF$3,販管費予算!$E$4:$I$4,0))/12,0)+IF(COUNTIF($AB$3:BF$3,BF$3)=12,INDEX(販管費予算!$E$10:$I$10,MATCH(BF$3,販管費予算!$E$4:$I$4,0))-12*ROUND(INDEX(販管費予算!$E$10:$I$10,MATCH(BF$3,販管費予算!$E$4:$I$4,0))/12,0),0)</f>
        <v>833333.0</v>
      </c>
      <c r="BG44" s="409">
        <f>ROUND(INDEX(販管費予算!$E$10:$I$10,MATCH(BG$3,販管費予算!$E$4:$I$4,0))/12,0)+IF(COUNTIF($AB$3:BG$3,BG$3)=12,INDEX(販管費予算!$E$10:$I$10,MATCH(BG$3,販管費予算!$E$4:$I$4,0))-12*ROUND(INDEX(販管費予算!$E$10:$I$10,MATCH(BG$3,販管費予算!$E$4:$I$4,0))/12,0),0)</f>
        <v>833333.0</v>
      </c>
      <c r="BH44" s="409">
        <f>ROUND(INDEX(販管費予算!$E$10:$I$10,MATCH(BH$3,販管費予算!$E$4:$I$4,0))/12,0)+IF(COUNTIF($AB$3:BH$3,BH$3)=12,INDEX(販管費予算!$E$10:$I$10,MATCH(BH$3,販管費予算!$E$4:$I$4,0))-12*ROUND(INDEX(販管費予算!$E$10:$I$10,MATCH(BH$3,販管費予算!$E$4:$I$4,0))/12,0),0)</f>
        <v>833333.0</v>
      </c>
      <c r="BI44" s="409">
        <f>ROUND(INDEX(販管費予算!$E$10:$I$10,MATCH(BI$3,販管費予算!$E$4:$I$4,0))/12,0)+IF(COUNTIF($AB$3:BI$3,BI$3)=12,INDEX(販管費予算!$E$10:$I$10,MATCH(BI$3,販管費予算!$E$4:$I$4,0))-12*ROUND(INDEX(販管費予算!$E$10:$I$10,MATCH(BI$3,販管費予算!$E$4:$I$4,0))/12,0),0)</f>
        <v>833333.0</v>
      </c>
      <c r="BJ44" s="409">
        <f>ROUND(INDEX(販管費予算!$E$10:$I$10,MATCH(BJ$3,販管費予算!$E$4:$I$4,0))/12,0)+IF(COUNTIF($AB$3:BJ$3,BJ$3)=12,INDEX(販管費予算!$E$10:$I$10,MATCH(BJ$3,販管費予算!$E$4:$I$4,0))-12*ROUND(INDEX(販管費予算!$E$10:$I$10,MATCH(BJ$3,販管費予算!$E$4:$I$4,0))/12,0),0)</f>
        <v>833333.0</v>
      </c>
      <c r="BK44" s="412">
        <f>ROUND(INDEX(販管費予算!$E$10:$I$10,MATCH(BK$3,販管費予算!$E$4:$I$4,0))/12,0)+IF(COUNTIF($AB$3:BK$3,BK$3)=12,INDEX(販管費予算!$E$10:$I$10,MATCH(BK$3,販管費予算!$E$4:$I$4,0))-12*ROUND(INDEX(販管費予算!$E$10:$I$10,MATCH(BK$3,販管費予算!$E$4:$I$4,0))/12,0),0)</f>
        <v>833337.0</v>
      </c>
      <c r="BL44" s="408">
        <f>ROUND(INDEX(販管費予算!$E$10:$I$10,MATCH(BL$3,販管費予算!$E$4:$I$4,0))/12,0)+IF(COUNTIF($AB$3:BL$3,BL$3)=12,INDEX(販管費予算!$E$10:$I$10,MATCH(BL$3,販管費予算!$E$4:$I$4,0))-12*ROUND(INDEX(販管費予算!$E$10:$I$10,MATCH(BL$3,販管費予算!$E$4:$I$4,0))/12,0),0)</f>
        <v>1250000.0</v>
      </c>
      <c r="BM44" s="409">
        <f>ROUND(INDEX(販管費予算!$E$10:$I$10,MATCH(BM$3,販管費予算!$E$4:$I$4,0))/12,0)+IF(COUNTIF($AB$3:BM$3,BM$3)=12,INDEX(販管費予算!$E$10:$I$10,MATCH(BM$3,販管費予算!$E$4:$I$4,0))-12*ROUND(INDEX(販管費予算!$E$10:$I$10,MATCH(BM$3,販管費予算!$E$4:$I$4,0))/12,0),0)</f>
        <v>1250000.0</v>
      </c>
      <c r="BN44" s="409">
        <f>ROUND(INDEX(販管費予算!$E$10:$I$10,MATCH(BN$3,販管費予算!$E$4:$I$4,0))/12,0)+IF(COUNTIF($AB$3:BN$3,BN$3)=12,INDEX(販管費予算!$E$10:$I$10,MATCH(BN$3,販管費予算!$E$4:$I$4,0))-12*ROUND(INDEX(販管費予算!$E$10:$I$10,MATCH(BN$3,販管費予算!$E$4:$I$4,0))/12,0),0)</f>
        <v>1250000.0</v>
      </c>
      <c r="BO44" s="409">
        <f>ROUND(INDEX(販管費予算!$E$10:$I$10,MATCH(BO$3,販管費予算!$E$4:$I$4,0))/12,0)+IF(COUNTIF($AB$3:BO$3,BO$3)=12,INDEX(販管費予算!$E$10:$I$10,MATCH(BO$3,販管費予算!$E$4:$I$4,0))-12*ROUND(INDEX(販管費予算!$E$10:$I$10,MATCH(BO$3,販管費予算!$E$4:$I$4,0))/12,0),0)</f>
        <v>1250000.0</v>
      </c>
      <c r="BP44" s="409">
        <f>ROUND(INDEX(販管費予算!$E$10:$I$10,MATCH(BP$3,販管費予算!$E$4:$I$4,0))/12,0)+IF(COUNTIF($AB$3:BP$3,BP$3)=12,INDEX(販管費予算!$E$10:$I$10,MATCH(BP$3,販管費予算!$E$4:$I$4,0))-12*ROUND(INDEX(販管費予算!$E$10:$I$10,MATCH(BP$3,販管費予算!$E$4:$I$4,0))/12,0),0)</f>
        <v>1250000.0</v>
      </c>
      <c r="BQ44" s="409">
        <f>ROUND(INDEX(販管費予算!$E$10:$I$10,MATCH(BQ$3,販管費予算!$E$4:$I$4,0))/12,0)+IF(COUNTIF($AB$3:BQ$3,BQ$3)=12,INDEX(販管費予算!$E$10:$I$10,MATCH(BQ$3,販管費予算!$E$4:$I$4,0))-12*ROUND(INDEX(販管費予算!$E$10:$I$10,MATCH(BQ$3,販管費予算!$E$4:$I$4,0))/12,0),0)</f>
        <v>1250000.0</v>
      </c>
      <c r="BR44" s="409">
        <f>ROUND(INDEX(販管費予算!$E$10:$I$10,MATCH(BR$3,販管費予算!$E$4:$I$4,0))/12,0)+IF(COUNTIF($AB$3:BR$3,BR$3)=12,INDEX(販管費予算!$E$10:$I$10,MATCH(BR$3,販管費予算!$E$4:$I$4,0))-12*ROUND(INDEX(販管費予算!$E$10:$I$10,MATCH(BR$3,販管費予算!$E$4:$I$4,0))/12,0),0)</f>
        <v>1250000.0</v>
      </c>
      <c r="BS44" s="409">
        <f>ROUND(INDEX(販管費予算!$E$10:$I$10,MATCH(BS$3,販管費予算!$E$4:$I$4,0))/12,0)+IF(COUNTIF($AB$3:BS$3,BS$3)=12,INDEX(販管費予算!$E$10:$I$10,MATCH(BS$3,販管費予算!$E$4:$I$4,0))-12*ROUND(INDEX(販管費予算!$E$10:$I$10,MATCH(BS$3,販管費予算!$E$4:$I$4,0))/12,0),0)</f>
        <v>1250000.0</v>
      </c>
      <c r="BT44" s="409">
        <f>ROUND(INDEX(販管費予算!$E$10:$I$10,MATCH(BT$3,販管費予算!$E$4:$I$4,0))/12,0)+IF(COUNTIF($AB$3:BT$3,BT$3)=12,INDEX(販管費予算!$E$10:$I$10,MATCH(BT$3,販管費予算!$E$4:$I$4,0))-12*ROUND(INDEX(販管費予算!$E$10:$I$10,MATCH(BT$3,販管費予算!$E$4:$I$4,0))/12,0),0)</f>
        <v>1250000.0</v>
      </c>
      <c r="BU44" s="409">
        <f>ROUND(INDEX(販管費予算!$E$10:$I$10,MATCH(BU$3,販管費予算!$E$4:$I$4,0))/12,0)+IF(COUNTIF($AB$3:BU$3,BU$3)=12,INDEX(販管費予算!$E$10:$I$10,MATCH(BU$3,販管費予算!$E$4:$I$4,0))-12*ROUND(INDEX(販管費予算!$E$10:$I$10,MATCH(BU$3,販管費予算!$E$4:$I$4,0))/12,0),0)</f>
        <v>1250000.0</v>
      </c>
      <c r="BV44" s="409">
        <f>ROUND(INDEX(販管費予算!$E$10:$I$10,MATCH(BV$3,販管費予算!$E$4:$I$4,0))/12,0)+IF(COUNTIF($AB$3:BV$3,BV$3)=12,INDEX(販管費予算!$E$10:$I$10,MATCH(BV$3,販管費予算!$E$4:$I$4,0))-12*ROUND(INDEX(販管費予算!$E$10:$I$10,MATCH(BV$3,販管費予算!$E$4:$I$4,0))/12,0),0)</f>
        <v>1250000.0</v>
      </c>
      <c r="BW44" s="412">
        <f>ROUND(INDEX(販管費予算!$E$10:$I$10,MATCH(BW$3,販管費予算!$E$4:$I$4,0))/12,0)+IF(COUNTIF($AB$3:BW$3,BW$3)=12,INDEX(販管費予算!$E$10:$I$10,MATCH(BW$3,販管費予算!$E$4:$I$4,0))-12*ROUND(INDEX(販管費予算!$E$10:$I$10,MATCH(BW$3,販管費予算!$E$4:$I$4,0))/12,0),0)</f>
        <v>1250000.0</v>
      </c>
      <c r="BX44" s="408">
        <f>ROUND(INDEX(販管費予算!$E$10:$I$10,MATCH(BX$3,販管費予算!$E$4:$I$4,0))/12,0)+IF(COUNTIF($AB$3:BX$3,BX$3)=12,INDEX(販管費予算!$E$10:$I$10,MATCH(BX$3,販管費予算!$E$4:$I$4,0))-12*ROUND(INDEX(販管費予算!$E$10:$I$10,MATCH(BX$3,販管費予算!$E$4:$I$4,0))/12,0),0)</f>
        <v>2083333.0</v>
      </c>
      <c r="BY44" s="409">
        <f>ROUND(INDEX(販管費予算!$E$10:$I$10,MATCH(BY$3,販管費予算!$E$4:$I$4,0))/12,0)+IF(COUNTIF($AB$3:BY$3,BY$3)=12,INDEX(販管費予算!$E$10:$I$10,MATCH(BY$3,販管費予算!$E$4:$I$4,0))-12*ROUND(INDEX(販管費予算!$E$10:$I$10,MATCH(BY$3,販管費予算!$E$4:$I$4,0))/12,0),0)</f>
        <v>2083333.0</v>
      </c>
      <c r="BZ44" s="409">
        <f>ROUND(INDEX(販管費予算!$E$10:$I$10,MATCH(BZ$3,販管費予算!$E$4:$I$4,0))/12,0)+IF(COUNTIF($AB$3:BZ$3,BZ$3)=12,INDEX(販管費予算!$E$10:$I$10,MATCH(BZ$3,販管費予算!$E$4:$I$4,0))-12*ROUND(INDEX(販管費予算!$E$10:$I$10,MATCH(BZ$3,販管費予算!$E$4:$I$4,0))/12,0),0)</f>
        <v>2083333.0</v>
      </c>
      <c r="CA44" s="409">
        <f>ROUND(INDEX(販管費予算!$E$10:$I$10,MATCH(CA$3,販管費予算!$E$4:$I$4,0))/12,0)+IF(COUNTIF($AB$3:CA$3,CA$3)=12,INDEX(販管費予算!$E$10:$I$10,MATCH(CA$3,販管費予算!$E$4:$I$4,0))-12*ROUND(INDEX(販管費予算!$E$10:$I$10,MATCH(CA$3,販管費予算!$E$4:$I$4,0))/12,0),0)</f>
        <v>2083333.0</v>
      </c>
      <c r="CB44" s="409">
        <f>ROUND(INDEX(販管費予算!$E$10:$I$10,MATCH(CB$3,販管費予算!$E$4:$I$4,0))/12,0)+IF(COUNTIF($AB$3:CB$3,CB$3)=12,INDEX(販管費予算!$E$10:$I$10,MATCH(CB$3,販管費予算!$E$4:$I$4,0))-12*ROUND(INDEX(販管費予算!$E$10:$I$10,MATCH(CB$3,販管費予算!$E$4:$I$4,0))/12,0),0)</f>
        <v>2083333.0</v>
      </c>
      <c r="CC44" s="409">
        <f>ROUND(INDEX(販管費予算!$E$10:$I$10,MATCH(CC$3,販管費予算!$E$4:$I$4,0))/12,0)+IF(COUNTIF($AB$3:CC$3,CC$3)=12,INDEX(販管費予算!$E$10:$I$10,MATCH(CC$3,販管費予算!$E$4:$I$4,0))-12*ROUND(INDEX(販管費予算!$E$10:$I$10,MATCH(CC$3,販管費予算!$E$4:$I$4,0))/12,0),0)</f>
        <v>2083333.0</v>
      </c>
      <c r="CD44" s="409">
        <f>ROUND(INDEX(販管費予算!$E$10:$I$10,MATCH(CD$3,販管費予算!$E$4:$I$4,0))/12,0)+IF(COUNTIF($AB$3:CD$3,CD$3)=12,INDEX(販管費予算!$E$10:$I$10,MATCH(CD$3,販管費予算!$E$4:$I$4,0))-12*ROUND(INDEX(販管費予算!$E$10:$I$10,MATCH(CD$3,販管費予算!$E$4:$I$4,0))/12,0),0)</f>
        <v>2083333.0</v>
      </c>
      <c r="CE44" s="409">
        <f>ROUND(INDEX(販管費予算!$E$10:$I$10,MATCH(CE$3,販管費予算!$E$4:$I$4,0))/12,0)+IF(COUNTIF($AB$3:CE$3,CE$3)=12,INDEX(販管費予算!$E$10:$I$10,MATCH(CE$3,販管費予算!$E$4:$I$4,0))-12*ROUND(INDEX(販管費予算!$E$10:$I$10,MATCH(CE$3,販管費予算!$E$4:$I$4,0))/12,0),0)</f>
        <v>2083333.0</v>
      </c>
      <c r="CF44" s="409">
        <f>ROUND(INDEX(販管費予算!$E$10:$I$10,MATCH(CF$3,販管費予算!$E$4:$I$4,0))/12,0)+IF(COUNTIF($AB$3:CF$3,CF$3)=12,INDEX(販管費予算!$E$10:$I$10,MATCH(CF$3,販管費予算!$E$4:$I$4,0))-12*ROUND(INDEX(販管費予算!$E$10:$I$10,MATCH(CF$3,販管費予算!$E$4:$I$4,0))/12,0),0)</f>
        <v>2083333.0</v>
      </c>
      <c r="CG44" s="409">
        <f>ROUND(INDEX(販管費予算!$E$10:$I$10,MATCH(CG$3,販管費予算!$E$4:$I$4,0))/12,0)+IF(COUNTIF($AB$3:CG$3,CG$3)=12,INDEX(販管費予算!$E$10:$I$10,MATCH(CG$3,販管費予算!$E$4:$I$4,0))-12*ROUND(INDEX(販管費予算!$E$10:$I$10,MATCH(CG$3,販管費予算!$E$4:$I$4,0))/12,0),0)</f>
        <v>2083333.0</v>
      </c>
      <c r="CH44" s="409">
        <f>ROUND(INDEX(販管費予算!$E$10:$I$10,MATCH(CH$3,販管費予算!$E$4:$I$4,0))/12,0)+IF(COUNTIF($AB$3:CH$3,CH$3)=12,INDEX(販管費予算!$E$10:$I$10,MATCH(CH$3,販管費予算!$E$4:$I$4,0))-12*ROUND(INDEX(販管費予算!$E$10:$I$10,MATCH(CH$3,販管費予算!$E$4:$I$4,0))/12,0),0)</f>
        <v>2083333.0</v>
      </c>
      <c r="CI44" s="412">
        <f>ROUND(INDEX(販管費予算!$E$10:$I$10,MATCH(CI$3,販管費予算!$E$4:$I$4,0))/12,0)+IF(COUNTIF($AB$3:CI$3,CI$3)=12,INDEX(販管費予算!$E$10:$I$10,MATCH(CI$3,販管費予算!$E$4:$I$4,0))-12*ROUND(INDEX(販管費予算!$E$10:$I$10,MATCH(CI$3,販管費予算!$E$4:$I$4,0))/12,0),0)</f>
        <v>2083337.0</v>
      </c>
    </row>
    <row r="45" ht="18" customHeight="1" s="145">
      <c r="A45" s="233" t="n"/>
      <c r="B45" s="233" t="n"/>
      <c r="C45" s="233" t="inlineStr">
        <is>
          <t>SaaS</t>
        </is>
      </c>
      <c r="D45" s="234" t="n"/>
      <c r="E45" s="408">
        <f>SUMIF($AB$3:$CI$3,E$4,$AB45:$CI45)</f>
        <v>0.0</v>
      </c>
      <c r="F45" s="409">
        <f>SUMIF($AB$3:$CI$3,F$4,$AB45:$CI45)</f>
        <v>0.0</v>
      </c>
      <c r="G45" s="409">
        <f>SUMIF($AB$3:$CI$3,G$4,$AB45:$CI45)</f>
        <v>0.0</v>
      </c>
      <c r="H45" s="409">
        <f>SUMIF($AB$3:$CI$3,H$4,$AB45:$CI45)</f>
        <v>0.0</v>
      </c>
      <c r="I45" s="409">
        <f>SUMIF($AB$3:$CI$3,I$4,$AB45:$CI45)</f>
        <v>0.0</v>
      </c>
      <c r="J45" s="407">
        <f>SUM(E45:I45)</f>
        <v>0.0</v>
      </c>
      <c r="K45" s="407">
        <f>SUMIF($Q$3:$CN$3,K$4,$Q45:$CN45)</f>
        <v>0.0</v>
      </c>
      <c r="L45" s="407">
        <f>SUMIF($Q$3:$CN$3,L$4,$Q45:$CN45)</f>
        <v>0.0</v>
      </c>
      <c r="M45" s="407">
        <f>SUMIF($Q$3:$CN$3,M$4,$Q45:$CN45)</f>
        <v>0.0</v>
      </c>
      <c r="N45" s="407">
        <f>SUMIF($Q$3:$CN$3,N$4,$Q45:$CN45)</f>
        <v>0.0</v>
      </c>
      <c r="O45" s="235" t="n"/>
      <c r="P45" s="408" t="n"/>
      <c r="Q45" s="409" t="n"/>
      <c r="R45" s="409" t="n"/>
      <c r="S45" s="409" t="n"/>
      <c r="T45" s="409" t="n"/>
      <c r="U45" s="409" t="n"/>
      <c r="V45" s="409" t="n"/>
      <c r="W45" s="409" t="n"/>
      <c r="X45" s="409" t="n"/>
      <c r="Y45" s="409" t="n"/>
      <c r="Z45" s="409" t="n"/>
      <c r="AA45" s="412" t="n"/>
      <c r="AB45" s="408" t="n"/>
      <c r="AC45" s="409" t="n"/>
      <c r="AD45" s="409" t="n"/>
      <c r="AE45" s="409" t="n"/>
      <c r="AF45" s="409" t="n"/>
      <c r="AG45" s="409" t="n"/>
      <c r="AH45" s="409" t="n"/>
      <c r="AI45" s="409" t="n"/>
      <c r="AJ45" s="409" t="n"/>
      <c r="AK45" s="409" t="n"/>
      <c r="AL45" s="409" t="n"/>
      <c r="AM45" s="412" t="n"/>
      <c r="AN45" s="408" t="n"/>
      <c r="AO45" s="409" t="n"/>
      <c r="AP45" s="409" t="n"/>
      <c r="AQ45" s="409" t="n"/>
      <c r="AR45" s="409" t="n"/>
      <c r="AS45" s="409" t="n"/>
      <c r="AT45" s="409" t="n"/>
      <c r="AU45" s="409" t="n"/>
      <c r="AV45" s="409" t="n"/>
      <c r="AW45" s="409" t="n"/>
      <c r="AX45" s="409" t="n"/>
      <c r="AY45" s="412" t="n"/>
      <c r="AZ45" s="408" t="n"/>
      <c r="BA45" s="409" t="n"/>
      <c r="BB45" s="409" t="n"/>
      <c r="BC45" s="409" t="n"/>
      <c r="BD45" s="409" t="n"/>
      <c r="BE45" s="409" t="n"/>
      <c r="BF45" s="409" t="n"/>
      <c r="BG45" s="409" t="n"/>
      <c r="BH45" s="409" t="n"/>
      <c r="BI45" s="409" t="n"/>
      <c r="BJ45" s="409" t="n"/>
      <c r="BK45" s="412" t="n"/>
      <c r="BL45" s="408" t="n"/>
      <c r="BM45" s="409" t="n"/>
      <c r="BN45" s="409" t="n"/>
      <c r="BO45" s="409" t="n"/>
      <c r="BP45" s="409" t="n"/>
      <c r="BQ45" s="409" t="n"/>
      <c r="BR45" s="409" t="n"/>
      <c r="BS45" s="409" t="n"/>
      <c r="BT45" s="409" t="n"/>
      <c r="BU45" s="409" t="n"/>
      <c r="BV45" s="409" t="n"/>
      <c r="BW45" s="412" t="n"/>
      <c r="BX45" s="408" t="n"/>
      <c r="BY45" s="409" t="n"/>
      <c r="BZ45" s="409" t="n"/>
      <c r="CA45" s="409" t="n"/>
      <c r="CB45" s="409" t="n"/>
      <c r="CC45" s="409" t="n"/>
      <c r="CD45" s="409" t="n"/>
      <c r="CE45" s="409" t="n"/>
      <c r="CF45" s="409" t="n"/>
      <c r="CG45" s="409" t="n"/>
      <c r="CH45" s="409" t="n"/>
      <c r="CI45" s="412" t="n"/>
    </row>
    <row r="46" ht="18" customHeight="1" s="145">
      <c r="A46" s="233" t="n"/>
      <c r="B46" s="325" t="inlineStr">
        <is>
          <t>広告宣伝費</t>
        </is>
      </c>
      <c r="C46" s="325" t="n"/>
      <c r="D46" s="326" t="n"/>
      <c r="E46" s="469">
        <f>SUMIF($AB$3:$CI$3,E$4,$AB46:$CI46)</f>
        <v>3000000.0</v>
      </c>
      <c r="F46" s="470">
        <f>SUMIF($AB$3:$CI$3,F$4,$AB46:$CI46)</f>
        <v>8000000.0</v>
      </c>
      <c r="G46" s="470">
        <f>SUMIF($AB$3:$CI$3,G$4,$AB46:$CI46)</f>
        <v>20000000.0</v>
      </c>
      <c r="H46" s="470">
        <f>SUMIF($AB$3:$CI$3,H$4,$AB46:$CI46)</f>
        <v>40000000.0</v>
      </c>
      <c r="I46" s="470">
        <f>SUMIF($AB$3:$CI$3,I$4,$AB46:$CI46)</f>
        <v>80000000.0</v>
      </c>
      <c r="J46" s="478">
        <f>SUM(E46:I46)</f>
        <v>151000000.0</v>
      </c>
      <c r="K46" s="478">
        <f>SUMIF($Q$3:$CN$3,K$4,$Q46:$CN46)</f>
        <v>0.0</v>
      </c>
      <c r="L46" s="478">
        <f>SUMIF($Q$3:$CN$3,L$4,$Q46:$CN46)</f>
        <v>0.0</v>
      </c>
      <c r="M46" s="478">
        <f>SUMIF($Q$3:$CN$3,M$4,$Q46:$CN46)</f>
        <v>0.0</v>
      </c>
      <c r="N46" s="478">
        <f>SUMIF($Q$3:$CN$3,N$4,$Q46:$CN46)</f>
        <v>0.0</v>
      </c>
      <c r="O46" s="316" t="n"/>
      <c r="P46" s="469" t="n"/>
      <c r="Q46" s="470" t="n"/>
      <c r="R46" s="470" t="n"/>
      <c r="S46" s="470" t="n"/>
      <c r="T46" s="470" t="n"/>
      <c r="U46" s="470" t="n"/>
      <c r="V46" s="470" t="n"/>
      <c r="W46" s="470" t="n"/>
      <c r="X46" s="470" t="n"/>
      <c r="Y46" s="470" t="n"/>
      <c r="Z46" s="470" t="n"/>
      <c r="AA46" s="471" t="n"/>
      <c r="AB46" s="479">
        <f>SUM(AB47:AB49)</f>
        <v>250000.0</v>
      </c>
      <c r="AC46" s="480">
        <f>SUM(AC47:AC49)</f>
        <v>250000.0</v>
      </c>
      <c r="AD46" s="480">
        <f>SUM(AD47:AD49)</f>
        <v>250000.0</v>
      </c>
      <c r="AE46" s="480">
        <f>SUM(AE47:AE49)</f>
        <v>250000.0</v>
      </c>
      <c r="AF46" s="480">
        <f>SUM(AF47:AF49)</f>
        <v>250000.0</v>
      </c>
      <c r="AG46" s="470">
        <f>SUM(AG47:AG49)</f>
        <v>250000.0</v>
      </c>
      <c r="AH46" s="470">
        <f>SUM(AH47:AH49)</f>
        <v>250000.0</v>
      </c>
      <c r="AI46" s="470">
        <f>SUM(AI47:AI49)</f>
        <v>250000.0</v>
      </c>
      <c r="AJ46" s="470">
        <f>SUM(AJ47:AJ49)</f>
        <v>250000.0</v>
      </c>
      <c r="AK46" s="470">
        <f>SUM(AK47:AK49)</f>
        <v>250000.0</v>
      </c>
      <c r="AL46" s="470">
        <f>SUM(AL47:AL49)</f>
        <v>250000.0</v>
      </c>
      <c r="AM46" s="471">
        <f>SUM(AM47:AM49)</f>
        <v>250000.0</v>
      </c>
      <c r="AN46" s="469">
        <f>SUM(AN47:AN49)</f>
        <v>666667.0</v>
      </c>
      <c r="AO46" s="470">
        <f>SUM(AO47:AO49)</f>
        <v>666667.0</v>
      </c>
      <c r="AP46" s="470">
        <f>SUM(AP47:AP49)</f>
        <v>666667.0</v>
      </c>
      <c r="AQ46" s="470">
        <f>SUM(AQ47:AQ49)</f>
        <v>666667.0</v>
      </c>
      <c r="AR46" s="470">
        <f>SUM(AR47:AR49)</f>
        <v>666667.0</v>
      </c>
      <c r="AS46" s="470">
        <f>SUM(AS47:AS49)</f>
        <v>666667.0</v>
      </c>
      <c r="AT46" s="470">
        <f>SUM(AT47:AT49)</f>
        <v>666667.0</v>
      </c>
      <c r="AU46" s="470">
        <f>SUM(AU47:AU49)</f>
        <v>666667.0</v>
      </c>
      <c r="AV46" s="470">
        <f>SUM(AV47:AV49)</f>
        <v>666667.0</v>
      </c>
      <c r="AW46" s="470">
        <f>SUM(AW47:AW49)</f>
        <v>666667.0</v>
      </c>
      <c r="AX46" s="470">
        <f>SUM(AX47:AX49)</f>
        <v>666667.0</v>
      </c>
      <c r="AY46" s="471">
        <f>SUM(AY47:AY49)</f>
        <v>666663.0</v>
      </c>
      <c r="AZ46" s="469">
        <f>SUM(AZ47:AZ49)</f>
        <v>1666667.0</v>
      </c>
      <c r="BA46" s="470">
        <f>SUM(BA47:BA49)</f>
        <v>1666667.0</v>
      </c>
      <c r="BB46" s="470">
        <f>SUM(BB47:BB49)</f>
        <v>1666667.0</v>
      </c>
      <c r="BC46" s="470">
        <f>SUM(BC47:BC49)</f>
        <v>1666667.0</v>
      </c>
      <c r="BD46" s="470">
        <f>SUM(BD47:BD49)</f>
        <v>1666667.0</v>
      </c>
      <c r="BE46" s="470">
        <f>SUM(BE47:BE49)</f>
        <v>1666667.0</v>
      </c>
      <c r="BF46" s="470">
        <f>SUM(BF47:BF49)</f>
        <v>1666667.0</v>
      </c>
      <c r="BG46" s="470">
        <f>SUM(BG47:BG49)</f>
        <v>1666667.0</v>
      </c>
      <c r="BH46" s="470">
        <f>SUM(BH47:BH49)</f>
        <v>1666667.0</v>
      </c>
      <c r="BI46" s="470">
        <f>SUM(BI47:BI49)</f>
        <v>1666667.0</v>
      </c>
      <c r="BJ46" s="470">
        <f>SUM(BJ47:BJ49)</f>
        <v>1666667.0</v>
      </c>
      <c r="BK46" s="471">
        <f>SUM(BK47:BK49)</f>
        <v>1666663.0</v>
      </c>
      <c r="BL46" s="469">
        <f>SUM(BL47:BL49)</f>
        <v>3333333.0</v>
      </c>
      <c r="BM46" s="470">
        <f>SUM(BM47:BM49)</f>
        <v>3333333.0</v>
      </c>
      <c r="BN46" s="470">
        <f>SUM(BN47:BN49)</f>
        <v>3333333.0</v>
      </c>
      <c r="BO46" s="470">
        <f>SUM(BO47:BO49)</f>
        <v>3333333.0</v>
      </c>
      <c r="BP46" s="470">
        <f>SUM(BP47:BP49)</f>
        <v>3333333.0</v>
      </c>
      <c r="BQ46" s="470">
        <f>SUM(BQ47:BQ49)</f>
        <v>3333333.0</v>
      </c>
      <c r="BR46" s="470">
        <f>SUM(BR47:BR49)</f>
        <v>3333333.0</v>
      </c>
      <c r="BS46" s="470">
        <f>SUM(BS47:BS49)</f>
        <v>3333333.0</v>
      </c>
      <c r="BT46" s="470">
        <f>SUM(BT47:BT49)</f>
        <v>3333333.0</v>
      </c>
      <c r="BU46" s="470">
        <f>SUM(BU47:BU49)</f>
        <v>3333333.0</v>
      </c>
      <c r="BV46" s="470">
        <f>SUM(BV47:BV49)</f>
        <v>3333333.0</v>
      </c>
      <c r="BW46" s="471">
        <f>SUM(BW47:BW49)</f>
        <v>3333337.0</v>
      </c>
      <c r="BX46" s="469">
        <f>SUM(BX47:BX49)</f>
        <v>6666667.0</v>
      </c>
      <c r="BY46" s="470">
        <f>SUM(BY47:BY49)</f>
        <v>6666667.0</v>
      </c>
      <c r="BZ46" s="470">
        <f>SUM(BZ47:BZ49)</f>
        <v>6666667.0</v>
      </c>
      <c r="CA46" s="470">
        <f>SUM(CA47:CA49)</f>
        <v>6666667.0</v>
      </c>
      <c r="CB46" s="470">
        <f>SUM(CB47:CB49)</f>
        <v>6666667.0</v>
      </c>
      <c r="CC46" s="470">
        <f>SUM(CC47:CC49)</f>
        <v>6666667.0</v>
      </c>
      <c r="CD46" s="470">
        <f>SUM(CD47:CD49)</f>
        <v>6666667.0</v>
      </c>
      <c r="CE46" s="470">
        <f>SUM(CE47:CE49)</f>
        <v>6666667.0</v>
      </c>
      <c r="CF46" s="470">
        <f>SUM(CF47:CF49)</f>
        <v>6666667.0</v>
      </c>
      <c r="CG46" s="470">
        <f>SUM(CG47:CG49)</f>
        <v>6666667.0</v>
      </c>
      <c r="CH46" s="470">
        <f>SUM(CH47:CH49)</f>
        <v>6666667.0</v>
      </c>
      <c r="CI46" s="471">
        <f>SUM(CI47:CI49)</f>
        <v>6666663.0</v>
      </c>
    </row>
    <row r="47" ht="18" customHeight="1" s="145">
      <c r="A47" s="233" t="n"/>
      <c r="B47" s="233" t="n"/>
      <c r="C47" s="233" t="inlineStr">
        <is>
          <t>全社</t>
        </is>
      </c>
      <c r="D47" s="234" t="n"/>
      <c r="E47" s="408">
        <f>SUMIF($AB$3:$CI$3,E$4,$AB47:$CI47)</f>
        <v>3000000.0</v>
      </c>
      <c r="F47" s="409">
        <f>SUMIF($AB$3:$CI$3,F$4,$AB47:$CI47)</f>
        <v>8000000.0</v>
      </c>
      <c r="G47" s="409">
        <f>SUMIF($AB$3:$CI$3,G$4,$AB47:$CI47)</f>
        <v>20000000.0</v>
      </c>
      <c r="H47" s="409">
        <f>SUMIF($AB$3:$CI$3,H$4,$AB47:$CI47)</f>
        <v>40000000.0</v>
      </c>
      <c r="I47" s="409">
        <f>SUMIF($AB$3:$CI$3,I$4,$AB47:$CI47)</f>
        <v>80000000.0</v>
      </c>
      <c r="J47" s="407">
        <f>SUM(E47:I47)</f>
        <v>151000000.0</v>
      </c>
      <c r="K47" s="407">
        <f>SUMIF($Q$3:$CN$3,K$4,$Q47:$CN47)</f>
        <v>0.0</v>
      </c>
      <c r="L47" s="407">
        <f>SUMIF($Q$3:$CN$3,L$4,$Q47:$CN47)</f>
        <v>0.0</v>
      </c>
      <c r="M47" s="407">
        <f>SUMIF($Q$3:$CN$3,M$4,$Q47:$CN47)</f>
        <v>0.0</v>
      </c>
      <c r="N47" s="407" t="n"/>
      <c r="O47" s="235" t="n"/>
      <c r="P47" s="408" t="n"/>
      <c r="Q47" s="409" t="n"/>
      <c r="R47" s="409" t="n"/>
      <c r="S47" s="409" t="n"/>
      <c r="T47" s="409" t="n"/>
      <c r="U47" s="409" t="n"/>
      <c r="V47" s="409" t="n"/>
      <c r="W47" s="409" t="n"/>
      <c r="X47" s="409" t="n"/>
      <c r="Y47" s="409" t="n"/>
      <c r="Z47" s="409" t="n"/>
      <c r="AA47" s="412" t="n"/>
      <c r="AB47" s="408">
        <f>ROUND(INDEX(販管費予算!$E$11:$I$11,MATCH(AB$3,販管費予算!$E$4:$I$4,0))/12,0)+IF(COUNTIF($AB$3:AB$3,AB$3)=12,INDEX(販管費予算!$E$11:$I$11,MATCH(AB$3,販管費予算!$E$4:$I$4,0))-12*ROUND(INDEX(販管費予算!$E$11:$I$11,MATCH(AB$3,販管費予算!$E$4:$I$4,0))/12,0),0)</f>
        <v>250000.0</v>
      </c>
      <c r="AC47" s="409">
        <f>ROUND(INDEX(販管費予算!$E$11:$I$11,MATCH(AC$3,販管費予算!$E$4:$I$4,0))/12,0)+IF(COUNTIF($AB$3:AC$3,AC$3)=12,INDEX(販管費予算!$E$11:$I$11,MATCH(AC$3,販管費予算!$E$4:$I$4,0))-12*ROUND(INDEX(販管費予算!$E$11:$I$11,MATCH(AC$3,販管費予算!$E$4:$I$4,0))/12,0),0)</f>
        <v>250000.0</v>
      </c>
      <c r="AD47" s="409">
        <f>ROUND(INDEX(販管費予算!$E$11:$I$11,MATCH(AD$3,販管費予算!$E$4:$I$4,0))/12,0)+IF(COUNTIF($AB$3:AD$3,AD$3)=12,INDEX(販管費予算!$E$11:$I$11,MATCH(AD$3,販管費予算!$E$4:$I$4,0))-12*ROUND(INDEX(販管費予算!$E$11:$I$11,MATCH(AD$3,販管費予算!$E$4:$I$4,0))/12,0),0)</f>
        <v>250000.0</v>
      </c>
      <c r="AE47" s="409">
        <f>ROUND(INDEX(販管費予算!$E$11:$I$11,MATCH(AE$3,販管費予算!$E$4:$I$4,0))/12,0)+IF(COUNTIF($AB$3:AE$3,AE$3)=12,INDEX(販管費予算!$E$11:$I$11,MATCH(AE$3,販管費予算!$E$4:$I$4,0))-12*ROUND(INDEX(販管費予算!$E$11:$I$11,MATCH(AE$3,販管費予算!$E$4:$I$4,0))/12,0),0)</f>
        <v>250000.0</v>
      </c>
      <c r="AF47" s="409">
        <f>ROUND(INDEX(販管費予算!$E$11:$I$11,MATCH(AF$3,販管費予算!$E$4:$I$4,0))/12,0)+IF(COUNTIF($AB$3:AF$3,AF$3)=12,INDEX(販管費予算!$E$11:$I$11,MATCH(AF$3,販管費予算!$E$4:$I$4,0))-12*ROUND(INDEX(販管費予算!$E$11:$I$11,MATCH(AF$3,販管費予算!$E$4:$I$4,0))/12,0),0)</f>
        <v>250000.0</v>
      </c>
      <c r="AG47" s="409">
        <f>ROUND(INDEX(販管費予算!$E$11:$I$11,MATCH(AG$3,販管費予算!$E$4:$I$4,0))/12,0)+IF(COUNTIF($AB$3:AG$3,AG$3)=12,INDEX(販管費予算!$E$11:$I$11,MATCH(AG$3,販管費予算!$E$4:$I$4,0))-12*ROUND(INDEX(販管費予算!$E$11:$I$11,MATCH(AG$3,販管費予算!$E$4:$I$4,0))/12,0),0)</f>
        <v>250000.0</v>
      </c>
      <c r="AH47" s="409">
        <f>ROUND(INDEX(販管費予算!$E$11:$I$11,MATCH(AH$3,販管費予算!$E$4:$I$4,0))/12,0)+IF(COUNTIF($AB$3:AH$3,AH$3)=12,INDEX(販管費予算!$E$11:$I$11,MATCH(AH$3,販管費予算!$E$4:$I$4,0))-12*ROUND(INDEX(販管費予算!$E$11:$I$11,MATCH(AH$3,販管費予算!$E$4:$I$4,0))/12,0),0)</f>
        <v>250000.0</v>
      </c>
      <c r="AI47" s="409">
        <f>ROUND(INDEX(販管費予算!$E$11:$I$11,MATCH(AI$3,販管費予算!$E$4:$I$4,0))/12,0)+IF(COUNTIF($AB$3:AI$3,AI$3)=12,INDEX(販管費予算!$E$11:$I$11,MATCH(AI$3,販管費予算!$E$4:$I$4,0))-12*ROUND(INDEX(販管費予算!$E$11:$I$11,MATCH(AI$3,販管費予算!$E$4:$I$4,0))/12,0),0)</f>
        <v>250000.0</v>
      </c>
      <c r="AJ47" s="409">
        <f>ROUND(INDEX(販管費予算!$E$11:$I$11,MATCH(AJ$3,販管費予算!$E$4:$I$4,0))/12,0)+IF(COUNTIF($AB$3:AJ$3,AJ$3)=12,INDEX(販管費予算!$E$11:$I$11,MATCH(AJ$3,販管費予算!$E$4:$I$4,0))-12*ROUND(INDEX(販管費予算!$E$11:$I$11,MATCH(AJ$3,販管費予算!$E$4:$I$4,0))/12,0),0)</f>
        <v>250000.0</v>
      </c>
      <c r="AK47" s="409">
        <f>ROUND(INDEX(販管費予算!$E$11:$I$11,MATCH(AK$3,販管費予算!$E$4:$I$4,0))/12,0)+IF(COUNTIF($AB$3:AK$3,AK$3)=12,INDEX(販管費予算!$E$11:$I$11,MATCH(AK$3,販管費予算!$E$4:$I$4,0))-12*ROUND(INDEX(販管費予算!$E$11:$I$11,MATCH(AK$3,販管費予算!$E$4:$I$4,0))/12,0),0)</f>
        <v>250000.0</v>
      </c>
      <c r="AL47" s="409">
        <f>ROUND(INDEX(販管費予算!$E$11:$I$11,MATCH(AL$3,販管費予算!$E$4:$I$4,0))/12,0)+IF(COUNTIF($AB$3:AL$3,AL$3)=12,INDEX(販管費予算!$E$11:$I$11,MATCH(AL$3,販管費予算!$E$4:$I$4,0))-12*ROUND(INDEX(販管費予算!$E$11:$I$11,MATCH(AL$3,販管費予算!$E$4:$I$4,0))/12,0),0)</f>
        <v>250000.0</v>
      </c>
      <c r="AM47" s="412">
        <f>ROUND(INDEX(販管費予算!$E$11:$I$11,MATCH(AM$3,販管費予算!$E$4:$I$4,0))/12,0)+IF(COUNTIF($AB$3:AM$3,AM$3)=12,INDEX(販管費予算!$E$11:$I$11,MATCH(AM$3,販管費予算!$E$4:$I$4,0))-12*ROUND(INDEX(販管費予算!$E$11:$I$11,MATCH(AM$3,販管費予算!$E$4:$I$4,0))/12,0),0)</f>
        <v>250000.0</v>
      </c>
      <c r="AN47" s="408">
        <f>ROUND(INDEX(販管費予算!$E$11:$I$11,MATCH(AN$3,販管費予算!$E$4:$I$4,0))/12,0)+IF(COUNTIF($AB$3:AN$3,AN$3)=12,INDEX(販管費予算!$E$11:$I$11,MATCH(AN$3,販管費予算!$E$4:$I$4,0))-12*ROUND(INDEX(販管費予算!$E$11:$I$11,MATCH(AN$3,販管費予算!$E$4:$I$4,0))/12,0),0)</f>
        <v>666667.0</v>
      </c>
      <c r="AO47" s="409">
        <f>ROUND(INDEX(販管費予算!$E$11:$I$11,MATCH(AO$3,販管費予算!$E$4:$I$4,0))/12,0)+IF(COUNTIF($AB$3:AO$3,AO$3)=12,INDEX(販管費予算!$E$11:$I$11,MATCH(AO$3,販管費予算!$E$4:$I$4,0))-12*ROUND(INDEX(販管費予算!$E$11:$I$11,MATCH(AO$3,販管費予算!$E$4:$I$4,0))/12,0),0)</f>
        <v>666667.0</v>
      </c>
      <c r="AP47" s="409">
        <f>ROUND(INDEX(販管費予算!$E$11:$I$11,MATCH(AP$3,販管費予算!$E$4:$I$4,0))/12,0)+IF(COUNTIF($AB$3:AP$3,AP$3)=12,INDEX(販管費予算!$E$11:$I$11,MATCH(AP$3,販管費予算!$E$4:$I$4,0))-12*ROUND(INDEX(販管費予算!$E$11:$I$11,MATCH(AP$3,販管費予算!$E$4:$I$4,0))/12,0),0)</f>
        <v>666667.0</v>
      </c>
      <c r="AQ47" s="409">
        <f>ROUND(INDEX(販管費予算!$E$11:$I$11,MATCH(AQ$3,販管費予算!$E$4:$I$4,0))/12,0)+IF(COUNTIF($AB$3:AQ$3,AQ$3)=12,INDEX(販管費予算!$E$11:$I$11,MATCH(AQ$3,販管費予算!$E$4:$I$4,0))-12*ROUND(INDEX(販管費予算!$E$11:$I$11,MATCH(AQ$3,販管費予算!$E$4:$I$4,0))/12,0),0)</f>
        <v>666667.0</v>
      </c>
      <c r="AR47" s="409">
        <f>ROUND(INDEX(販管費予算!$E$11:$I$11,MATCH(AR$3,販管費予算!$E$4:$I$4,0))/12,0)+IF(COUNTIF($AB$3:AR$3,AR$3)=12,INDEX(販管費予算!$E$11:$I$11,MATCH(AR$3,販管費予算!$E$4:$I$4,0))-12*ROUND(INDEX(販管費予算!$E$11:$I$11,MATCH(AR$3,販管費予算!$E$4:$I$4,0))/12,0),0)</f>
        <v>666667.0</v>
      </c>
      <c r="AS47" s="409">
        <f>ROUND(INDEX(販管費予算!$E$11:$I$11,MATCH(AS$3,販管費予算!$E$4:$I$4,0))/12,0)+IF(COUNTIF($AB$3:AS$3,AS$3)=12,INDEX(販管費予算!$E$11:$I$11,MATCH(AS$3,販管費予算!$E$4:$I$4,0))-12*ROUND(INDEX(販管費予算!$E$11:$I$11,MATCH(AS$3,販管費予算!$E$4:$I$4,0))/12,0),0)</f>
        <v>666667.0</v>
      </c>
      <c r="AT47" s="409">
        <f>ROUND(INDEX(販管費予算!$E$11:$I$11,MATCH(AT$3,販管費予算!$E$4:$I$4,0))/12,0)+IF(COUNTIF($AB$3:AT$3,AT$3)=12,INDEX(販管費予算!$E$11:$I$11,MATCH(AT$3,販管費予算!$E$4:$I$4,0))-12*ROUND(INDEX(販管費予算!$E$11:$I$11,MATCH(AT$3,販管費予算!$E$4:$I$4,0))/12,0),0)</f>
        <v>666667.0</v>
      </c>
      <c r="AU47" s="409">
        <f>ROUND(INDEX(販管費予算!$E$11:$I$11,MATCH(AU$3,販管費予算!$E$4:$I$4,0))/12,0)+IF(COUNTIF($AB$3:AU$3,AU$3)=12,INDEX(販管費予算!$E$11:$I$11,MATCH(AU$3,販管費予算!$E$4:$I$4,0))-12*ROUND(INDEX(販管費予算!$E$11:$I$11,MATCH(AU$3,販管費予算!$E$4:$I$4,0))/12,0),0)</f>
        <v>666667.0</v>
      </c>
      <c r="AV47" s="409">
        <f>ROUND(INDEX(販管費予算!$E$11:$I$11,MATCH(AV$3,販管費予算!$E$4:$I$4,0))/12,0)+IF(COUNTIF($AB$3:AV$3,AV$3)=12,INDEX(販管費予算!$E$11:$I$11,MATCH(AV$3,販管費予算!$E$4:$I$4,0))-12*ROUND(INDEX(販管費予算!$E$11:$I$11,MATCH(AV$3,販管費予算!$E$4:$I$4,0))/12,0),0)</f>
        <v>666667.0</v>
      </c>
      <c r="AW47" s="409">
        <f>ROUND(INDEX(販管費予算!$E$11:$I$11,MATCH(AW$3,販管費予算!$E$4:$I$4,0))/12,0)+IF(COUNTIF($AB$3:AW$3,AW$3)=12,INDEX(販管費予算!$E$11:$I$11,MATCH(AW$3,販管費予算!$E$4:$I$4,0))-12*ROUND(INDEX(販管費予算!$E$11:$I$11,MATCH(AW$3,販管費予算!$E$4:$I$4,0))/12,0),0)</f>
        <v>666667.0</v>
      </c>
      <c r="AX47" s="409">
        <f>ROUND(INDEX(販管費予算!$E$11:$I$11,MATCH(AX$3,販管費予算!$E$4:$I$4,0))/12,0)+IF(COUNTIF($AB$3:AX$3,AX$3)=12,INDEX(販管費予算!$E$11:$I$11,MATCH(AX$3,販管費予算!$E$4:$I$4,0))-12*ROUND(INDEX(販管費予算!$E$11:$I$11,MATCH(AX$3,販管費予算!$E$4:$I$4,0))/12,0),0)</f>
        <v>666667.0</v>
      </c>
      <c r="AY47" s="412">
        <f>ROUND(INDEX(販管費予算!$E$11:$I$11,MATCH(AY$3,販管費予算!$E$4:$I$4,0))/12,0)+IF(COUNTIF($AB$3:AY$3,AY$3)=12,INDEX(販管費予算!$E$11:$I$11,MATCH(AY$3,販管費予算!$E$4:$I$4,0))-12*ROUND(INDEX(販管費予算!$E$11:$I$11,MATCH(AY$3,販管費予算!$E$4:$I$4,0))/12,0),0)</f>
        <v>666663.0</v>
      </c>
      <c r="AZ47" s="408">
        <f>ROUND(INDEX(販管費予算!$E$11:$I$11,MATCH(AZ$3,販管費予算!$E$4:$I$4,0))/12,0)+IF(COUNTIF($AB$3:AZ$3,AZ$3)=12,INDEX(販管費予算!$E$11:$I$11,MATCH(AZ$3,販管費予算!$E$4:$I$4,0))-12*ROUND(INDEX(販管費予算!$E$11:$I$11,MATCH(AZ$3,販管費予算!$E$4:$I$4,0))/12,0),0)</f>
        <v>1666667.0</v>
      </c>
      <c r="BA47" s="409">
        <f>ROUND(INDEX(販管費予算!$E$11:$I$11,MATCH(BA$3,販管費予算!$E$4:$I$4,0))/12,0)+IF(COUNTIF($AB$3:BA$3,BA$3)=12,INDEX(販管費予算!$E$11:$I$11,MATCH(BA$3,販管費予算!$E$4:$I$4,0))-12*ROUND(INDEX(販管費予算!$E$11:$I$11,MATCH(BA$3,販管費予算!$E$4:$I$4,0))/12,0),0)</f>
        <v>1666667.0</v>
      </c>
      <c r="BB47" s="409">
        <f>ROUND(INDEX(販管費予算!$E$11:$I$11,MATCH(BB$3,販管費予算!$E$4:$I$4,0))/12,0)+IF(COUNTIF($AB$3:BB$3,BB$3)=12,INDEX(販管費予算!$E$11:$I$11,MATCH(BB$3,販管費予算!$E$4:$I$4,0))-12*ROUND(INDEX(販管費予算!$E$11:$I$11,MATCH(BB$3,販管費予算!$E$4:$I$4,0))/12,0),0)</f>
        <v>1666667.0</v>
      </c>
      <c r="BC47" s="409">
        <f>ROUND(INDEX(販管費予算!$E$11:$I$11,MATCH(BC$3,販管費予算!$E$4:$I$4,0))/12,0)+IF(COUNTIF($AB$3:BC$3,BC$3)=12,INDEX(販管費予算!$E$11:$I$11,MATCH(BC$3,販管費予算!$E$4:$I$4,0))-12*ROUND(INDEX(販管費予算!$E$11:$I$11,MATCH(BC$3,販管費予算!$E$4:$I$4,0))/12,0),0)</f>
        <v>1666667.0</v>
      </c>
      <c r="BD47" s="409">
        <f>ROUND(INDEX(販管費予算!$E$11:$I$11,MATCH(BD$3,販管費予算!$E$4:$I$4,0))/12,0)+IF(COUNTIF($AB$3:BD$3,BD$3)=12,INDEX(販管費予算!$E$11:$I$11,MATCH(BD$3,販管費予算!$E$4:$I$4,0))-12*ROUND(INDEX(販管費予算!$E$11:$I$11,MATCH(BD$3,販管費予算!$E$4:$I$4,0))/12,0),0)</f>
        <v>1666667.0</v>
      </c>
      <c r="BE47" s="409">
        <f>ROUND(INDEX(販管費予算!$E$11:$I$11,MATCH(BE$3,販管費予算!$E$4:$I$4,0))/12,0)+IF(COUNTIF($AB$3:BE$3,BE$3)=12,INDEX(販管費予算!$E$11:$I$11,MATCH(BE$3,販管費予算!$E$4:$I$4,0))-12*ROUND(INDEX(販管費予算!$E$11:$I$11,MATCH(BE$3,販管費予算!$E$4:$I$4,0))/12,0),0)</f>
        <v>1666667.0</v>
      </c>
      <c r="BF47" s="409">
        <f>ROUND(INDEX(販管費予算!$E$11:$I$11,MATCH(BF$3,販管費予算!$E$4:$I$4,0))/12,0)+IF(COUNTIF($AB$3:BF$3,BF$3)=12,INDEX(販管費予算!$E$11:$I$11,MATCH(BF$3,販管費予算!$E$4:$I$4,0))-12*ROUND(INDEX(販管費予算!$E$11:$I$11,MATCH(BF$3,販管費予算!$E$4:$I$4,0))/12,0),0)</f>
        <v>1666667.0</v>
      </c>
      <c r="BG47" s="409">
        <f>ROUND(INDEX(販管費予算!$E$11:$I$11,MATCH(BG$3,販管費予算!$E$4:$I$4,0))/12,0)+IF(COUNTIF($AB$3:BG$3,BG$3)=12,INDEX(販管費予算!$E$11:$I$11,MATCH(BG$3,販管費予算!$E$4:$I$4,0))-12*ROUND(INDEX(販管費予算!$E$11:$I$11,MATCH(BG$3,販管費予算!$E$4:$I$4,0))/12,0),0)</f>
        <v>1666667.0</v>
      </c>
      <c r="BH47" s="409">
        <f>ROUND(INDEX(販管費予算!$E$11:$I$11,MATCH(BH$3,販管費予算!$E$4:$I$4,0))/12,0)+IF(COUNTIF($AB$3:BH$3,BH$3)=12,INDEX(販管費予算!$E$11:$I$11,MATCH(BH$3,販管費予算!$E$4:$I$4,0))-12*ROUND(INDEX(販管費予算!$E$11:$I$11,MATCH(BH$3,販管費予算!$E$4:$I$4,0))/12,0),0)</f>
        <v>1666667.0</v>
      </c>
      <c r="BI47" s="409">
        <f>ROUND(INDEX(販管費予算!$E$11:$I$11,MATCH(BI$3,販管費予算!$E$4:$I$4,0))/12,0)+IF(COUNTIF($AB$3:BI$3,BI$3)=12,INDEX(販管費予算!$E$11:$I$11,MATCH(BI$3,販管費予算!$E$4:$I$4,0))-12*ROUND(INDEX(販管費予算!$E$11:$I$11,MATCH(BI$3,販管費予算!$E$4:$I$4,0))/12,0),0)</f>
        <v>1666667.0</v>
      </c>
      <c r="BJ47" s="409">
        <f>ROUND(INDEX(販管費予算!$E$11:$I$11,MATCH(BJ$3,販管費予算!$E$4:$I$4,0))/12,0)+IF(COUNTIF($AB$3:BJ$3,BJ$3)=12,INDEX(販管費予算!$E$11:$I$11,MATCH(BJ$3,販管費予算!$E$4:$I$4,0))-12*ROUND(INDEX(販管費予算!$E$11:$I$11,MATCH(BJ$3,販管費予算!$E$4:$I$4,0))/12,0),0)</f>
        <v>1666667.0</v>
      </c>
      <c r="BK47" s="412">
        <f>ROUND(INDEX(販管費予算!$E$11:$I$11,MATCH(BK$3,販管費予算!$E$4:$I$4,0))/12,0)+IF(COUNTIF($AB$3:BK$3,BK$3)=12,INDEX(販管費予算!$E$11:$I$11,MATCH(BK$3,販管費予算!$E$4:$I$4,0))-12*ROUND(INDEX(販管費予算!$E$11:$I$11,MATCH(BK$3,販管費予算!$E$4:$I$4,0))/12,0),0)</f>
        <v>1666663.0</v>
      </c>
      <c r="BL47" s="408">
        <f>ROUND(INDEX(販管費予算!$E$11:$I$11,MATCH(BL$3,販管費予算!$E$4:$I$4,0))/12,0)+IF(COUNTIF($AB$3:BL$3,BL$3)=12,INDEX(販管費予算!$E$11:$I$11,MATCH(BL$3,販管費予算!$E$4:$I$4,0))-12*ROUND(INDEX(販管費予算!$E$11:$I$11,MATCH(BL$3,販管費予算!$E$4:$I$4,0))/12,0),0)</f>
        <v>3333333.0</v>
      </c>
      <c r="BM47" s="409">
        <f>ROUND(INDEX(販管費予算!$E$11:$I$11,MATCH(BM$3,販管費予算!$E$4:$I$4,0))/12,0)+IF(COUNTIF($AB$3:BM$3,BM$3)=12,INDEX(販管費予算!$E$11:$I$11,MATCH(BM$3,販管費予算!$E$4:$I$4,0))-12*ROUND(INDEX(販管費予算!$E$11:$I$11,MATCH(BM$3,販管費予算!$E$4:$I$4,0))/12,0),0)</f>
        <v>3333333.0</v>
      </c>
      <c r="BN47" s="409">
        <f>ROUND(INDEX(販管費予算!$E$11:$I$11,MATCH(BN$3,販管費予算!$E$4:$I$4,0))/12,0)+IF(COUNTIF($AB$3:BN$3,BN$3)=12,INDEX(販管費予算!$E$11:$I$11,MATCH(BN$3,販管費予算!$E$4:$I$4,0))-12*ROUND(INDEX(販管費予算!$E$11:$I$11,MATCH(BN$3,販管費予算!$E$4:$I$4,0))/12,0),0)</f>
        <v>3333333.0</v>
      </c>
      <c r="BO47" s="409">
        <f>ROUND(INDEX(販管費予算!$E$11:$I$11,MATCH(BO$3,販管費予算!$E$4:$I$4,0))/12,0)+IF(COUNTIF($AB$3:BO$3,BO$3)=12,INDEX(販管費予算!$E$11:$I$11,MATCH(BO$3,販管費予算!$E$4:$I$4,0))-12*ROUND(INDEX(販管費予算!$E$11:$I$11,MATCH(BO$3,販管費予算!$E$4:$I$4,0))/12,0),0)</f>
        <v>3333333.0</v>
      </c>
      <c r="BP47" s="409">
        <f>ROUND(INDEX(販管費予算!$E$11:$I$11,MATCH(BP$3,販管費予算!$E$4:$I$4,0))/12,0)+IF(COUNTIF($AB$3:BP$3,BP$3)=12,INDEX(販管費予算!$E$11:$I$11,MATCH(BP$3,販管費予算!$E$4:$I$4,0))-12*ROUND(INDEX(販管費予算!$E$11:$I$11,MATCH(BP$3,販管費予算!$E$4:$I$4,0))/12,0),0)</f>
        <v>3333333.0</v>
      </c>
      <c r="BQ47" s="409">
        <f>ROUND(INDEX(販管費予算!$E$11:$I$11,MATCH(BQ$3,販管費予算!$E$4:$I$4,0))/12,0)+IF(COUNTIF($AB$3:BQ$3,BQ$3)=12,INDEX(販管費予算!$E$11:$I$11,MATCH(BQ$3,販管費予算!$E$4:$I$4,0))-12*ROUND(INDEX(販管費予算!$E$11:$I$11,MATCH(BQ$3,販管費予算!$E$4:$I$4,0))/12,0),0)</f>
        <v>3333333.0</v>
      </c>
      <c r="BR47" s="409">
        <f>ROUND(INDEX(販管費予算!$E$11:$I$11,MATCH(BR$3,販管費予算!$E$4:$I$4,0))/12,0)+IF(COUNTIF($AB$3:BR$3,BR$3)=12,INDEX(販管費予算!$E$11:$I$11,MATCH(BR$3,販管費予算!$E$4:$I$4,0))-12*ROUND(INDEX(販管費予算!$E$11:$I$11,MATCH(BR$3,販管費予算!$E$4:$I$4,0))/12,0),0)</f>
        <v>3333333.0</v>
      </c>
      <c r="BS47" s="409">
        <f>ROUND(INDEX(販管費予算!$E$11:$I$11,MATCH(BS$3,販管費予算!$E$4:$I$4,0))/12,0)+IF(COUNTIF($AB$3:BS$3,BS$3)=12,INDEX(販管費予算!$E$11:$I$11,MATCH(BS$3,販管費予算!$E$4:$I$4,0))-12*ROUND(INDEX(販管費予算!$E$11:$I$11,MATCH(BS$3,販管費予算!$E$4:$I$4,0))/12,0),0)</f>
        <v>3333333.0</v>
      </c>
      <c r="BT47" s="409">
        <f>ROUND(INDEX(販管費予算!$E$11:$I$11,MATCH(BT$3,販管費予算!$E$4:$I$4,0))/12,0)+IF(COUNTIF($AB$3:BT$3,BT$3)=12,INDEX(販管費予算!$E$11:$I$11,MATCH(BT$3,販管費予算!$E$4:$I$4,0))-12*ROUND(INDEX(販管費予算!$E$11:$I$11,MATCH(BT$3,販管費予算!$E$4:$I$4,0))/12,0),0)</f>
        <v>3333333.0</v>
      </c>
      <c r="BU47" s="409">
        <f>ROUND(INDEX(販管費予算!$E$11:$I$11,MATCH(BU$3,販管費予算!$E$4:$I$4,0))/12,0)+IF(COUNTIF($AB$3:BU$3,BU$3)=12,INDEX(販管費予算!$E$11:$I$11,MATCH(BU$3,販管費予算!$E$4:$I$4,0))-12*ROUND(INDEX(販管費予算!$E$11:$I$11,MATCH(BU$3,販管費予算!$E$4:$I$4,0))/12,0),0)</f>
        <v>3333333.0</v>
      </c>
      <c r="BV47" s="409">
        <f>ROUND(INDEX(販管費予算!$E$11:$I$11,MATCH(BV$3,販管費予算!$E$4:$I$4,0))/12,0)+IF(COUNTIF($AB$3:BV$3,BV$3)=12,INDEX(販管費予算!$E$11:$I$11,MATCH(BV$3,販管費予算!$E$4:$I$4,0))-12*ROUND(INDEX(販管費予算!$E$11:$I$11,MATCH(BV$3,販管費予算!$E$4:$I$4,0))/12,0),0)</f>
        <v>3333333.0</v>
      </c>
      <c r="BW47" s="412">
        <f>ROUND(INDEX(販管費予算!$E$11:$I$11,MATCH(BW$3,販管費予算!$E$4:$I$4,0))/12,0)+IF(COUNTIF($AB$3:BW$3,BW$3)=12,INDEX(販管費予算!$E$11:$I$11,MATCH(BW$3,販管費予算!$E$4:$I$4,0))-12*ROUND(INDEX(販管費予算!$E$11:$I$11,MATCH(BW$3,販管費予算!$E$4:$I$4,0))/12,0),0)</f>
        <v>3333337.0</v>
      </c>
      <c r="BX47" s="408">
        <f>ROUND(INDEX(販管費予算!$E$11:$I$11,MATCH(BX$3,販管費予算!$E$4:$I$4,0))/12,0)+IF(COUNTIF($AB$3:BX$3,BX$3)=12,INDEX(販管費予算!$E$11:$I$11,MATCH(BX$3,販管費予算!$E$4:$I$4,0))-12*ROUND(INDEX(販管費予算!$E$11:$I$11,MATCH(BX$3,販管費予算!$E$4:$I$4,0))/12,0),0)</f>
        <v>6666667.0</v>
      </c>
      <c r="BY47" s="409">
        <f>ROUND(INDEX(販管費予算!$E$11:$I$11,MATCH(BY$3,販管費予算!$E$4:$I$4,0))/12,0)+IF(COUNTIF($AB$3:BY$3,BY$3)=12,INDEX(販管費予算!$E$11:$I$11,MATCH(BY$3,販管費予算!$E$4:$I$4,0))-12*ROUND(INDEX(販管費予算!$E$11:$I$11,MATCH(BY$3,販管費予算!$E$4:$I$4,0))/12,0),0)</f>
        <v>6666667.0</v>
      </c>
      <c r="BZ47" s="409">
        <f>ROUND(INDEX(販管費予算!$E$11:$I$11,MATCH(BZ$3,販管費予算!$E$4:$I$4,0))/12,0)+IF(COUNTIF($AB$3:BZ$3,BZ$3)=12,INDEX(販管費予算!$E$11:$I$11,MATCH(BZ$3,販管費予算!$E$4:$I$4,0))-12*ROUND(INDEX(販管費予算!$E$11:$I$11,MATCH(BZ$3,販管費予算!$E$4:$I$4,0))/12,0),0)</f>
        <v>6666667.0</v>
      </c>
      <c r="CA47" s="409">
        <f>ROUND(INDEX(販管費予算!$E$11:$I$11,MATCH(CA$3,販管費予算!$E$4:$I$4,0))/12,0)+IF(COUNTIF($AB$3:CA$3,CA$3)=12,INDEX(販管費予算!$E$11:$I$11,MATCH(CA$3,販管費予算!$E$4:$I$4,0))-12*ROUND(INDEX(販管費予算!$E$11:$I$11,MATCH(CA$3,販管費予算!$E$4:$I$4,0))/12,0),0)</f>
        <v>6666667.0</v>
      </c>
      <c r="CB47" s="409">
        <f>ROUND(INDEX(販管費予算!$E$11:$I$11,MATCH(CB$3,販管費予算!$E$4:$I$4,0))/12,0)+IF(COUNTIF($AB$3:CB$3,CB$3)=12,INDEX(販管費予算!$E$11:$I$11,MATCH(CB$3,販管費予算!$E$4:$I$4,0))-12*ROUND(INDEX(販管費予算!$E$11:$I$11,MATCH(CB$3,販管費予算!$E$4:$I$4,0))/12,0),0)</f>
        <v>6666667.0</v>
      </c>
      <c r="CC47" s="409">
        <f>ROUND(INDEX(販管費予算!$E$11:$I$11,MATCH(CC$3,販管費予算!$E$4:$I$4,0))/12,0)+IF(COUNTIF($AB$3:CC$3,CC$3)=12,INDEX(販管費予算!$E$11:$I$11,MATCH(CC$3,販管費予算!$E$4:$I$4,0))-12*ROUND(INDEX(販管費予算!$E$11:$I$11,MATCH(CC$3,販管費予算!$E$4:$I$4,0))/12,0),0)</f>
        <v>6666667.0</v>
      </c>
      <c r="CD47" s="409">
        <f>ROUND(INDEX(販管費予算!$E$11:$I$11,MATCH(CD$3,販管費予算!$E$4:$I$4,0))/12,0)+IF(COUNTIF($AB$3:CD$3,CD$3)=12,INDEX(販管費予算!$E$11:$I$11,MATCH(CD$3,販管費予算!$E$4:$I$4,0))-12*ROUND(INDEX(販管費予算!$E$11:$I$11,MATCH(CD$3,販管費予算!$E$4:$I$4,0))/12,0),0)</f>
        <v>6666667.0</v>
      </c>
      <c r="CE47" s="409">
        <f>ROUND(INDEX(販管費予算!$E$11:$I$11,MATCH(CE$3,販管費予算!$E$4:$I$4,0))/12,0)+IF(COUNTIF($AB$3:CE$3,CE$3)=12,INDEX(販管費予算!$E$11:$I$11,MATCH(CE$3,販管費予算!$E$4:$I$4,0))-12*ROUND(INDEX(販管費予算!$E$11:$I$11,MATCH(CE$3,販管費予算!$E$4:$I$4,0))/12,0),0)</f>
        <v>6666667.0</v>
      </c>
      <c r="CF47" s="409">
        <f>ROUND(INDEX(販管費予算!$E$11:$I$11,MATCH(CF$3,販管費予算!$E$4:$I$4,0))/12,0)+IF(COUNTIF($AB$3:CF$3,CF$3)=12,INDEX(販管費予算!$E$11:$I$11,MATCH(CF$3,販管費予算!$E$4:$I$4,0))-12*ROUND(INDEX(販管費予算!$E$11:$I$11,MATCH(CF$3,販管費予算!$E$4:$I$4,0))/12,0),0)</f>
        <v>6666667.0</v>
      </c>
      <c r="CG47" s="409">
        <f>ROUND(INDEX(販管費予算!$E$11:$I$11,MATCH(CG$3,販管費予算!$E$4:$I$4,0))/12,0)+IF(COUNTIF($AB$3:CG$3,CG$3)=12,INDEX(販管費予算!$E$11:$I$11,MATCH(CG$3,販管費予算!$E$4:$I$4,0))-12*ROUND(INDEX(販管費予算!$E$11:$I$11,MATCH(CG$3,販管費予算!$E$4:$I$4,0))/12,0),0)</f>
        <v>6666667.0</v>
      </c>
      <c r="CH47" s="409">
        <f>ROUND(INDEX(販管費予算!$E$11:$I$11,MATCH(CH$3,販管費予算!$E$4:$I$4,0))/12,0)+IF(COUNTIF($AB$3:CH$3,CH$3)=12,INDEX(販管費予算!$E$11:$I$11,MATCH(CH$3,販管費予算!$E$4:$I$4,0))-12*ROUND(INDEX(販管費予算!$E$11:$I$11,MATCH(CH$3,販管費予算!$E$4:$I$4,0))/12,0),0)</f>
        <v>6666667.0</v>
      </c>
      <c r="CI47" s="412">
        <f>ROUND(INDEX(販管費予算!$E$11:$I$11,MATCH(CI$3,販管費予算!$E$4:$I$4,0))/12,0)+IF(COUNTIF($AB$3:CI$3,CI$3)=12,INDEX(販管費予算!$E$11:$I$11,MATCH(CI$3,販管費予算!$E$4:$I$4,0))-12*ROUND(INDEX(販管費予算!$E$11:$I$11,MATCH(CI$3,販管費予算!$E$4:$I$4,0))/12,0),0)</f>
        <v>6666663.0</v>
      </c>
    </row>
    <row r="48" ht="18" customHeight="1" s="145">
      <c r="A48" s="233" t="n"/>
      <c r="B48" s="233" t="n"/>
      <c r="C48" s="233" t="inlineStr">
        <is>
          <t>SaaS</t>
        </is>
      </c>
      <c r="D48" s="234" t="n"/>
      <c r="E48" s="408">
        <f>SUMIF($AB$3:$CI$3,E$4,$AB48:$CI48)</f>
        <v>0.0</v>
      </c>
      <c r="F48" s="409">
        <f>SUMIF($AB$3:$CI$3,F$4,$AB48:$CI48)</f>
        <v>0.0</v>
      </c>
      <c r="G48" s="409">
        <f>SUMIF($AB$3:$CI$3,G$4,$AB48:$CI48)</f>
        <v>0.0</v>
      </c>
      <c r="H48" s="409">
        <f>SUMIF($AB$3:$CI$3,H$4,$AB48:$CI48)</f>
        <v>0.0</v>
      </c>
      <c r="I48" s="409">
        <f>SUMIF($AB$3:$CI$3,I$4,$AB48:$CI48)</f>
        <v>0.0</v>
      </c>
      <c r="J48" s="407">
        <f>SUM(E48:I48)</f>
        <v>0.0</v>
      </c>
      <c r="K48" s="407">
        <f>SUMIF($Q$3:$CN$3,K$4,$Q48:$CN48)</f>
        <v>0.0</v>
      </c>
      <c r="L48" s="407">
        <f>SUMIF($Q$3:$CN$3,L$4,$Q48:$CN48)</f>
        <v>0.0</v>
      </c>
      <c r="M48" s="407">
        <f>SUMIF($Q$3:$CN$3,M$4,$Q48:$CN48)</f>
        <v>0.0</v>
      </c>
      <c r="N48" s="407" t="n"/>
      <c r="O48" s="235" t="n"/>
      <c r="P48" s="408" t="n"/>
      <c r="Q48" s="409" t="n"/>
      <c r="R48" s="409" t="n"/>
      <c r="S48" s="409" t="n"/>
      <c r="T48" s="409" t="n"/>
      <c r="U48" s="409" t="n"/>
      <c r="V48" s="409" t="n"/>
      <c r="W48" s="409" t="n"/>
      <c r="X48" s="409" t="n"/>
      <c r="Y48" s="409" t="n"/>
      <c r="Z48" s="409" t="n"/>
      <c r="AA48" s="412" t="n"/>
      <c r="AB48" s="408" t="n"/>
      <c r="AC48" s="409" t="n"/>
      <c r="AD48" s="409" t="n"/>
      <c r="AE48" s="409" t="n"/>
      <c r="AF48" s="409" t="n"/>
      <c r="AG48" s="409" t="n"/>
      <c r="AH48" s="409" t="n"/>
      <c r="AI48" s="409" t="n"/>
      <c r="AJ48" s="409" t="n"/>
      <c r="AK48" s="409" t="n"/>
      <c r="AL48" s="409" t="n"/>
      <c r="AM48" s="412" t="n"/>
      <c r="AN48" s="408" t="n"/>
      <c r="AO48" s="409" t="n"/>
      <c r="AP48" s="409" t="n"/>
      <c r="AQ48" s="409" t="n"/>
      <c r="AR48" s="409" t="n"/>
      <c r="AS48" s="409" t="n"/>
      <c r="AT48" s="409" t="n"/>
      <c r="AU48" s="409" t="n"/>
      <c r="AV48" s="409" t="n"/>
      <c r="AW48" s="409" t="n"/>
      <c r="AX48" s="409" t="n"/>
      <c r="AY48" s="412" t="n"/>
      <c r="AZ48" s="408" t="n"/>
      <c r="BA48" s="409" t="n"/>
      <c r="BB48" s="409" t="n"/>
      <c r="BC48" s="409" t="n"/>
      <c r="BD48" s="409" t="n"/>
      <c r="BE48" s="409" t="n"/>
      <c r="BF48" s="409" t="n"/>
      <c r="BG48" s="409" t="n"/>
      <c r="BH48" s="409" t="n"/>
      <c r="BI48" s="409" t="n"/>
      <c r="BJ48" s="409" t="n"/>
      <c r="BK48" s="412" t="n"/>
      <c r="BL48" s="408" t="n"/>
      <c r="BM48" s="409" t="n"/>
      <c r="BN48" s="409" t="n"/>
      <c r="BO48" s="409" t="n"/>
      <c r="BP48" s="409" t="n"/>
      <c r="BQ48" s="409" t="n"/>
      <c r="BR48" s="409" t="n"/>
      <c r="BS48" s="409" t="n"/>
      <c r="BT48" s="409" t="n"/>
      <c r="BU48" s="409" t="n"/>
      <c r="BV48" s="409" t="n"/>
      <c r="BW48" s="412" t="n"/>
      <c r="BX48" s="408" t="n"/>
      <c r="BY48" s="409" t="n"/>
      <c r="BZ48" s="409" t="n"/>
      <c r="CA48" s="409" t="n"/>
      <c r="CB48" s="409" t="n"/>
      <c r="CC48" s="409" t="n"/>
      <c r="CD48" s="409" t="n"/>
      <c r="CE48" s="409" t="n"/>
      <c r="CF48" s="409" t="n"/>
      <c r="CG48" s="409" t="n"/>
      <c r="CH48" s="409" t="n"/>
      <c r="CI48" s="412" t="n"/>
    </row>
    <row r="49" ht="18" customHeight="1" s="145">
      <c r="A49" s="233" t="n"/>
      <c r="B49" s="233" t="n"/>
      <c r="C49" s="233" t="inlineStr">
        <is>
          <t>事業・組織再生コンサル</t>
        </is>
      </c>
      <c r="D49" s="234" t="n"/>
      <c r="E49" s="408">
        <f>SUMIF($AB$3:$CI$3,E$4,$AB49:$CI49)</f>
        <v>0.0</v>
      </c>
      <c r="F49" s="409">
        <f>SUMIF($AB$3:$CI$3,F$4,$AB49:$CI49)</f>
        <v>0.0</v>
      </c>
      <c r="G49" s="409">
        <f>SUMIF($AB$3:$CI$3,G$4,$AB49:$CI49)</f>
        <v>0.0</v>
      </c>
      <c r="H49" s="409">
        <f>SUMIF($AB$3:$CI$3,H$4,$AB49:$CI49)</f>
        <v>0.0</v>
      </c>
      <c r="I49" s="409">
        <f>SUMIF($AB$3:$CI$3,I$4,$AB49:$CI49)</f>
        <v>0.0</v>
      </c>
      <c r="J49" s="407">
        <f>SUM(E49:I49)</f>
        <v>0.0</v>
      </c>
      <c r="K49" s="407">
        <f>SUMIF($Q$3:$CN$3,K$4,$Q49:$CN49)</f>
        <v>0.0</v>
      </c>
      <c r="L49" s="407">
        <f>SUMIF($Q$3:$CN$3,L$4,$Q49:$CN49)</f>
        <v>0.0</v>
      </c>
      <c r="M49" s="407">
        <f>SUMIF($Q$3:$CN$3,M$4,$Q49:$CN49)</f>
        <v>0.0</v>
      </c>
      <c r="N49" s="407" t="n"/>
      <c r="O49" s="235" t="n"/>
      <c r="P49" s="408" t="n"/>
      <c r="Q49" s="409" t="n"/>
      <c r="R49" s="409" t="n"/>
      <c r="S49" s="409" t="n"/>
      <c r="T49" s="409" t="n"/>
      <c r="U49" s="409" t="n"/>
      <c r="V49" s="409" t="n"/>
      <c r="W49" s="409" t="n"/>
      <c r="X49" s="409" t="n"/>
      <c r="Y49" s="409" t="n"/>
      <c r="Z49" s="409" t="n"/>
      <c r="AA49" s="412" t="n"/>
      <c r="AB49" s="408" t="n"/>
      <c r="AC49" s="409" t="n"/>
      <c r="AD49" s="409" t="n"/>
      <c r="AE49" s="409" t="n"/>
      <c r="AF49" s="409" t="n"/>
      <c r="AG49" s="409" t="n"/>
      <c r="AH49" s="409" t="n"/>
      <c r="AI49" s="409" t="n"/>
      <c r="AJ49" s="409" t="n"/>
      <c r="AK49" s="409" t="n"/>
      <c r="AL49" s="409" t="n"/>
      <c r="AM49" s="412" t="n"/>
      <c r="AN49" s="408" t="n"/>
      <c r="AO49" s="409" t="n"/>
      <c r="AP49" s="409" t="n"/>
      <c r="AQ49" s="409" t="n"/>
      <c r="AR49" s="409" t="n"/>
      <c r="AS49" s="409" t="n"/>
      <c r="AT49" s="409" t="n"/>
      <c r="AU49" s="409" t="n"/>
      <c r="AV49" s="409" t="n"/>
      <c r="AW49" s="409" t="n"/>
      <c r="AX49" s="409" t="n"/>
      <c r="AY49" s="412" t="n"/>
      <c r="AZ49" s="408" t="n"/>
      <c r="BA49" s="409" t="n"/>
      <c r="BB49" s="409" t="n"/>
      <c r="BC49" s="409" t="n"/>
      <c r="BD49" s="409" t="n"/>
      <c r="BE49" s="409" t="n"/>
      <c r="BF49" s="409" t="n"/>
      <c r="BG49" s="409" t="n"/>
      <c r="BH49" s="409" t="n"/>
      <c r="BI49" s="409" t="n"/>
      <c r="BJ49" s="409" t="n"/>
      <c r="BK49" s="412" t="n"/>
      <c r="BL49" s="408" t="n"/>
      <c r="BM49" s="409" t="n"/>
      <c r="BN49" s="409" t="n"/>
      <c r="BO49" s="409" t="n"/>
      <c r="BP49" s="409" t="n"/>
      <c r="BQ49" s="409" t="n"/>
      <c r="BR49" s="409" t="n"/>
      <c r="BS49" s="409" t="n"/>
      <c r="BT49" s="409" t="n"/>
      <c r="BU49" s="409" t="n"/>
      <c r="BV49" s="409" t="n"/>
      <c r="BW49" s="412" t="n"/>
      <c r="BX49" s="408" t="n"/>
      <c r="BY49" s="409" t="n"/>
      <c r="BZ49" s="409" t="n"/>
      <c r="CA49" s="409" t="n"/>
      <c r="CB49" s="409" t="n"/>
      <c r="CC49" s="409" t="n"/>
      <c r="CD49" s="409" t="n"/>
      <c r="CE49" s="409" t="n"/>
      <c r="CF49" s="409" t="n"/>
      <c r="CG49" s="409" t="n"/>
      <c r="CH49" s="409" t="n"/>
      <c r="CI49" s="412" t="n"/>
    </row>
    <row r="50" ht="18" customHeight="1" s="145">
      <c r="A50" s="233" t="n"/>
      <c r="B50" s="233" t="inlineStr">
        <is>
          <t>荷造包装費</t>
        </is>
      </c>
      <c r="C50" s="233" t="inlineStr">
        <is>
          <t>全社</t>
        </is>
      </c>
      <c r="D50" s="234" t="n"/>
      <c r="E50" s="408">
        <f>SUMIF($AB$3:$CI$3,E$4,$AB50:$CI50)</f>
        <v>0.0</v>
      </c>
      <c r="F50" s="409">
        <f>SUMIF($AB$3:$CI$3,F$4,$AB50:$CI50)</f>
        <v>0.0</v>
      </c>
      <c r="G50" s="409">
        <f>SUMIF($AB$3:$CI$3,G$4,$AB50:$CI50)</f>
        <v>100000.0</v>
      </c>
      <c r="H50" s="409">
        <f>SUMIF($AB$3:$CI$3,H$4,$AB50:$CI50)</f>
        <v>100000.0</v>
      </c>
      <c r="I50" s="409">
        <f>SUMIF($AB$3:$CI$3,I$4,$AB50:$CI50)</f>
        <v>100000.0</v>
      </c>
      <c r="J50" s="407">
        <f>SUM(E50:I50)</f>
        <v>300000.0</v>
      </c>
      <c r="K50" s="407">
        <f>SUMIF($Q$3:$CN$3,K$4,$Q50:$CN50)</f>
        <v>0.0</v>
      </c>
      <c r="L50" s="407">
        <f>SUMIF($Q$3:$CN$3,L$4,$Q50:$CN50)</f>
        <v>0.0</v>
      </c>
      <c r="M50" s="407">
        <f>SUMIF($Q$3:$CN$3,M$4,$Q50:$CN50)</f>
        <v>0.0</v>
      </c>
      <c r="N50" s="407">
        <f>SUMIF($Q$3:$CN$3,N$4,$Q50:$CN50)</f>
        <v>0.0</v>
      </c>
      <c r="O50" s="235" t="n"/>
      <c r="P50" s="408" t="n"/>
      <c r="Q50" s="409" t="n"/>
      <c r="R50" s="409" t="n"/>
      <c r="S50" s="409" t="n"/>
      <c r="T50" s="409" t="n"/>
      <c r="U50" s="409" t="n"/>
      <c r="V50" s="409" t="n"/>
      <c r="W50" s="409" t="n"/>
      <c r="X50" s="409" t="n"/>
      <c r="Y50" s="409" t="n"/>
      <c r="Z50" s="409" t="n"/>
      <c r="AA50" s="412" t="n"/>
      <c r="AB50" s="476">
        <f>ROUND(INDEX(販管費予算!$E$12:$I$12,MATCH(AB$3,販管費予算!$E$4:$I$4,0))/12,0)+IF(COUNTIF($AB$3:AB$3,AB$3)=12,INDEX(販管費予算!$E$12:$I$12,MATCH(AB$3,販管費予算!$E$4:$I$4,0))-12*ROUND(INDEX(販管費予算!$E$12:$I$12,MATCH(AB$3,販管費予算!$E$4:$I$4,0))/12,0),0)</f>
        <v>0.0</v>
      </c>
      <c r="AC50" s="477">
        <f>ROUND(INDEX(販管費予算!$E$12:$I$12,MATCH(AC$3,販管費予算!$E$4:$I$4,0))/12,0)+IF(COUNTIF($AB$3:AC$3,AC$3)=12,INDEX(販管費予算!$E$12:$I$12,MATCH(AC$3,販管費予算!$E$4:$I$4,0))-12*ROUND(INDEX(販管費予算!$E$12:$I$12,MATCH(AC$3,販管費予算!$E$4:$I$4,0))/12,0),0)</f>
        <v>0.0</v>
      </c>
      <c r="AD50" s="477">
        <f>ROUND(INDEX(販管費予算!$E$12:$I$12,MATCH(AD$3,販管費予算!$E$4:$I$4,0))/12,0)+IF(COUNTIF($AB$3:AD$3,AD$3)=12,INDEX(販管費予算!$E$12:$I$12,MATCH(AD$3,販管費予算!$E$4:$I$4,0))-12*ROUND(INDEX(販管費予算!$E$12:$I$12,MATCH(AD$3,販管費予算!$E$4:$I$4,0))/12,0),0)</f>
        <v>0.0</v>
      </c>
      <c r="AE50" s="477">
        <f>ROUND(INDEX(販管費予算!$E$12:$I$12,MATCH(AE$3,販管費予算!$E$4:$I$4,0))/12,0)+IF(COUNTIF($AB$3:AE$3,AE$3)=12,INDEX(販管費予算!$E$12:$I$12,MATCH(AE$3,販管費予算!$E$4:$I$4,0))-12*ROUND(INDEX(販管費予算!$E$12:$I$12,MATCH(AE$3,販管費予算!$E$4:$I$4,0))/12,0),0)</f>
        <v>0.0</v>
      </c>
      <c r="AF50" s="409">
        <f>ROUND(INDEX(販管費予算!$E$12:$I$12,MATCH(AF$3,販管費予算!$E$4:$I$4,0))/12,0)+IF(COUNTIF($AB$3:AF$3,AF$3)=12,INDEX(販管費予算!$E$12:$I$12,MATCH(AF$3,販管費予算!$E$4:$I$4,0))-12*ROUND(INDEX(販管費予算!$E$12:$I$12,MATCH(AF$3,販管費予算!$E$4:$I$4,0))/12,0),0)</f>
        <v>0.0</v>
      </c>
      <c r="AG50" s="409">
        <f>ROUND(INDEX(販管費予算!$E$12:$I$12,MATCH(AG$3,販管費予算!$E$4:$I$4,0))/12,0)+IF(COUNTIF($AB$3:AG$3,AG$3)=12,INDEX(販管費予算!$E$12:$I$12,MATCH(AG$3,販管費予算!$E$4:$I$4,0))-12*ROUND(INDEX(販管費予算!$E$12:$I$12,MATCH(AG$3,販管費予算!$E$4:$I$4,0))/12,0),0)</f>
        <v>0.0</v>
      </c>
      <c r="AH50" s="409">
        <f>ROUND(INDEX(販管費予算!$E$12:$I$12,MATCH(AH$3,販管費予算!$E$4:$I$4,0))/12,0)+IF(COUNTIF($AB$3:AH$3,AH$3)=12,INDEX(販管費予算!$E$12:$I$12,MATCH(AH$3,販管費予算!$E$4:$I$4,0))-12*ROUND(INDEX(販管費予算!$E$12:$I$12,MATCH(AH$3,販管費予算!$E$4:$I$4,0))/12,0),0)</f>
        <v>0.0</v>
      </c>
      <c r="AI50" s="409">
        <f>ROUND(INDEX(販管費予算!$E$12:$I$12,MATCH(AI$3,販管費予算!$E$4:$I$4,0))/12,0)+IF(COUNTIF($AB$3:AI$3,AI$3)=12,INDEX(販管費予算!$E$12:$I$12,MATCH(AI$3,販管費予算!$E$4:$I$4,0))-12*ROUND(INDEX(販管費予算!$E$12:$I$12,MATCH(AI$3,販管費予算!$E$4:$I$4,0))/12,0),0)</f>
        <v>0.0</v>
      </c>
      <c r="AJ50" s="409">
        <f>ROUND(INDEX(販管費予算!$E$12:$I$12,MATCH(AJ$3,販管費予算!$E$4:$I$4,0))/12,0)+IF(COUNTIF($AB$3:AJ$3,AJ$3)=12,INDEX(販管費予算!$E$12:$I$12,MATCH(AJ$3,販管費予算!$E$4:$I$4,0))-12*ROUND(INDEX(販管費予算!$E$12:$I$12,MATCH(AJ$3,販管費予算!$E$4:$I$4,0))/12,0),0)</f>
        <v>0.0</v>
      </c>
      <c r="AK50" s="409">
        <f>ROUND(INDEX(販管費予算!$E$12:$I$12,MATCH(AK$3,販管費予算!$E$4:$I$4,0))/12,0)+IF(COUNTIF($AB$3:AK$3,AK$3)=12,INDEX(販管費予算!$E$12:$I$12,MATCH(AK$3,販管費予算!$E$4:$I$4,0))-12*ROUND(INDEX(販管費予算!$E$12:$I$12,MATCH(AK$3,販管費予算!$E$4:$I$4,0))/12,0),0)</f>
        <v>0.0</v>
      </c>
      <c r="AL50" s="409">
        <f>ROUND(INDEX(販管費予算!$E$12:$I$12,MATCH(AL$3,販管費予算!$E$4:$I$4,0))/12,0)+IF(COUNTIF($AB$3:AL$3,AL$3)=12,INDEX(販管費予算!$E$12:$I$12,MATCH(AL$3,販管費予算!$E$4:$I$4,0))-12*ROUND(INDEX(販管費予算!$E$12:$I$12,MATCH(AL$3,販管費予算!$E$4:$I$4,0))/12,0),0)</f>
        <v>0.0</v>
      </c>
      <c r="AM50" s="412">
        <f>ROUND(INDEX(販管費予算!$E$12:$I$12,MATCH(AM$3,販管費予算!$E$4:$I$4,0))/12,0)+IF(COUNTIF($AB$3:AM$3,AM$3)=12,INDEX(販管費予算!$E$12:$I$12,MATCH(AM$3,販管費予算!$E$4:$I$4,0))-12*ROUND(INDEX(販管費予算!$E$12:$I$12,MATCH(AM$3,販管費予算!$E$4:$I$4,0))/12,0),0)</f>
        <v>0.0</v>
      </c>
      <c r="AN50" s="408">
        <f>ROUND(INDEX(販管費予算!$E$12:$I$12,MATCH(AN$3,販管費予算!$E$4:$I$4,0))/12,0)+IF(COUNTIF($AB$3:AN$3,AN$3)=12,INDEX(販管費予算!$E$12:$I$12,MATCH(AN$3,販管費予算!$E$4:$I$4,0))-12*ROUND(INDEX(販管費予算!$E$12:$I$12,MATCH(AN$3,販管費予算!$E$4:$I$4,0))/12,0),0)</f>
        <v>0.0</v>
      </c>
      <c r="AO50" s="409">
        <f>ROUND(INDEX(販管費予算!$E$12:$I$12,MATCH(AO$3,販管費予算!$E$4:$I$4,0))/12,0)+IF(COUNTIF($AB$3:AO$3,AO$3)=12,INDEX(販管費予算!$E$12:$I$12,MATCH(AO$3,販管費予算!$E$4:$I$4,0))-12*ROUND(INDEX(販管費予算!$E$12:$I$12,MATCH(AO$3,販管費予算!$E$4:$I$4,0))/12,0),0)</f>
        <v>0.0</v>
      </c>
      <c r="AP50" s="409">
        <f>ROUND(INDEX(販管費予算!$E$12:$I$12,MATCH(AP$3,販管費予算!$E$4:$I$4,0))/12,0)+IF(COUNTIF($AB$3:AP$3,AP$3)=12,INDEX(販管費予算!$E$12:$I$12,MATCH(AP$3,販管費予算!$E$4:$I$4,0))-12*ROUND(INDEX(販管費予算!$E$12:$I$12,MATCH(AP$3,販管費予算!$E$4:$I$4,0))/12,0),0)</f>
        <v>0.0</v>
      </c>
      <c r="AQ50" s="409">
        <f>ROUND(INDEX(販管費予算!$E$12:$I$12,MATCH(AQ$3,販管費予算!$E$4:$I$4,0))/12,0)+IF(COUNTIF($AB$3:AQ$3,AQ$3)=12,INDEX(販管費予算!$E$12:$I$12,MATCH(AQ$3,販管費予算!$E$4:$I$4,0))-12*ROUND(INDEX(販管費予算!$E$12:$I$12,MATCH(AQ$3,販管費予算!$E$4:$I$4,0))/12,0),0)</f>
        <v>0.0</v>
      </c>
      <c r="AR50" s="409">
        <f>ROUND(INDEX(販管費予算!$E$12:$I$12,MATCH(AR$3,販管費予算!$E$4:$I$4,0))/12,0)+IF(COUNTIF($AB$3:AR$3,AR$3)=12,INDEX(販管費予算!$E$12:$I$12,MATCH(AR$3,販管費予算!$E$4:$I$4,0))-12*ROUND(INDEX(販管費予算!$E$12:$I$12,MATCH(AR$3,販管費予算!$E$4:$I$4,0))/12,0),0)</f>
        <v>0.0</v>
      </c>
      <c r="AS50" s="409">
        <f>ROUND(INDEX(販管費予算!$E$12:$I$12,MATCH(AS$3,販管費予算!$E$4:$I$4,0))/12,0)+IF(COUNTIF($AB$3:AS$3,AS$3)=12,INDEX(販管費予算!$E$12:$I$12,MATCH(AS$3,販管費予算!$E$4:$I$4,0))-12*ROUND(INDEX(販管費予算!$E$12:$I$12,MATCH(AS$3,販管費予算!$E$4:$I$4,0))/12,0),0)</f>
        <v>0.0</v>
      </c>
      <c r="AT50" s="409">
        <f>ROUND(INDEX(販管費予算!$E$12:$I$12,MATCH(AT$3,販管費予算!$E$4:$I$4,0))/12,0)+IF(COUNTIF($AB$3:AT$3,AT$3)=12,INDEX(販管費予算!$E$12:$I$12,MATCH(AT$3,販管費予算!$E$4:$I$4,0))-12*ROUND(INDEX(販管費予算!$E$12:$I$12,MATCH(AT$3,販管費予算!$E$4:$I$4,0))/12,0),0)</f>
        <v>0.0</v>
      </c>
      <c r="AU50" s="409">
        <f>ROUND(INDEX(販管費予算!$E$12:$I$12,MATCH(AU$3,販管費予算!$E$4:$I$4,0))/12,0)+IF(COUNTIF($AB$3:AU$3,AU$3)=12,INDEX(販管費予算!$E$12:$I$12,MATCH(AU$3,販管費予算!$E$4:$I$4,0))-12*ROUND(INDEX(販管費予算!$E$12:$I$12,MATCH(AU$3,販管費予算!$E$4:$I$4,0))/12,0),0)</f>
        <v>0.0</v>
      </c>
      <c r="AV50" s="409">
        <f>ROUND(INDEX(販管費予算!$E$12:$I$12,MATCH(AV$3,販管費予算!$E$4:$I$4,0))/12,0)+IF(COUNTIF($AB$3:AV$3,AV$3)=12,INDEX(販管費予算!$E$12:$I$12,MATCH(AV$3,販管費予算!$E$4:$I$4,0))-12*ROUND(INDEX(販管費予算!$E$12:$I$12,MATCH(AV$3,販管費予算!$E$4:$I$4,0))/12,0),0)</f>
        <v>0.0</v>
      </c>
      <c r="AW50" s="409">
        <f>ROUND(INDEX(販管費予算!$E$12:$I$12,MATCH(AW$3,販管費予算!$E$4:$I$4,0))/12,0)+IF(COUNTIF($AB$3:AW$3,AW$3)=12,INDEX(販管費予算!$E$12:$I$12,MATCH(AW$3,販管費予算!$E$4:$I$4,0))-12*ROUND(INDEX(販管費予算!$E$12:$I$12,MATCH(AW$3,販管費予算!$E$4:$I$4,0))/12,0),0)</f>
        <v>0.0</v>
      </c>
      <c r="AX50" s="409">
        <f>ROUND(INDEX(販管費予算!$E$12:$I$12,MATCH(AX$3,販管費予算!$E$4:$I$4,0))/12,0)+IF(COUNTIF($AB$3:AX$3,AX$3)=12,INDEX(販管費予算!$E$12:$I$12,MATCH(AX$3,販管費予算!$E$4:$I$4,0))-12*ROUND(INDEX(販管費予算!$E$12:$I$12,MATCH(AX$3,販管費予算!$E$4:$I$4,0))/12,0),0)</f>
        <v>0.0</v>
      </c>
      <c r="AY50" s="412">
        <f>ROUND(INDEX(販管費予算!$E$12:$I$12,MATCH(AY$3,販管費予算!$E$4:$I$4,0))/12,0)+IF(COUNTIF($AB$3:AY$3,AY$3)=12,INDEX(販管費予算!$E$12:$I$12,MATCH(AY$3,販管費予算!$E$4:$I$4,0))-12*ROUND(INDEX(販管費予算!$E$12:$I$12,MATCH(AY$3,販管費予算!$E$4:$I$4,0))/12,0),0)</f>
        <v>0.0</v>
      </c>
      <c r="AZ50" s="408">
        <f>ROUND(INDEX(販管費予算!$E$12:$I$12,MATCH(AZ$3,販管費予算!$E$4:$I$4,0))/12,0)+IF(COUNTIF($AB$3:AZ$3,AZ$3)=12,INDEX(販管費予算!$E$12:$I$12,MATCH(AZ$3,販管費予算!$E$4:$I$4,0))-12*ROUND(INDEX(販管費予算!$E$12:$I$12,MATCH(AZ$3,販管費予算!$E$4:$I$4,0))/12,0),0)</f>
        <v>8333.0</v>
      </c>
      <c r="BA50" s="409">
        <f>ROUND(INDEX(販管費予算!$E$12:$I$12,MATCH(BA$3,販管費予算!$E$4:$I$4,0))/12,0)+IF(COUNTIF($AB$3:BA$3,BA$3)=12,INDEX(販管費予算!$E$12:$I$12,MATCH(BA$3,販管費予算!$E$4:$I$4,0))-12*ROUND(INDEX(販管費予算!$E$12:$I$12,MATCH(BA$3,販管費予算!$E$4:$I$4,0))/12,0),0)</f>
        <v>8333.0</v>
      </c>
      <c r="BB50" s="409">
        <f>ROUND(INDEX(販管費予算!$E$12:$I$12,MATCH(BB$3,販管費予算!$E$4:$I$4,0))/12,0)+IF(COUNTIF($AB$3:BB$3,BB$3)=12,INDEX(販管費予算!$E$12:$I$12,MATCH(BB$3,販管費予算!$E$4:$I$4,0))-12*ROUND(INDEX(販管費予算!$E$12:$I$12,MATCH(BB$3,販管費予算!$E$4:$I$4,0))/12,0),0)</f>
        <v>8333.0</v>
      </c>
      <c r="BC50" s="409">
        <f>ROUND(INDEX(販管費予算!$E$12:$I$12,MATCH(BC$3,販管費予算!$E$4:$I$4,0))/12,0)+IF(COUNTIF($AB$3:BC$3,BC$3)=12,INDEX(販管費予算!$E$12:$I$12,MATCH(BC$3,販管費予算!$E$4:$I$4,0))-12*ROUND(INDEX(販管費予算!$E$12:$I$12,MATCH(BC$3,販管費予算!$E$4:$I$4,0))/12,0),0)</f>
        <v>8333.0</v>
      </c>
      <c r="BD50" s="409">
        <f>ROUND(INDEX(販管費予算!$E$12:$I$12,MATCH(BD$3,販管費予算!$E$4:$I$4,0))/12,0)+IF(COUNTIF($AB$3:BD$3,BD$3)=12,INDEX(販管費予算!$E$12:$I$12,MATCH(BD$3,販管費予算!$E$4:$I$4,0))-12*ROUND(INDEX(販管費予算!$E$12:$I$12,MATCH(BD$3,販管費予算!$E$4:$I$4,0))/12,0),0)</f>
        <v>8333.0</v>
      </c>
      <c r="BE50" s="409">
        <f>ROUND(INDEX(販管費予算!$E$12:$I$12,MATCH(BE$3,販管費予算!$E$4:$I$4,0))/12,0)+IF(COUNTIF($AB$3:BE$3,BE$3)=12,INDEX(販管費予算!$E$12:$I$12,MATCH(BE$3,販管費予算!$E$4:$I$4,0))-12*ROUND(INDEX(販管費予算!$E$12:$I$12,MATCH(BE$3,販管費予算!$E$4:$I$4,0))/12,0),0)</f>
        <v>8333.0</v>
      </c>
      <c r="BF50" s="409">
        <f>ROUND(INDEX(販管費予算!$E$12:$I$12,MATCH(BF$3,販管費予算!$E$4:$I$4,0))/12,0)+IF(COUNTIF($AB$3:BF$3,BF$3)=12,INDEX(販管費予算!$E$12:$I$12,MATCH(BF$3,販管費予算!$E$4:$I$4,0))-12*ROUND(INDEX(販管費予算!$E$12:$I$12,MATCH(BF$3,販管費予算!$E$4:$I$4,0))/12,0),0)</f>
        <v>8333.0</v>
      </c>
      <c r="BG50" s="409">
        <f>ROUND(INDEX(販管費予算!$E$12:$I$12,MATCH(BG$3,販管費予算!$E$4:$I$4,0))/12,0)+IF(COUNTIF($AB$3:BG$3,BG$3)=12,INDEX(販管費予算!$E$12:$I$12,MATCH(BG$3,販管費予算!$E$4:$I$4,0))-12*ROUND(INDEX(販管費予算!$E$12:$I$12,MATCH(BG$3,販管費予算!$E$4:$I$4,0))/12,0),0)</f>
        <v>8333.0</v>
      </c>
      <c r="BH50" s="409">
        <f>ROUND(INDEX(販管費予算!$E$12:$I$12,MATCH(BH$3,販管費予算!$E$4:$I$4,0))/12,0)+IF(COUNTIF($AB$3:BH$3,BH$3)=12,INDEX(販管費予算!$E$12:$I$12,MATCH(BH$3,販管費予算!$E$4:$I$4,0))-12*ROUND(INDEX(販管費予算!$E$12:$I$12,MATCH(BH$3,販管費予算!$E$4:$I$4,0))/12,0),0)</f>
        <v>8333.0</v>
      </c>
      <c r="BI50" s="409">
        <f>ROUND(INDEX(販管費予算!$E$12:$I$12,MATCH(BI$3,販管費予算!$E$4:$I$4,0))/12,0)+IF(COUNTIF($AB$3:BI$3,BI$3)=12,INDEX(販管費予算!$E$12:$I$12,MATCH(BI$3,販管費予算!$E$4:$I$4,0))-12*ROUND(INDEX(販管費予算!$E$12:$I$12,MATCH(BI$3,販管費予算!$E$4:$I$4,0))/12,0),0)</f>
        <v>8333.0</v>
      </c>
      <c r="BJ50" s="409">
        <f>ROUND(INDEX(販管費予算!$E$12:$I$12,MATCH(BJ$3,販管費予算!$E$4:$I$4,0))/12,0)+IF(COUNTIF($AB$3:BJ$3,BJ$3)=12,INDEX(販管費予算!$E$12:$I$12,MATCH(BJ$3,販管費予算!$E$4:$I$4,0))-12*ROUND(INDEX(販管費予算!$E$12:$I$12,MATCH(BJ$3,販管費予算!$E$4:$I$4,0))/12,0),0)</f>
        <v>8333.0</v>
      </c>
      <c r="BK50" s="412">
        <f>ROUND(INDEX(販管費予算!$E$12:$I$12,MATCH(BK$3,販管費予算!$E$4:$I$4,0))/12,0)+IF(COUNTIF($AB$3:BK$3,BK$3)=12,INDEX(販管費予算!$E$12:$I$12,MATCH(BK$3,販管費予算!$E$4:$I$4,0))-12*ROUND(INDEX(販管費予算!$E$12:$I$12,MATCH(BK$3,販管費予算!$E$4:$I$4,0))/12,0),0)</f>
        <v>8337.0</v>
      </c>
      <c r="BL50" s="408">
        <f>ROUND(INDEX(販管費予算!$E$12:$I$12,MATCH(BL$3,販管費予算!$E$4:$I$4,0))/12,0)+IF(COUNTIF($AB$3:BL$3,BL$3)=12,INDEX(販管費予算!$E$12:$I$12,MATCH(BL$3,販管費予算!$E$4:$I$4,0))-12*ROUND(INDEX(販管費予算!$E$12:$I$12,MATCH(BL$3,販管費予算!$E$4:$I$4,0))/12,0),0)</f>
        <v>8333.0</v>
      </c>
      <c r="BM50" s="409">
        <f>ROUND(INDEX(販管費予算!$E$12:$I$12,MATCH(BM$3,販管費予算!$E$4:$I$4,0))/12,0)+IF(COUNTIF($AB$3:BM$3,BM$3)=12,INDEX(販管費予算!$E$12:$I$12,MATCH(BM$3,販管費予算!$E$4:$I$4,0))-12*ROUND(INDEX(販管費予算!$E$12:$I$12,MATCH(BM$3,販管費予算!$E$4:$I$4,0))/12,0),0)</f>
        <v>8333.0</v>
      </c>
      <c r="BN50" s="409">
        <f>ROUND(INDEX(販管費予算!$E$12:$I$12,MATCH(BN$3,販管費予算!$E$4:$I$4,0))/12,0)+IF(COUNTIF($AB$3:BN$3,BN$3)=12,INDEX(販管費予算!$E$12:$I$12,MATCH(BN$3,販管費予算!$E$4:$I$4,0))-12*ROUND(INDEX(販管費予算!$E$12:$I$12,MATCH(BN$3,販管費予算!$E$4:$I$4,0))/12,0),0)</f>
        <v>8333.0</v>
      </c>
      <c r="BO50" s="409">
        <f>ROUND(INDEX(販管費予算!$E$12:$I$12,MATCH(BO$3,販管費予算!$E$4:$I$4,0))/12,0)+IF(COUNTIF($AB$3:BO$3,BO$3)=12,INDEX(販管費予算!$E$12:$I$12,MATCH(BO$3,販管費予算!$E$4:$I$4,0))-12*ROUND(INDEX(販管費予算!$E$12:$I$12,MATCH(BO$3,販管費予算!$E$4:$I$4,0))/12,0),0)</f>
        <v>8333.0</v>
      </c>
      <c r="BP50" s="409">
        <f>ROUND(INDEX(販管費予算!$E$12:$I$12,MATCH(BP$3,販管費予算!$E$4:$I$4,0))/12,0)+IF(COUNTIF($AB$3:BP$3,BP$3)=12,INDEX(販管費予算!$E$12:$I$12,MATCH(BP$3,販管費予算!$E$4:$I$4,0))-12*ROUND(INDEX(販管費予算!$E$12:$I$12,MATCH(BP$3,販管費予算!$E$4:$I$4,0))/12,0),0)</f>
        <v>8333.0</v>
      </c>
      <c r="BQ50" s="409">
        <f>ROUND(INDEX(販管費予算!$E$12:$I$12,MATCH(BQ$3,販管費予算!$E$4:$I$4,0))/12,0)+IF(COUNTIF($AB$3:BQ$3,BQ$3)=12,INDEX(販管費予算!$E$12:$I$12,MATCH(BQ$3,販管費予算!$E$4:$I$4,0))-12*ROUND(INDEX(販管費予算!$E$12:$I$12,MATCH(BQ$3,販管費予算!$E$4:$I$4,0))/12,0),0)</f>
        <v>8333.0</v>
      </c>
      <c r="BR50" s="409">
        <f>ROUND(INDEX(販管費予算!$E$12:$I$12,MATCH(BR$3,販管費予算!$E$4:$I$4,0))/12,0)+IF(COUNTIF($AB$3:BR$3,BR$3)=12,INDEX(販管費予算!$E$12:$I$12,MATCH(BR$3,販管費予算!$E$4:$I$4,0))-12*ROUND(INDEX(販管費予算!$E$12:$I$12,MATCH(BR$3,販管費予算!$E$4:$I$4,0))/12,0),0)</f>
        <v>8333.0</v>
      </c>
      <c r="BS50" s="409">
        <f>ROUND(INDEX(販管費予算!$E$12:$I$12,MATCH(BS$3,販管費予算!$E$4:$I$4,0))/12,0)+IF(COUNTIF($AB$3:BS$3,BS$3)=12,INDEX(販管費予算!$E$12:$I$12,MATCH(BS$3,販管費予算!$E$4:$I$4,0))-12*ROUND(INDEX(販管費予算!$E$12:$I$12,MATCH(BS$3,販管費予算!$E$4:$I$4,0))/12,0),0)</f>
        <v>8333.0</v>
      </c>
      <c r="BT50" s="409">
        <f>ROUND(INDEX(販管費予算!$E$12:$I$12,MATCH(BT$3,販管費予算!$E$4:$I$4,0))/12,0)+IF(COUNTIF($AB$3:BT$3,BT$3)=12,INDEX(販管費予算!$E$12:$I$12,MATCH(BT$3,販管費予算!$E$4:$I$4,0))-12*ROUND(INDEX(販管費予算!$E$12:$I$12,MATCH(BT$3,販管費予算!$E$4:$I$4,0))/12,0),0)</f>
        <v>8333.0</v>
      </c>
      <c r="BU50" s="409">
        <f>ROUND(INDEX(販管費予算!$E$12:$I$12,MATCH(BU$3,販管費予算!$E$4:$I$4,0))/12,0)+IF(COUNTIF($AB$3:BU$3,BU$3)=12,INDEX(販管費予算!$E$12:$I$12,MATCH(BU$3,販管費予算!$E$4:$I$4,0))-12*ROUND(INDEX(販管費予算!$E$12:$I$12,MATCH(BU$3,販管費予算!$E$4:$I$4,0))/12,0),0)</f>
        <v>8333.0</v>
      </c>
      <c r="BV50" s="409">
        <f>ROUND(INDEX(販管費予算!$E$12:$I$12,MATCH(BV$3,販管費予算!$E$4:$I$4,0))/12,0)+IF(COUNTIF($AB$3:BV$3,BV$3)=12,INDEX(販管費予算!$E$12:$I$12,MATCH(BV$3,販管費予算!$E$4:$I$4,0))-12*ROUND(INDEX(販管費予算!$E$12:$I$12,MATCH(BV$3,販管費予算!$E$4:$I$4,0))/12,0),0)</f>
        <v>8333.0</v>
      </c>
      <c r="BW50" s="412">
        <f>ROUND(INDEX(販管費予算!$E$12:$I$12,MATCH(BW$3,販管費予算!$E$4:$I$4,0))/12,0)+IF(COUNTIF($AB$3:BW$3,BW$3)=12,INDEX(販管費予算!$E$12:$I$12,MATCH(BW$3,販管費予算!$E$4:$I$4,0))-12*ROUND(INDEX(販管費予算!$E$12:$I$12,MATCH(BW$3,販管費予算!$E$4:$I$4,0))/12,0),0)</f>
        <v>8337.0</v>
      </c>
      <c r="BX50" s="408">
        <f>ROUND(INDEX(販管費予算!$E$12:$I$12,MATCH(BX$3,販管費予算!$E$4:$I$4,0))/12,0)+IF(COUNTIF($AB$3:BX$3,BX$3)=12,INDEX(販管費予算!$E$12:$I$12,MATCH(BX$3,販管費予算!$E$4:$I$4,0))-12*ROUND(INDEX(販管費予算!$E$12:$I$12,MATCH(BX$3,販管費予算!$E$4:$I$4,0))/12,0),0)</f>
        <v>8333.0</v>
      </c>
      <c r="BY50" s="409">
        <f>ROUND(INDEX(販管費予算!$E$12:$I$12,MATCH(BY$3,販管費予算!$E$4:$I$4,0))/12,0)+IF(COUNTIF($AB$3:BY$3,BY$3)=12,INDEX(販管費予算!$E$12:$I$12,MATCH(BY$3,販管費予算!$E$4:$I$4,0))-12*ROUND(INDEX(販管費予算!$E$12:$I$12,MATCH(BY$3,販管費予算!$E$4:$I$4,0))/12,0),0)</f>
        <v>8333.0</v>
      </c>
      <c r="BZ50" s="409">
        <f>ROUND(INDEX(販管費予算!$E$12:$I$12,MATCH(BZ$3,販管費予算!$E$4:$I$4,0))/12,0)+IF(COUNTIF($AB$3:BZ$3,BZ$3)=12,INDEX(販管費予算!$E$12:$I$12,MATCH(BZ$3,販管費予算!$E$4:$I$4,0))-12*ROUND(INDEX(販管費予算!$E$12:$I$12,MATCH(BZ$3,販管費予算!$E$4:$I$4,0))/12,0),0)</f>
        <v>8333.0</v>
      </c>
      <c r="CA50" s="409">
        <f>ROUND(INDEX(販管費予算!$E$12:$I$12,MATCH(CA$3,販管費予算!$E$4:$I$4,0))/12,0)+IF(COUNTIF($AB$3:CA$3,CA$3)=12,INDEX(販管費予算!$E$12:$I$12,MATCH(CA$3,販管費予算!$E$4:$I$4,0))-12*ROUND(INDEX(販管費予算!$E$12:$I$12,MATCH(CA$3,販管費予算!$E$4:$I$4,0))/12,0),0)</f>
        <v>8333.0</v>
      </c>
      <c r="CB50" s="409">
        <f>ROUND(INDEX(販管費予算!$E$12:$I$12,MATCH(CB$3,販管費予算!$E$4:$I$4,0))/12,0)+IF(COUNTIF($AB$3:CB$3,CB$3)=12,INDEX(販管費予算!$E$12:$I$12,MATCH(CB$3,販管費予算!$E$4:$I$4,0))-12*ROUND(INDEX(販管費予算!$E$12:$I$12,MATCH(CB$3,販管費予算!$E$4:$I$4,0))/12,0),0)</f>
        <v>8333.0</v>
      </c>
      <c r="CC50" s="409">
        <f>ROUND(INDEX(販管費予算!$E$12:$I$12,MATCH(CC$3,販管費予算!$E$4:$I$4,0))/12,0)+IF(COUNTIF($AB$3:CC$3,CC$3)=12,INDEX(販管費予算!$E$12:$I$12,MATCH(CC$3,販管費予算!$E$4:$I$4,0))-12*ROUND(INDEX(販管費予算!$E$12:$I$12,MATCH(CC$3,販管費予算!$E$4:$I$4,0))/12,0),0)</f>
        <v>8333.0</v>
      </c>
      <c r="CD50" s="409">
        <f>ROUND(INDEX(販管費予算!$E$12:$I$12,MATCH(CD$3,販管費予算!$E$4:$I$4,0))/12,0)+IF(COUNTIF($AB$3:CD$3,CD$3)=12,INDEX(販管費予算!$E$12:$I$12,MATCH(CD$3,販管費予算!$E$4:$I$4,0))-12*ROUND(INDEX(販管費予算!$E$12:$I$12,MATCH(CD$3,販管費予算!$E$4:$I$4,0))/12,0),0)</f>
        <v>8333.0</v>
      </c>
      <c r="CE50" s="409">
        <f>ROUND(INDEX(販管費予算!$E$12:$I$12,MATCH(CE$3,販管費予算!$E$4:$I$4,0))/12,0)+IF(COUNTIF($AB$3:CE$3,CE$3)=12,INDEX(販管費予算!$E$12:$I$12,MATCH(CE$3,販管費予算!$E$4:$I$4,0))-12*ROUND(INDEX(販管費予算!$E$12:$I$12,MATCH(CE$3,販管費予算!$E$4:$I$4,0))/12,0),0)</f>
        <v>8333.0</v>
      </c>
      <c r="CF50" s="409">
        <f>ROUND(INDEX(販管費予算!$E$12:$I$12,MATCH(CF$3,販管費予算!$E$4:$I$4,0))/12,0)+IF(COUNTIF($AB$3:CF$3,CF$3)=12,INDEX(販管費予算!$E$12:$I$12,MATCH(CF$3,販管費予算!$E$4:$I$4,0))-12*ROUND(INDEX(販管費予算!$E$12:$I$12,MATCH(CF$3,販管費予算!$E$4:$I$4,0))/12,0),0)</f>
        <v>8333.0</v>
      </c>
      <c r="CG50" s="409">
        <f>ROUND(INDEX(販管費予算!$E$12:$I$12,MATCH(CG$3,販管費予算!$E$4:$I$4,0))/12,0)+IF(COUNTIF($AB$3:CG$3,CG$3)=12,INDEX(販管費予算!$E$12:$I$12,MATCH(CG$3,販管費予算!$E$4:$I$4,0))-12*ROUND(INDEX(販管費予算!$E$12:$I$12,MATCH(CG$3,販管費予算!$E$4:$I$4,0))/12,0),0)</f>
        <v>8333.0</v>
      </c>
      <c r="CH50" s="409">
        <f>ROUND(INDEX(販管費予算!$E$12:$I$12,MATCH(CH$3,販管費予算!$E$4:$I$4,0))/12,0)+IF(COUNTIF($AB$3:CH$3,CH$3)=12,INDEX(販管費予算!$E$12:$I$12,MATCH(CH$3,販管費予算!$E$4:$I$4,0))-12*ROUND(INDEX(販管費予算!$E$12:$I$12,MATCH(CH$3,販管費予算!$E$4:$I$4,0))/12,0),0)</f>
        <v>8333.0</v>
      </c>
      <c r="CI50" s="412">
        <f>ROUND(INDEX(販管費予算!$E$12:$I$12,MATCH(CI$3,販管費予算!$E$4:$I$4,0))/12,0)+IF(COUNTIF($AB$3:CI$3,CI$3)=12,INDEX(販管費予算!$E$12:$I$12,MATCH(CI$3,販管費予算!$E$4:$I$4,0))-12*ROUND(INDEX(販管費予算!$E$12:$I$12,MATCH(CI$3,販管費予算!$E$4:$I$4,0))/12,0),0)</f>
        <v>8337.0</v>
      </c>
    </row>
    <row r="51" ht="18" customHeight="1" s="145">
      <c r="A51" s="233" t="n"/>
      <c r="B51" s="233" t="inlineStr">
        <is>
          <t>外注費</t>
        </is>
      </c>
      <c r="C51" s="233" t="inlineStr">
        <is>
          <t>全社</t>
        </is>
      </c>
      <c r="D51" s="234" t="n"/>
      <c r="E51" s="408">
        <f>SUMIF($AB$3:$CI$3,E$4,$AB51:$CI51)</f>
        <v>6000000.0</v>
      </c>
      <c r="F51" s="409">
        <f>SUMIF($AB$3:$CI$3,F$4,$AB51:$CI51)</f>
        <v>12000000.0</v>
      </c>
      <c r="G51" s="409">
        <f>SUMIF($AB$3:$CI$3,G$4,$AB51:$CI51)</f>
        <v>18000000.0</v>
      </c>
      <c r="H51" s="409">
        <f>SUMIF($AB$3:$CI$3,H$4,$AB51:$CI51)</f>
        <v>24000000.0</v>
      </c>
      <c r="I51" s="409">
        <f>SUMIF($AB$3:$CI$3,I$4,$AB51:$CI51)</f>
        <v>30000000.0</v>
      </c>
      <c r="J51" s="407">
        <f>SUM(E51:I51)</f>
        <v>90000000.0</v>
      </c>
      <c r="K51" s="407">
        <f>SUMIF($Q$3:$CN$3,K$4,$Q51:$CN51)</f>
        <v>0.0</v>
      </c>
      <c r="L51" s="407">
        <f>SUMIF($Q$3:$CN$3,L$4,$Q51:$CN51)</f>
        <v>0.0</v>
      </c>
      <c r="M51" s="407">
        <f>SUMIF($Q$3:$CN$3,M$4,$Q51:$CN51)</f>
        <v>0.0</v>
      </c>
      <c r="N51" s="407">
        <f>SUMIF($Q$3:$CN$3,N$4,$Q51:$CN51)</f>
        <v>0.0</v>
      </c>
      <c r="O51" s="235" t="n"/>
      <c r="P51" s="408" t="n"/>
      <c r="Q51" s="409" t="n"/>
      <c r="R51" s="409" t="n"/>
      <c r="S51" s="409" t="n"/>
      <c r="T51" s="409" t="n"/>
      <c r="U51" s="409" t="n"/>
      <c r="V51" s="409" t="n"/>
      <c r="W51" s="409" t="n"/>
      <c r="X51" s="409" t="n"/>
      <c r="Y51" s="409" t="n"/>
      <c r="Z51" s="409" t="n"/>
      <c r="AA51" s="412" t="n"/>
      <c r="AB51" s="476">
        <f>ROUND(INDEX(販管費予算!$E$13:$I$13,MATCH(AB$3,販管費予算!$E$4:$I$4,0))/12,0)+IF(COUNTIF($AB$3:AB$3,AB$3)=12,INDEX(販管費予算!$E$13:$I$13,MATCH(AB$3,販管費予算!$E$4:$I$4,0))-12*ROUND(INDEX(販管費予算!$E$13:$I$13,MATCH(AB$3,販管費予算!$E$4:$I$4,0))/12,0),0)</f>
        <v>500000.0</v>
      </c>
      <c r="AC51" s="477">
        <f>ROUND(INDEX(販管費予算!$E$13:$I$13,MATCH(AC$3,販管費予算!$E$4:$I$4,0))/12,0)+IF(COUNTIF($AB$3:AC$3,AC$3)=12,INDEX(販管費予算!$E$13:$I$13,MATCH(AC$3,販管費予算!$E$4:$I$4,0))-12*ROUND(INDEX(販管費予算!$E$13:$I$13,MATCH(AC$3,販管費予算!$E$4:$I$4,0))/12,0),0)</f>
        <v>500000.0</v>
      </c>
      <c r="AD51" s="477">
        <f>ROUND(INDEX(販管費予算!$E$13:$I$13,MATCH(AD$3,販管費予算!$E$4:$I$4,0))/12,0)+IF(COUNTIF($AB$3:AD$3,AD$3)=12,INDEX(販管費予算!$E$13:$I$13,MATCH(AD$3,販管費予算!$E$4:$I$4,0))-12*ROUND(INDEX(販管費予算!$E$13:$I$13,MATCH(AD$3,販管費予算!$E$4:$I$4,0))/12,0),0)</f>
        <v>500000.0</v>
      </c>
      <c r="AE51" s="477">
        <f>ROUND(INDEX(販管費予算!$E$13:$I$13,MATCH(AE$3,販管費予算!$E$4:$I$4,0))/12,0)+IF(COUNTIF($AB$3:AE$3,AE$3)=12,INDEX(販管費予算!$E$13:$I$13,MATCH(AE$3,販管費予算!$E$4:$I$4,0))-12*ROUND(INDEX(販管費予算!$E$13:$I$13,MATCH(AE$3,販管費予算!$E$4:$I$4,0))/12,0),0)</f>
        <v>500000.0</v>
      </c>
      <c r="AF51" s="409">
        <f>ROUND(INDEX(販管費予算!$E$13:$I$13,MATCH(AF$3,販管費予算!$E$4:$I$4,0))/12,0)+IF(COUNTIF($AB$3:AF$3,AF$3)=12,INDEX(販管費予算!$E$13:$I$13,MATCH(AF$3,販管費予算!$E$4:$I$4,0))-12*ROUND(INDEX(販管費予算!$E$13:$I$13,MATCH(AF$3,販管費予算!$E$4:$I$4,0))/12,0),0)</f>
        <v>500000.0</v>
      </c>
      <c r="AG51" s="409">
        <f>ROUND(INDEX(販管費予算!$E$13:$I$13,MATCH(AG$3,販管費予算!$E$4:$I$4,0))/12,0)+IF(COUNTIF($AB$3:AG$3,AG$3)=12,INDEX(販管費予算!$E$13:$I$13,MATCH(AG$3,販管費予算!$E$4:$I$4,0))-12*ROUND(INDEX(販管費予算!$E$13:$I$13,MATCH(AG$3,販管費予算!$E$4:$I$4,0))/12,0),0)</f>
        <v>500000.0</v>
      </c>
      <c r="AH51" s="409">
        <f>ROUND(INDEX(販管費予算!$E$13:$I$13,MATCH(AH$3,販管費予算!$E$4:$I$4,0))/12,0)+IF(COUNTIF($AB$3:AH$3,AH$3)=12,INDEX(販管費予算!$E$13:$I$13,MATCH(AH$3,販管費予算!$E$4:$I$4,0))-12*ROUND(INDEX(販管費予算!$E$13:$I$13,MATCH(AH$3,販管費予算!$E$4:$I$4,0))/12,0),0)</f>
        <v>500000.0</v>
      </c>
      <c r="AI51" s="409">
        <f>ROUND(INDEX(販管費予算!$E$13:$I$13,MATCH(AI$3,販管費予算!$E$4:$I$4,0))/12,0)+IF(COUNTIF($AB$3:AI$3,AI$3)=12,INDEX(販管費予算!$E$13:$I$13,MATCH(AI$3,販管費予算!$E$4:$I$4,0))-12*ROUND(INDEX(販管費予算!$E$13:$I$13,MATCH(AI$3,販管費予算!$E$4:$I$4,0))/12,0),0)</f>
        <v>500000.0</v>
      </c>
      <c r="AJ51" s="409">
        <f>ROUND(INDEX(販管費予算!$E$13:$I$13,MATCH(AJ$3,販管費予算!$E$4:$I$4,0))/12,0)+IF(COUNTIF($AB$3:AJ$3,AJ$3)=12,INDEX(販管費予算!$E$13:$I$13,MATCH(AJ$3,販管費予算!$E$4:$I$4,0))-12*ROUND(INDEX(販管費予算!$E$13:$I$13,MATCH(AJ$3,販管費予算!$E$4:$I$4,0))/12,0),0)</f>
        <v>500000.0</v>
      </c>
      <c r="AK51" s="409">
        <f>ROUND(INDEX(販管費予算!$E$13:$I$13,MATCH(AK$3,販管費予算!$E$4:$I$4,0))/12,0)+IF(COUNTIF($AB$3:AK$3,AK$3)=12,INDEX(販管費予算!$E$13:$I$13,MATCH(AK$3,販管費予算!$E$4:$I$4,0))-12*ROUND(INDEX(販管費予算!$E$13:$I$13,MATCH(AK$3,販管費予算!$E$4:$I$4,0))/12,0),0)</f>
        <v>500000.0</v>
      </c>
      <c r="AL51" s="409">
        <f>ROUND(INDEX(販管費予算!$E$13:$I$13,MATCH(AL$3,販管費予算!$E$4:$I$4,0))/12,0)+IF(COUNTIF($AB$3:AL$3,AL$3)=12,INDEX(販管費予算!$E$13:$I$13,MATCH(AL$3,販管費予算!$E$4:$I$4,0))-12*ROUND(INDEX(販管費予算!$E$13:$I$13,MATCH(AL$3,販管費予算!$E$4:$I$4,0))/12,0),0)</f>
        <v>500000.0</v>
      </c>
      <c r="AM51" s="412">
        <f>ROUND(INDEX(販管費予算!$E$13:$I$13,MATCH(AM$3,販管費予算!$E$4:$I$4,0))/12,0)+IF(COUNTIF($AB$3:AM$3,AM$3)=12,INDEX(販管費予算!$E$13:$I$13,MATCH(AM$3,販管費予算!$E$4:$I$4,0))-12*ROUND(INDEX(販管費予算!$E$13:$I$13,MATCH(AM$3,販管費予算!$E$4:$I$4,0))/12,0),0)</f>
        <v>500000.0</v>
      </c>
      <c r="AN51" s="408">
        <f>ROUND(INDEX(販管費予算!$E$13:$I$13,MATCH(AN$3,販管費予算!$E$4:$I$4,0))/12,0)+IF(COUNTIF($AB$3:AN$3,AN$3)=12,INDEX(販管費予算!$E$13:$I$13,MATCH(AN$3,販管費予算!$E$4:$I$4,0))-12*ROUND(INDEX(販管費予算!$E$13:$I$13,MATCH(AN$3,販管費予算!$E$4:$I$4,0))/12,0),0)</f>
        <v>1000000.0</v>
      </c>
      <c r="AO51" s="409">
        <f>ROUND(INDEX(販管費予算!$E$13:$I$13,MATCH(AO$3,販管費予算!$E$4:$I$4,0))/12,0)+IF(COUNTIF($AB$3:AO$3,AO$3)=12,INDEX(販管費予算!$E$13:$I$13,MATCH(AO$3,販管費予算!$E$4:$I$4,0))-12*ROUND(INDEX(販管費予算!$E$13:$I$13,MATCH(AO$3,販管費予算!$E$4:$I$4,0))/12,0),0)</f>
        <v>1000000.0</v>
      </c>
      <c r="AP51" s="409">
        <f>ROUND(INDEX(販管費予算!$E$13:$I$13,MATCH(AP$3,販管費予算!$E$4:$I$4,0))/12,0)+IF(COUNTIF($AB$3:AP$3,AP$3)=12,INDEX(販管費予算!$E$13:$I$13,MATCH(AP$3,販管費予算!$E$4:$I$4,0))-12*ROUND(INDEX(販管費予算!$E$13:$I$13,MATCH(AP$3,販管費予算!$E$4:$I$4,0))/12,0),0)</f>
        <v>1000000.0</v>
      </c>
      <c r="AQ51" s="409">
        <f>ROUND(INDEX(販管費予算!$E$13:$I$13,MATCH(AQ$3,販管費予算!$E$4:$I$4,0))/12,0)+IF(COUNTIF($AB$3:AQ$3,AQ$3)=12,INDEX(販管費予算!$E$13:$I$13,MATCH(AQ$3,販管費予算!$E$4:$I$4,0))-12*ROUND(INDEX(販管費予算!$E$13:$I$13,MATCH(AQ$3,販管費予算!$E$4:$I$4,0))/12,0),0)</f>
        <v>1000000.0</v>
      </c>
      <c r="AR51" s="409">
        <f>ROUND(INDEX(販管費予算!$E$13:$I$13,MATCH(AR$3,販管費予算!$E$4:$I$4,0))/12,0)+IF(COUNTIF($AB$3:AR$3,AR$3)=12,INDEX(販管費予算!$E$13:$I$13,MATCH(AR$3,販管費予算!$E$4:$I$4,0))-12*ROUND(INDEX(販管費予算!$E$13:$I$13,MATCH(AR$3,販管費予算!$E$4:$I$4,0))/12,0),0)</f>
        <v>1000000.0</v>
      </c>
      <c r="AS51" s="409">
        <f>ROUND(INDEX(販管費予算!$E$13:$I$13,MATCH(AS$3,販管費予算!$E$4:$I$4,0))/12,0)+IF(COUNTIF($AB$3:AS$3,AS$3)=12,INDEX(販管費予算!$E$13:$I$13,MATCH(AS$3,販管費予算!$E$4:$I$4,0))-12*ROUND(INDEX(販管費予算!$E$13:$I$13,MATCH(AS$3,販管費予算!$E$4:$I$4,0))/12,0),0)</f>
        <v>1000000.0</v>
      </c>
      <c r="AT51" s="409">
        <f>ROUND(INDEX(販管費予算!$E$13:$I$13,MATCH(AT$3,販管費予算!$E$4:$I$4,0))/12,0)+IF(COUNTIF($AB$3:AT$3,AT$3)=12,INDEX(販管費予算!$E$13:$I$13,MATCH(AT$3,販管費予算!$E$4:$I$4,0))-12*ROUND(INDEX(販管費予算!$E$13:$I$13,MATCH(AT$3,販管費予算!$E$4:$I$4,0))/12,0),0)</f>
        <v>1000000.0</v>
      </c>
      <c r="AU51" s="409">
        <f>ROUND(INDEX(販管費予算!$E$13:$I$13,MATCH(AU$3,販管費予算!$E$4:$I$4,0))/12,0)+IF(COUNTIF($AB$3:AU$3,AU$3)=12,INDEX(販管費予算!$E$13:$I$13,MATCH(AU$3,販管費予算!$E$4:$I$4,0))-12*ROUND(INDEX(販管費予算!$E$13:$I$13,MATCH(AU$3,販管費予算!$E$4:$I$4,0))/12,0),0)</f>
        <v>1000000.0</v>
      </c>
      <c r="AV51" s="409">
        <f>ROUND(INDEX(販管費予算!$E$13:$I$13,MATCH(AV$3,販管費予算!$E$4:$I$4,0))/12,0)+IF(COUNTIF($AB$3:AV$3,AV$3)=12,INDEX(販管費予算!$E$13:$I$13,MATCH(AV$3,販管費予算!$E$4:$I$4,0))-12*ROUND(INDEX(販管費予算!$E$13:$I$13,MATCH(AV$3,販管費予算!$E$4:$I$4,0))/12,0),0)</f>
        <v>1000000.0</v>
      </c>
      <c r="AW51" s="409">
        <f>ROUND(INDEX(販管費予算!$E$13:$I$13,MATCH(AW$3,販管費予算!$E$4:$I$4,0))/12,0)+IF(COUNTIF($AB$3:AW$3,AW$3)=12,INDEX(販管費予算!$E$13:$I$13,MATCH(AW$3,販管費予算!$E$4:$I$4,0))-12*ROUND(INDEX(販管費予算!$E$13:$I$13,MATCH(AW$3,販管費予算!$E$4:$I$4,0))/12,0),0)</f>
        <v>1000000.0</v>
      </c>
      <c r="AX51" s="409">
        <f>ROUND(INDEX(販管費予算!$E$13:$I$13,MATCH(AX$3,販管費予算!$E$4:$I$4,0))/12,0)+IF(COUNTIF($AB$3:AX$3,AX$3)=12,INDEX(販管費予算!$E$13:$I$13,MATCH(AX$3,販管費予算!$E$4:$I$4,0))-12*ROUND(INDEX(販管費予算!$E$13:$I$13,MATCH(AX$3,販管費予算!$E$4:$I$4,0))/12,0),0)</f>
        <v>1000000.0</v>
      </c>
      <c r="AY51" s="412">
        <f>ROUND(INDEX(販管費予算!$E$13:$I$13,MATCH(AY$3,販管費予算!$E$4:$I$4,0))/12,0)+IF(COUNTIF($AB$3:AY$3,AY$3)=12,INDEX(販管費予算!$E$13:$I$13,MATCH(AY$3,販管費予算!$E$4:$I$4,0))-12*ROUND(INDEX(販管費予算!$E$13:$I$13,MATCH(AY$3,販管費予算!$E$4:$I$4,0))/12,0),0)</f>
        <v>1000000.0</v>
      </c>
      <c r="AZ51" s="408">
        <f>ROUND(INDEX(販管費予算!$E$13:$I$13,MATCH(AZ$3,販管費予算!$E$4:$I$4,0))/12,0)+IF(COUNTIF($AB$3:AZ$3,AZ$3)=12,INDEX(販管費予算!$E$13:$I$13,MATCH(AZ$3,販管費予算!$E$4:$I$4,0))-12*ROUND(INDEX(販管費予算!$E$13:$I$13,MATCH(AZ$3,販管費予算!$E$4:$I$4,0))/12,0),0)</f>
        <v>1500000.0</v>
      </c>
      <c r="BA51" s="409">
        <f>ROUND(INDEX(販管費予算!$E$13:$I$13,MATCH(BA$3,販管費予算!$E$4:$I$4,0))/12,0)+IF(COUNTIF($AB$3:BA$3,BA$3)=12,INDEX(販管費予算!$E$13:$I$13,MATCH(BA$3,販管費予算!$E$4:$I$4,0))-12*ROUND(INDEX(販管費予算!$E$13:$I$13,MATCH(BA$3,販管費予算!$E$4:$I$4,0))/12,0),0)</f>
        <v>1500000.0</v>
      </c>
      <c r="BB51" s="409">
        <f>ROUND(INDEX(販管費予算!$E$13:$I$13,MATCH(BB$3,販管費予算!$E$4:$I$4,0))/12,0)+IF(COUNTIF($AB$3:BB$3,BB$3)=12,INDEX(販管費予算!$E$13:$I$13,MATCH(BB$3,販管費予算!$E$4:$I$4,0))-12*ROUND(INDEX(販管費予算!$E$13:$I$13,MATCH(BB$3,販管費予算!$E$4:$I$4,0))/12,0),0)</f>
        <v>1500000.0</v>
      </c>
      <c r="BC51" s="409">
        <f>ROUND(INDEX(販管費予算!$E$13:$I$13,MATCH(BC$3,販管費予算!$E$4:$I$4,0))/12,0)+IF(COUNTIF($AB$3:BC$3,BC$3)=12,INDEX(販管費予算!$E$13:$I$13,MATCH(BC$3,販管費予算!$E$4:$I$4,0))-12*ROUND(INDEX(販管費予算!$E$13:$I$13,MATCH(BC$3,販管費予算!$E$4:$I$4,0))/12,0),0)</f>
        <v>1500000.0</v>
      </c>
      <c r="BD51" s="409">
        <f>ROUND(INDEX(販管費予算!$E$13:$I$13,MATCH(BD$3,販管費予算!$E$4:$I$4,0))/12,0)+IF(COUNTIF($AB$3:BD$3,BD$3)=12,INDEX(販管費予算!$E$13:$I$13,MATCH(BD$3,販管費予算!$E$4:$I$4,0))-12*ROUND(INDEX(販管費予算!$E$13:$I$13,MATCH(BD$3,販管費予算!$E$4:$I$4,0))/12,0),0)</f>
        <v>1500000.0</v>
      </c>
      <c r="BE51" s="409">
        <f>ROUND(INDEX(販管費予算!$E$13:$I$13,MATCH(BE$3,販管費予算!$E$4:$I$4,0))/12,0)+IF(COUNTIF($AB$3:BE$3,BE$3)=12,INDEX(販管費予算!$E$13:$I$13,MATCH(BE$3,販管費予算!$E$4:$I$4,0))-12*ROUND(INDEX(販管費予算!$E$13:$I$13,MATCH(BE$3,販管費予算!$E$4:$I$4,0))/12,0),0)</f>
        <v>1500000.0</v>
      </c>
      <c r="BF51" s="409">
        <f>ROUND(INDEX(販管費予算!$E$13:$I$13,MATCH(BF$3,販管費予算!$E$4:$I$4,0))/12,0)+IF(COUNTIF($AB$3:BF$3,BF$3)=12,INDEX(販管費予算!$E$13:$I$13,MATCH(BF$3,販管費予算!$E$4:$I$4,0))-12*ROUND(INDEX(販管費予算!$E$13:$I$13,MATCH(BF$3,販管費予算!$E$4:$I$4,0))/12,0),0)</f>
        <v>1500000.0</v>
      </c>
      <c r="BG51" s="409">
        <f>ROUND(INDEX(販管費予算!$E$13:$I$13,MATCH(BG$3,販管費予算!$E$4:$I$4,0))/12,0)+IF(COUNTIF($AB$3:BG$3,BG$3)=12,INDEX(販管費予算!$E$13:$I$13,MATCH(BG$3,販管費予算!$E$4:$I$4,0))-12*ROUND(INDEX(販管費予算!$E$13:$I$13,MATCH(BG$3,販管費予算!$E$4:$I$4,0))/12,0),0)</f>
        <v>1500000.0</v>
      </c>
      <c r="BH51" s="409">
        <f>ROUND(INDEX(販管費予算!$E$13:$I$13,MATCH(BH$3,販管費予算!$E$4:$I$4,0))/12,0)+IF(COUNTIF($AB$3:BH$3,BH$3)=12,INDEX(販管費予算!$E$13:$I$13,MATCH(BH$3,販管費予算!$E$4:$I$4,0))-12*ROUND(INDEX(販管費予算!$E$13:$I$13,MATCH(BH$3,販管費予算!$E$4:$I$4,0))/12,0),0)</f>
        <v>1500000.0</v>
      </c>
      <c r="BI51" s="409">
        <f>ROUND(INDEX(販管費予算!$E$13:$I$13,MATCH(BI$3,販管費予算!$E$4:$I$4,0))/12,0)+IF(COUNTIF($AB$3:BI$3,BI$3)=12,INDEX(販管費予算!$E$13:$I$13,MATCH(BI$3,販管費予算!$E$4:$I$4,0))-12*ROUND(INDEX(販管費予算!$E$13:$I$13,MATCH(BI$3,販管費予算!$E$4:$I$4,0))/12,0),0)</f>
        <v>1500000.0</v>
      </c>
      <c r="BJ51" s="409">
        <f>ROUND(INDEX(販管費予算!$E$13:$I$13,MATCH(BJ$3,販管費予算!$E$4:$I$4,0))/12,0)+IF(COUNTIF($AB$3:BJ$3,BJ$3)=12,INDEX(販管費予算!$E$13:$I$13,MATCH(BJ$3,販管費予算!$E$4:$I$4,0))-12*ROUND(INDEX(販管費予算!$E$13:$I$13,MATCH(BJ$3,販管費予算!$E$4:$I$4,0))/12,0),0)</f>
        <v>1500000.0</v>
      </c>
      <c r="BK51" s="412">
        <f>ROUND(INDEX(販管費予算!$E$13:$I$13,MATCH(BK$3,販管費予算!$E$4:$I$4,0))/12,0)+IF(COUNTIF($AB$3:BK$3,BK$3)=12,INDEX(販管費予算!$E$13:$I$13,MATCH(BK$3,販管費予算!$E$4:$I$4,0))-12*ROUND(INDEX(販管費予算!$E$13:$I$13,MATCH(BK$3,販管費予算!$E$4:$I$4,0))/12,0),0)</f>
        <v>1500000.0</v>
      </c>
      <c r="BL51" s="408">
        <f>ROUND(INDEX(販管費予算!$E$13:$I$13,MATCH(BL$3,販管費予算!$E$4:$I$4,0))/12,0)+IF(COUNTIF($AB$3:BL$3,BL$3)=12,INDEX(販管費予算!$E$13:$I$13,MATCH(BL$3,販管費予算!$E$4:$I$4,0))-12*ROUND(INDEX(販管費予算!$E$13:$I$13,MATCH(BL$3,販管費予算!$E$4:$I$4,0))/12,0),0)</f>
        <v>2000000.0</v>
      </c>
      <c r="BM51" s="409">
        <f>ROUND(INDEX(販管費予算!$E$13:$I$13,MATCH(BM$3,販管費予算!$E$4:$I$4,0))/12,0)+IF(COUNTIF($AB$3:BM$3,BM$3)=12,INDEX(販管費予算!$E$13:$I$13,MATCH(BM$3,販管費予算!$E$4:$I$4,0))-12*ROUND(INDEX(販管費予算!$E$13:$I$13,MATCH(BM$3,販管費予算!$E$4:$I$4,0))/12,0),0)</f>
        <v>2000000.0</v>
      </c>
      <c r="BN51" s="409">
        <f>ROUND(INDEX(販管費予算!$E$13:$I$13,MATCH(BN$3,販管費予算!$E$4:$I$4,0))/12,0)+IF(COUNTIF($AB$3:BN$3,BN$3)=12,INDEX(販管費予算!$E$13:$I$13,MATCH(BN$3,販管費予算!$E$4:$I$4,0))-12*ROUND(INDEX(販管費予算!$E$13:$I$13,MATCH(BN$3,販管費予算!$E$4:$I$4,0))/12,0),0)</f>
        <v>2000000.0</v>
      </c>
      <c r="BO51" s="409">
        <f>ROUND(INDEX(販管費予算!$E$13:$I$13,MATCH(BO$3,販管費予算!$E$4:$I$4,0))/12,0)+IF(COUNTIF($AB$3:BO$3,BO$3)=12,INDEX(販管費予算!$E$13:$I$13,MATCH(BO$3,販管費予算!$E$4:$I$4,0))-12*ROUND(INDEX(販管費予算!$E$13:$I$13,MATCH(BO$3,販管費予算!$E$4:$I$4,0))/12,0),0)</f>
        <v>2000000.0</v>
      </c>
      <c r="BP51" s="409">
        <f>ROUND(INDEX(販管費予算!$E$13:$I$13,MATCH(BP$3,販管費予算!$E$4:$I$4,0))/12,0)+IF(COUNTIF($AB$3:BP$3,BP$3)=12,INDEX(販管費予算!$E$13:$I$13,MATCH(BP$3,販管費予算!$E$4:$I$4,0))-12*ROUND(INDEX(販管費予算!$E$13:$I$13,MATCH(BP$3,販管費予算!$E$4:$I$4,0))/12,0),0)</f>
        <v>2000000.0</v>
      </c>
      <c r="BQ51" s="409">
        <f>ROUND(INDEX(販管費予算!$E$13:$I$13,MATCH(BQ$3,販管費予算!$E$4:$I$4,0))/12,0)+IF(COUNTIF($AB$3:BQ$3,BQ$3)=12,INDEX(販管費予算!$E$13:$I$13,MATCH(BQ$3,販管費予算!$E$4:$I$4,0))-12*ROUND(INDEX(販管費予算!$E$13:$I$13,MATCH(BQ$3,販管費予算!$E$4:$I$4,0))/12,0),0)</f>
        <v>2000000.0</v>
      </c>
      <c r="BR51" s="409">
        <f>ROUND(INDEX(販管費予算!$E$13:$I$13,MATCH(BR$3,販管費予算!$E$4:$I$4,0))/12,0)+IF(COUNTIF($AB$3:BR$3,BR$3)=12,INDEX(販管費予算!$E$13:$I$13,MATCH(BR$3,販管費予算!$E$4:$I$4,0))-12*ROUND(INDEX(販管費予算!$E$13:$I$13,MATCH(BR$3,販管費予算!$E$4:$I$4,0))/12,0),0)</f>
        <v>2000000.0</v>
      </c>
      <c r="BS51" s="409">
        <f>ROUND(INDEX(販管費予算!$E$13:$I$13,MATCH(BS$3,販管費予算!$E$4:$I$4,0))/12,0)+IF(COUNTIF($AB$3:BS$3,BS$3)=12,INDEX(販管費予算!$E$13:$I$13,MATCH(BS$3,販管費予算!$E$4:$I$4,0))-12*ROUND(INDEX(販管費予算!$E$13:$I$13,MATCH(BS$3,販管費予算!$E$4:$I$4,0))/12,0),0)</f>
        <v>2000000.0</v>
      </c>
      <c r="BT51" s="409">
        <f>ROUND(INDEX(販管費予算!$E$13:$I$13,MATCH(BT$3,販管費予算!$E$4:$I$4,0))/12,0)+IF(COUNTIF($AB$3:BT$3,BT$3)=12,INDEX(販管費予算!$E$13:$I$13,MATCH(BT$3,販管費予算!$E$4:$I$4,0))-12*ROUND(INDEX(販管費予算!$E$13:$I$13,MATCH(BT$3,販管費予算!$E$4:$I$4,0))/12,0),0)</f>
        <v>2000000.0</v>
      </c>
      <c r="BU51" s="409">
        <f>ROUND(INDEX(販管費予算!$E$13:$I$13,MATCH(BU$3,販管費予算!$E$4:$I$4,0))/12,0)+IF(COUNTIF($AB$3:BU$3,BU$3)=12,INDEX(販管費予算!$E$13:$I$13,MATCH(BU$3,販管費予算!$E$4:$I$4,0))-12*ROUND(INDEX(販管費予算!$E$13:$I$13,MATCH(BU$3,販管費予算!$E$4:$I$4,0))/12,0),0)</f>
        <v>2000000.0</v>
      </c>
      <c r="BV51" s="409">
        <f>ROUND(INDEX(販管費予算!$E$13:$I$13,MATCH(BV$3,販管費予算!$E$4:$I$4,0))/12,0)+IF(COUNTIF($AB$3:BV$3,BV$3)=12,INDEX(販管費予算!$E$13:$I$13,MATCH(BV$3,販管費予算!$E$4:$I$4,0))-12*ROUND(INDEX(販管費予算!$E$13:$I$13,MATCH(BV$3,販管費予算!$E$4:$I$4,0))/12,0),0)</f>
        <v>2000000.0</v>
      </c>
      <c r="BW51" s="412">
        <f>ROUND(INDEX(販管費予算!$E$13:$I$13,MATCH(BW$3,販管費予算!$E$4:$I$4,0))/12,0)+IF(COUNTIF($AB$3:BW$3,BW$3)=12,INDEX(販管費予算!$E$13:$I$13,MATCH(BW$3,販管費予算!$E$4:$I$4,0))-12*ROUND(INDEX(販管費予算!$E$13:$I$13,MATCH(BW$3,販管費予算!$E$4:$I$4,0))/12,0),0)</f>
        <v>2000000.0</v>
      </c>
      <c r="BX51" s="408">
        <f>ROUND(INDEX(販管費予算!$E$13:$I$13,MATCH(BX$3,販管費予算!$E$4:$I$4,0))/12,0)+IF(COUNTIF($AB$3:BX$3,BX$3)=12,INDEX(販管費予算!$E$13:$I$13,MATCH(BX$3,販管費予算!$E$4:$I$4,0))-12*ROUND(INDEX(販管費予算!$E$13:$I$13,MATCH(BX$3,販管費予算!$E$4:$I$4,0))/12,0),0)</f>
        <v>2500000.0</v>
      </c>
      <c r="BY51" s="409">
        <f>ROUND(INDEX(販管費予算!$E$13:$I$13,MATCH(BY$3,販管費予算!$E$4:$I$4,0))/12,0)+IF(COUNTIF($AB$3:BY$3,BY$3)=12,INDEX(販管費予算!$E$13:$I$13,MATCH(BY$3,販管費予算!$E$4:$I$4,0))-12*ROUND(INDEX(販管費予算!$E$13:$I$13,MATCH(BY$3,販管費予算!$E$4:$I$4,0))/12,0),0)</f>
        <v>2500000.0</v>
      </c>
      <c r="BZ51" s="409">
        <f>ROUND(INDEX(販管費予算!$E$13:$I$13,MATCH(BZ$3,販管費予算!$E$4:$I$4,0))/12,0)+IF(COUNTIF($AB$3:BZ$3,BZ$3)=12,INDEX(販管費予算!$E$13:$I$13,MATCH(BZ$3,販管費予算!$E$4:$I$4,0))-12*ROUND(INDEX(販管費予算!$E$13:$I$13,MATCH(BZ$3,販管費予算!$E$4:$I$4,0))/12,0),0)</f>
        <v>2500000.0</v>
      </c>
      <c r="CA51" s="409">
        <f>ROUND(INDEX(販管費予算!$E$13:$I$13,MATCH(CA$3,販管費予算!$E$4:$I$4,0))/12,0)+IF(COUNTIF($AB$3:CA$3,CA$3)=12,INDEX(販管費予算!$E$13:$I$13,MATCH(CA$3,販管費予算!$E$4:$I$4,0))-12*ROUND(INDEX(販管費予算!$E$13:$I$13,MATCH(CA$3,販管費予算!$E$4:$I$4,0))/12,0),0)</f>
        <v>2500000.0</v>
      </c>
      <c r="CB51" s="409">
        <f>ROUND(INDEX(販管費予算!$E$13:$I$13,MATCH(CB$3,販管費予算!$E$4:$I$4,0))/12,0)+IF(COUNTIF($AB$3:CB$3,CB$3)=12,INDEX(販管費予算!$E$13:$I$13,MATCH(CB$3,販管費予算!$E$4:$I$4,0))-12*ROUND(INDEX(販管費予算!$E$13:$I$13,MATCH(CB$3,販管費予算!$E$4:$I$4,0))/12,0),0)</f>
        <v>2500000.0</v>
      </c>
      <c r="CC51" s="409">
        <f>ROUND(INDEX(販管費予算!$E$13:$I$13,MATCH(CC$3,販管費予算!$E$4:$I$4,0))/12,0)+IF(COUNTIF($AB$3:CC$3,CC$3)=12,INDEX(販管費予算!$E$13:$I$13,MATCH(CC$3,販管費予算!$E$4:$I$4,0))-12*ROUND(INDEX(販管費予算!$E$13:$I$13,MATCH(CC$3,販管費予算!$E$4:$I$4,0))/12,0),0)</f>
        <v>2500000.0</v>
      </c>
      <c r="CD51" s="409">
        <f>ROUND(INDEX(販管費予算!$E$13:$I$13,MATCH(CD$3,販管費予算!$E$4:$I$4,0))/12,0)+IF(COUNTIF($AB$3:CD$3,CD$3)=12,INDEX(販管費予算!$E$13:$I$13,MATCH(CD$3,販管費予算!$E$4:$I$4,0))-12*ROUND(INDEX(販管費予算!$E$13:$I$13,MATCH(CD$3,販管費予算!$E$4:$I$4,0))/12,0),0)</f>
        <v>2500000.0</v>
      </c>
      <c r="CE51" s="409">
        <f>ROUND(INDEX(販管費予算!$E$13:$I$13,MATCH(CE$3,販管費予算!$E$4:$I$4,0))/12,0)+IF(COUNTIF($AB$3:CE$3,CE$3)=12,INDEX(販管費予算!$E$13:$I$13,MATCH(CE$3,販管費予算!$E$4:$I$4,0))-12*ROUND(INDEX(販管費予算!$E$13:$I$13,MATCH(CE$3,販管費予算!$E$4:$I$4,0))/12,0),0)</f>
        <v>2500000.0</v>
      </c>
      <c r="CF51" s="409">
        <f>ROUND(INDEX(販管費予算!$E$13:$I$13,MATCH(CF$3,販管費予算!$E$4:$I$4,0))/12,0)+IF(COUNTIF($AB$3:CF$3,CF$3)=12,INDEX(販管費予算!$E$13:$I$13,MATCH(CF$3,販管費予算!$E$4:$I$4,0))-12*ROUND(INDEX(販管費予算!$E$13:$I$13,MATCH(CF$3,販管費予算!$E$4:$I$4,0))/12,0),0)</f>
        <v>2500000.0</v>
      </c>
      <c r="CG51" s="409">
        <f>ROUND(INDEX(販管費予算!$E$13:$I$13,MATCH(CG$3,販管費予算!$E$4:$I$4,0))/12,0)+IF(COUNTIF($AB$3:CG$3,CG$3)=12,INDEX(販管費予算!$E$13:$I$13,MATCH(CG$3,販管費予算!$E$4:$I$4,0))-12*ROUND(INDEX(販管費予算!$E$13:$I$13,MATCH(CG$3,販管費予算!$E$4:$I$4,0))/12,0),0)</f>
        <v>2500000.0</v>
      </c>
      <c r="CH51" s="409">
        <f>ROUND(INDEX(販管費予算!$E$13:$I$13,MATCH(CH$3,販管費予算!$E$4:$I$4,0))/12,0)+IF(COUNTIF($AB$3:CH$3,CH$3)=12,INDEX(販管費予算!$E$13:$I$13,MATCH(CH$3,販管費予算!$E$4:$I$4,0))-12*ROUND(INDEX(販管費予算!$E$13:$I$13,MATCH(CH$3,販管費予算!$E$4:$I$4,0))/12,0),0)</f>
        <v>2500000.0</v>
      </c>
      <c r="CI51" s="412">
        <f>ROUND(INDEX(販管費予算!$E$13:$I$13,MATCH(CI$3,販管費予算!$E$4:$I$4,0))/12,0)+IF(COUNTIF($AB$3:CI$3,CI$3)=12,INDEX(販管費予算!$E$13:$I$13,MATCH(CI$3,販管費予算!$E$4:$I$4,0))-12*ROUND(INDEX(販管費予算!$E$13:$I$13,MATCH(CI$3,販管費予算!$E$4:$I$4,0))/12,0),0)</f>
        <v>2500000.0</v>
      </c>
    </row>
    <row r="52" ht="18" customHeight="1" s="145">
      <c r="A52" s="233" t="n"/>
      <c r="B52" s="233" t="inlineStr">
        <is>
          <t>交際費</t>
        </is>
      </c>
      <c r="C52" s="233" t="inlineStr">
        <is>
          <t>全社</t>
        </is>
      </c>
      <c r="D52" s="234" t="n"/>
      <c r="E52" s="408">
        <f>SUMIF($AB$3:$CI$3,E$4,$AB52:$CI52)</f>
        <v>300000.0</v>
      </c>
      <c r="F52" s="409">
        <f>SUMIF($AB$3:$CI$3,F$4,$AB52:$CI52)</f>
        <v>500000.0</v>
      </c>
      <c r="G52" s="409">
        <f>SUMIF($AB$3:$CI$3,G$4,$AB52:$CI52)</f>
        <v>1000000.0</v>
      </c>
      <c r="H52" s="409">
        <f>SUMIF($AB$3:$CI$3,H$4,$AB52:$CI52)</f>
        <v>1500000.0</v>
      </c>
      <c r="I52" s="409">
        <f>SUMIF($AB$3:$CI$3,I$4,$AB52:$CI52)</f>
        <v>2500000.0</v>
      </c>
      <c r="J52" s="407">
        <f>SUM(E52:I52)</f>
        <v>5800000.0</v>
      </c>
      <c r="K52" s="407">
        <f>SUMIF($Q$3:$CN$3,K$4,$Q52:$CN52)</f>
        <v>0.0</v>
      </c>
      <c r="L52" s="407">
        <f>SUMIF($Q$3:$CN$3,L$4,$Q52:$CN52)</f>
        <v>0.0</v>
      </c>
      <c r="M52" s="407">
        <f>SUMIF($Q$3:$CN$3,M$4,$Q52:$CN52)</f>
        <v>0.0</v>
      </c>
      <c r="N52" s="407">
        <f>SUMIF($Q$3:$CN$3,N$4,$Q52:$CN52)</f>
        <v>0.0</v>
      </c>
      <c r="O52" s="235" t="n"/>
      <c r="P52" s="408" t="n"/>
      <c r="Q52" s="409" t="n"/>
      <c r="R52" s="409" t="n"/>
      <c r="S52" s="409" t="n"/>
      <c r="T52" s="409" t="n"/>
      <c r="U52" s="409" t="n"/>
      <c r="V52" s="409" t="n"/>
      <c r="W52" s="409" t="n"/>
      <c r="X52" s="409" t="n"/>
      <c r="Y52" s="409" t="n"/>
      <c r="Z52" s="409" t="n"/>
      <c r="AA52" s="412" t="n"/>
      <c r="AB52" s="476">
        <f>ROUND(INDEX(販管費予算!$E$14:$I$14,MATCH(AB$3,販管費予算!$E$4:$I$4,0))/12,0)+IF(COUNTIF($AB$3:AB$3,AB$3)=12,INDEX(販管費予算!$E$14:$I$14,MATCH(AB$3,販管費予算!$E$4:$I$4,0))-12*ROUND(INDEX(販管費予算!$E$14:$I$14,MATCH(AB$3,販管費予算!$E$4:$I$4,0))/12,0),0)</f>
        <v>25000.0</v>
      </c>
      <c r="AC52" s="477">
        <f>ROUND(INDEX(販管費予算!$E$14:$I$14,MATCH(AC$3,販管費予算!$E$4:$I$4,0))/12,0)+IF(COUNTIF($AB$3:AC$3,AC$3)=12,INDEX(販管費予算!$E$14:$I$14,MATCH(AC$3,販管費予算!$E$4:$I$4,0))-12*ROUND(INDEX(販管費予算!$E$14:$I$14,MATCH(AC$3,販管費予算!$E$4:$I$4,0))/12,0),0)</f>
        <v>25000.0</v>
      </c>
      <c r="AD52" s="477">
        <f>ROUND(INDEX(販管費予算!$E$14:$I$14,MATCH(AD$3,販管費予算!$E$4:$I$4,0))/12,0)+IF(COUNTIF($AB$3:AD$3,AD$3)=12,INDEX(販管費予算!$E$14:$I$14,MATCH(AD$3,販管費予算!$E$4:$I$4,0))-12*ROUND(INDEX(販管費予算!$E$14:$I$14,MATCH(AD$3,販管費予算!$E$4:$I$4,0))/12,0),0)</f>
        <v>25000.0</v>
      </c>
      <c r="AE52" s="477">
        <f>ROUND(INDEX(販管費予算!$E$14:$I$14,MATCH(AE$3,販管費予算!$E$4:$I$4,0))/12,0)+IF(COUNTIF($AB$3:AE$3,AE$3)=12,INDEX(販管費予算!$E$14:$I$14,MATCH(AE$3,販管費予算!$E$4:$I$4,0))-12*ROUND(INDEX(販管費予算!$E$14:$I$14,MATCH(AE$3,販管費予算!$E$4:$I$4,0))/12,0),0)</f>
        <v>25000.0</v>
      </c>
      <c r="AF52" s="409">
        <f>ROUND(INDEX(販管費予算!$E$14:$I$14,MATCH(AF$3,販管費予算!$E$4:$I$4,0))/12,0)+IF(COUNTIF($AB$3:AF$3,AF$3)=12,INDEX(販管費予算!$E$14:$I$14,MATCH(AF$3,販管費予算!$E$4:$I$4,0))-12*ROUND(INDEX(販管費予算!$E$14:$I$14,MATCH(AF$3,販管費予算!$E$4:$I$4,0))/12,0),0)</f>
        <v>25000.0</v>
      </c>
      <c r="AG52" s="409">
        <f>ROUND(INDEX(販管費予算!$E$14:$I$14,MATCH(AG$3,販管費予算!$E$4:$I$4,0))/12,0)+IF(COUNTIF($AB$3:AG$3,AG$3)=12,INDEX(販管費予算!$E$14:$I$14,MATCH(AG$3,販管費予算!$E$4:$I$4,0))-12*ROUND(INDEX(販管費予算!$E$14:$I$14,MATCH(AG$3,販管費予算!$E$4:$I$4,0))/12,0),0)</f>
        <v>25000.0</v>
      </c>
      <c r="AH52" s="409">
        <f>ROUND(INDEX(販管費予算!$E$14:$I$14,MATCH(AH$3,販管費予算!$E$4:$I$4,0))/12,0)+IF(COUNTIF($AB$3:AH$3,AH$3)=12,INDEX(販管費予算!$E$14:$I$14,MATCH(AH$3,販管費予算!$E$4:$I$4,0))-12*ROUND(INDEX(販管費予算!$E$14:$I$14,MATCH(AH$3,販管費予算!$E$4:$I$4,0))/12,0),0)</f>
        <v>25000.0</v>
      </c>
      <c r="AI52" s="409">
        <f>ROUND(INDEX(販管費予算!$E$14:$I$14,MATCH(AI$3,販管費予算!$E$4:$I$4,0))/12,0)+IF(COUNTIF($AB$3:AI$3,AI$3)=12,INDEX(販管費予算!$E$14:$I$14,MATCH(AI$3,販管費予算!$E$4:$I$4,0))-12*ROUND(INDEX(販管費予算!$E$14:$I$14,MATCH(AI$3,販管費予算!$E$4:$I$4,0))/12,0),0)</f>
        <v>25000.0</v>
      </c>
      <c r="AJ52" s="409">
        <f>ROUND(INDEX(販管費予算!$E$14:$I$14,MATCH(AJ$3,販管費予算!$E$4:$I$4,0))/12,0)+IF(COUNTIF($AB$3:AJ$3,AJ$3)=12,INDEX(販管費予算!$E$14:$I$14,MATCH(AJ$3,販管費予算!$E$4:$I$4,0))-12*ROUND(INDEX(販管費予算!$E$14:$I$14,MATCH(AJ$3,販管費予算!$E$4:$I$4,0))/12,0),0)</f>
        <v>25000.0</v>
      </c>
      <c r="AK52" s="409">
        <f>ROUND(INDEX(販管費予算!$E$14:$I$14,MATCH(AK$3,販管費予算!$E$4:$I$4,0))/12,0)+IF(COUNTIF($AB$3:AK$3,AK$3)=12,INDEX(販管費予算!$E$14:$I$14,MATCH(AK$3,販管費予算!$E$4:$I$4,0))-12*ROUND(INDEX(販管費予算!$E$14:$I$14,MATCH(AK$3,販管費予算!$E$4:$I$4,0))/12,0),0)</f>
        <v>25000.0</v>
      </c>
      <c r="AL52" s="409">
        <f>ROUND(INDEX(販管費予算!$E$14:$I$14,MATCH(AL$3,販管費予算!$E$4:$I$4,0))/12,0)+IF(COUNTIF($AB$3:AL$3,AL$3)=12,INDEX(販管費予算!$E$14:$I$14,MATCH(AL$3,販管費予算!$E$4:$I$4,0))-12*ROUND(INDEX(販管費予算!$E$14:$I$14,MATCH(AL$3,販管費予算!$E$4:$I$4,0))/12,0),0)</f>
        <v>25000.0</v>
      </c>
      <c r="AM52" s="412">
        <f>ROUND(INDEX(販管費予算!$E$14:$I$14,MATCH(AM$3,販管費予算!$E$4:$I$4,0))/12,0)+IF(COUNTIF($AB$3:AM$3,AM$3)=12,INDEX(販管費予算!$E$14:$I$14,MATCH(AM$3,販管費予算!$E$4:$I$4,0))-12*ROUND(INDEX(販管費予算!$E$14:$I$14,MATCH(AM$3,販管費予算!$E$4:$I$4,0))/12,0),0)</f>
        <v>25000.0</v>
      </c>
      <c r="AN52" s="408">
        <f>ROUND(INDEX(販管費予算!$E$14:$I$14,MATCH(AN$3,販管費予算!$E$4:$I$4,0))/12,0)+IF(COUNTIF($AB$3:AN$3,AN$3)=12,INDEX(販管費予算!$E$14:$I$14,MATCH(AN$3,販管費予算!$E$4:$I$4,0))-12*ROUND(INDEX(販管費予算!$E$14:$I$14,MATCH(AN$3,販管費予算!$E$4:$I$4,0))/12,0),0)</f>
        <v>41667.0</v>
      </c>
      <c r="AO52" s="409">
        <f>ROUND(INDEX(販管費予算!$E$14:$I$14,MATCH(AO$3,販管費予算!$E$4:$I$4,0))/12,0)+IF(COUNTIF($AB$3:AO$3,AO$3)=12,INDEX(販管費予算!$E$14:$I$14,MATCH(AO$3,販管費予算!$E$4:$I$4,0))-12*ROUND(INDEX(販管費予算!$E$14:$I$14,MATCH(AO$3,販管費予算!$E$4:$I$4,0))/12,0),0)</f>
        <v>41667.0</v>
      </c>
      <c r="AP52" s="409">
        <f>ROUND(INDEX(販管費予算!$E$14:$I$14,MATCH(AP$3,販管費予算!$E$4:$I$4,0))/12,0)+IF(COUNTIF($AB$3:AP$3,AP$3)=12,INDEX(販管費予算!$E$14:$I$14,MATCH(AP$3,販管費予算!$E$4:$I$4,0))-12*ROUND(INDEX(販管費予算!$E$14:$I$14,MATCH(AP$3,販管費予算!$E$4:$I$4,0))/12,0),0)</f>
        <v>41667.0</v>
      </c>
      <c r="AQ52" s="409">
        <f>ROUND(INDEX(販管費予算!$E$14:$I$14,MATCH(AQ$3,販管費予算!$E$4:$I$4,0))/12,0)+IF(COUNTIF($AB$3:AQ$3,AQ$3)=12,INDEX(販管費予算!$E$14:$I$14,MATCH(AQ$3,販管費予算!$E$4:$I$4,0))-12*ROUND(INDEX(販管費予算!$E$14:$I$14,MATCH(AQ$3,販管費予算!$E$4:$I$4,0))/12,0),0)</f>
        <v>41667.0</v>
      </c>
      <c r="AR52" s="409">
        <f>ROUND(INDEX(販管費予算!$E$14:$I$14,MATCH(AR$3,販管費予算!$E$4:$I$4,0))/12,0)+IF(COUNTIF($AB$3:AR$3,AR$3)=12,INDEX(販管費予算!$E$14:$I$14,MATCH(AR$3,販管費予算!$E$4:$I$4,0))-12*ROUND(INDEX(販管費予算!$E$14:$I$14,MATCH(AR$3,販管費予算!$E$4:$I$4,0))/12,0),0)</f>
        <v>41667.0</v>
      </c>
      <c r="AS52" s="409">
        <f>ROUND(INDEX(販管費予算!$E$14:$I$14,MATCH(AS$3,販管費予算!$E$4:$I$4,0))/12,0)+IF(COUNTIF($AB$3:AS$3,AS$3)=12,INDEX(販管費予算!$E$14:$I$14,MATCH(AS$3,販管費予算!$E$4:$I$4,0))-12*ROUND(INDEX(販管費予算!$E$14:$I$14,MATCH(AS$3,販管費予算!$E$4:$I$4,0))/12,0),0)</f>
        <v>41667.0</v>
      </c>
      <c r="AT52" s="409">
        <f>ROUND(INDEX(販管費予算!$E$14:$I$14,MATCH(AT$3,販管費予算!$E$4:$I$4,0))/12,0)+IF(COUNTIF($AB$3:AT$3,AT$3)=12,INDEX(販管費予算!$E$14:$I$14,MATCH(AT$3,販管費予算!$E$4:$I$4,0))-12*ROUND(INDEX(販管費予算!$E$14:$I$14,MATCH(AT$3,販管費予算!$E$4:$I$4,0))/12,0),0)</f>
        <v>41667.0</v>
      </c>
      <c r="AU52" s="409">
        <f>ROUND(INDEX(販管費予算!$E$14:$I$14,MATCH(AU$3,販管費予算!$E$4:$I$4,0))/12,0)+IF(COUNTIF($AB$3:AU$3,AU$3)=12,INDEX(販管費予算!$E$14:$I$14,MATCH(AU$3,販管費予算!$E$4:$I$4,0))-12*ROUND(INDEX(販管費予算!$E$14:$I$14,MATCH(AU$3,販管費予算!$E$4:$I$4,0))/12,0),0)</f>
        <v>41667.0</v>
      </c>
      <c r="AV52" s="409">
        <f>ROUND(INDEX(販管費予算!$E$14:$I$14,MATCH(AV$3,販管費予算!$E$4:$I$4,0))/12,0)+IF(COUNTIF($AB$3:AV$3,AV$3)=12,INDEX(販管費予算!$E$14:$I$14,MATCH(AV$3,販管費予算!$E$4:$I$4,0))-12*ROUND(INDEX(販管費予算!$E$14:$I$14,MATCH(AV$3,販管費予算!$E$4:$I$4,0))/12,0),0)</f>
        <v>41667.0</v>
      </c>
      <c r="AW52" s="409">
        <f>ROUND(INDEX(販管費予算!$E$14:$I$14,MATCH(AW$3,販管費予算!$E$4:$I$4,0))/12,0)+IF(COUNTIF($AB$3:AW$3,AW$3)=12,INDEX(販管費予算!$E$14:$I$14,MATCH(AW$3,販管費予算!$E$4:$I$4,0))-12*ROUND(INDEX(販管費予算!$E$14:$I$14,MATCH(AW$3,販管費予算!$E$4:$I$4,0))/12,0),0)</f>
        <v>41667.0</v>
      </c>
      <c r="AX52" s="409">
        <f>ROUND(INDEX(販管費予算!$E$14:$I$14,MATCH(AX$3,販管費予算!$E$4:$I$4,0))/12,0)+IF(COUNTIF($AB$3:AX$3,AX$3)=12,INDEX(販管費予算!$E$14:$I$14,MATCH(AX$3,販管費予算!$E$4:$I$4,0))-12*ROUND(INDEX(販管費予算!$E$14:$I$14,MATCH(AX$3,販管費予算!$E$4:$I$4,0))/12,0),0)</f>
        <v>41667.0</v>
      </c>
      <c r="AY52" s="412">
        <f>ROUND(INDEX(販管費予算!$E$14:$I$14,MATCH(AY$3,販管費予算!$E$4:$I$4,0))/12,0)+IF(COUNTIF($AB$3:AY$3,AY$3)=12,INDEX(販管費予算!$E$14:$I$14,MATCH(AY$3,販管費予算!$E$4:$I$4,0))-12*ROUND(INDEX(販管費予算!$E$14:$I$14,MATCH(AY$3,販管費予算!$E$4:$I$4,0))/12,0),0)</f>
        <v>41663.0</v>
      </c>
      <c r="AZ52" s="408">
        <f>ROUND(INDEX(販管費予算!$E$14:$I$14,MATCH(AZ$3,販管費予算!$E$4:$I$4,0))/12,0)+IF(COUNTIF($AB$3:AZ$3,AZ$3)=12,INDEX(販管費予算!$E$14:$I$14,MATCH(AZ$3,販管費予算!$E$4:$I$4,0))-12*ROUND(INDEX(販管費予算!$E$14:$I$14,MATCH(AZ$3,販管費予算!$E$4:$I$4,0))/12,0),0)</f>
        <v>83333.0</v>
      </c>
      <c r="BA52" s="409">
        <f>ROUND(INDEX(販管費予算!$E$14:$I$14,MATCH(BA$3,販管費予算!$E$4:$I$4,0))/12,0)+IF(COUNTIF($AB$3:BA$3,BA$3)=12,INDEX(販管費予算!$E$14:$I$14,MATCH(BA$3,販管費予算!$E$4:$I$4,0))-12*ROUND(INDEX(販管費予算!$E$14:$I$14,MATCH(BA$3,販管費予算!$E$4:$I$4,0))/12,0),0)</f>
        <v>83333.0</v>
      </c>
      <c r="BB52" s="409">
        <f>ROUND(INDEX(販管費予算!$E$14:$I$14,MATCH(BB$3,販管費予算!$E$4:$I$4,0))/12,0)+IF(COUNTIF($AB$3:BB$3,BB$3)=12,INDEX(販管費予算!$E$14:$I$14,MATCH(BB$3,販管費予算!$E$4:$I$4,0))-12*ROUND(INDEX(販管費予算!$E$14:$I$14,MATCH(BB$3,販管費予算!$E$4:$I$4,0))/12,0),0)</f>
        <v>83333.0</v>
      </c>
      <c r="BC52" s="409">
        <f>ROUND(INDEX(販管費予算!$E$14:$I$14,MATCH(BC$3,販管費予算!$E$4:$I$4,0))/12,0)+IF(COUNTIF($AB$3:BC$3,BC$3)=12,INDEX(販管費予算!$E$14:$I$14,MATCH(BC$3,販管費予算!$E$4:$I$4,0))-12*ROUND(INDEX(販管費予算!$E$14:$I$14,MATCH(BC$3,販管費予算!$E$4:$I$4,0))/12,0),0)</f>
        <v>83333.0</v>
      </c>
      <c r="BD52" s="409">
        <f>ROUND(INDEX(販管費予算!$E$14:$I$14,MATCH(BD$3,販管費予算!$E$4:$I$4,0))/12,0)+IF(COUNTIF($AB$3:BD$3,BD$3)=12,INDEX(販管費予算!$E$14:$I$14,MATCH(BD$3,販管費予算!$E$4:$I$4,0))-12*ROUND(INDEX(販管費予算!$E$14:$I$14,MATCH(BD$3,販管費予算!$E$4:$I$4,0))/12,0),0)</f>
        <v>83333.0</v>
      </c>
      <c r="BE52" s="409">
        <f>ROUND(INDEX(販管費予算!$E$14:$I$14,MATCH(BE$3,販管費予算!$E$4:$I$4,0))/12,0)+IF(COUNTIF($AB$3:BE$3,BE$3)=12,INDEX(販管費予算!$E$14:$I$14,MATCH(BE$3,販管費予算!$E$4:$I$4,0))-12*ROUND(INDEX(販管費予算!$E$14:$I$14,MATCH(BE$3,販管費予算!$E$4:$I$4,0))/12,0),0)</f>
        <v>83333.0</v>
      </c>
      <c r="BF52" s="409">
        <f>ROUND(INDEX(販管費予算!$E$14:$I$14,MATCH(BF$3,販管費予算!$E$4:$I$4,0))/12,0)+IF(COUNTIF($AB$3:BF$3,BF$3)=12,INDEX(販管費予算!$E$14:$I$14,MATCH(BF$3,販管費予算!$E$4:$I$4,0))-12*ROUND(INDEX(販管費予算!$E$14:$I$14,MATCH(BF$3,販管費予算!$E$4:$I$4,0))/12,0),0)</f>
        <v>83333.0</v>
      </c>
      <c r="BG52" s="409">
        <f>ROUND(INDEX(販管費予算!$E$14:$I$14,MATCH(BG$3,販管費予算!$E$4:$I$4,0))/12,0)+IF(COUNTIF($AB$3:BG$3,BG$3)=12,INDEX(販管費予算!$E$14:$I$14,MATCH(BG$3,販管費予算!$E$4:$I$4,0))-12*ROUND(INDEX(販管費予算!$E$14:$I$14,MATCH(BG$3,販管費予算!$E$4:$I$4,0))/12,0),0)</f>
        <v>83333.0</v>
      </c>
      <c r="BH52" s="409">
        <f>ROUND(INDEX(販管費予算!$E$14:$I$14,MATCH(BH$3,販管費予算!$E$4:$I$4,0))/12,0)+IF(COUNTIF($AB$3:BH$3,BH$3)=12,INDEX(販管費予算!$E$14:$I$14,MATCH(BH$3,販管費予算!$E$4:$I$4,0))-12*ROUND(INDEX(販管費予算!$E$14:$I$14,MATCH(BH$3,販管費予算!$E$4:$I$4,0))/12,0),0)</f>
        <v>83333.0</v>
      </c>
      <c r="BI52" s="409">
        <f>ROUND(INDEX(販管費予算!$E$14:$I$14,MATCH(BI$3,販管費予算!$E$4:$I$4,0))/12,0)+IF(COUNTIF($AB$3:BI$3,BI$3)=12,INDEX(販管費予算!$E$14:$I$14,MATCH(BI$3,販管費予算!$E$4:$I$4,0))-12*ROUND(INDEX(販管費予算!$E$14:$I$14,MATCH(BI$3,販管費予算!$E$4:$I$4,0))/12,0),0)</f>
        <v>83333.0</v>
      </c>
      <c r="BJ52" s="409">
        <f>ROUND(INDEX(販管費予算!$E$14:$I$14,MATCH(BJ$3,販管費予算!$E$4:$I$4,0))/12,0)+IF(COUNTIF($AB$3:BJ$3,BJ$3)=12,INDEX(販管費予算!$E$14:$I$14,MATCH(BJ$3,販管費予算!$E$4:$I$4,0))-12*ROUND(INDEX(販管費予算!$E$14:$I$14,MATCH(BJ$3,販管費予算!$E$4:$I$4,0))/12,0),0)</f>
        <v>83333.0</v>
      </c>
      <c r="BK52" s="412">
        <f>ROUND(INDEX(販管費予算!$E$14:$I$14,MATCH(BK$3,販管費予算!$E$4:$I$4,0))/12,0)+IF(COUNTIF($AB$3:BK$3,BK$3)=12,INDEX(販管費予算!$E$14:$I$14,MATCH(BK$3,販管費予算!$E$4:$I$4,0))-12*ROUND(INDEX(販管費予算!$E$14:$I$14,MATCH(BK$3,販管費予算!$E$4:$I$4,0))/12,0),0)</f>
        <v>83337.0</v>
      </c>
      <c r="BL52" s="408">
        <f>ROUND(INDEX(販管費予算!$E$14:$I$14,MATCH(BL$3,販管費予算!$E$4:$I$4,0))/12,0)+IF(COUNTIF($AB$3:BL$3,BL$3)=12,INDEX(販管費予算!$E$14:$I$14,MATCH(BL$3,販管費予算!$E$4:$I$4,0))-12*ROUND(INDEX(販管費予算!$E$14:$I$14,MATCH(BL$3,販管費予算!$E$4:$I$4,0))/12,0),0)</f>
        <v>125000.0</v>
      </c>
      <c r="BM52" s="409">
        <f>ROUND(INDEX(販管費予算!$E$14:$I$14,MATCH(BM$3,販管費予算!$E$4:$I$4,0))/12,0)+IF(COUNTIF($AB$3:BM$3,BM$3)=12,INDEX(販管費予算!$E$14:$I$14,MATCH(BM$3,販管費予算!$E$4:$I$4,0))-12*ROUND(INDEX(販管費予算!$E$14:$I$14,MATCH(BM$3,販管費予算!$E$4:$I$4,0))/12,0),0)</f>
        <v>125000.0</v>
      </c>
      <c r="BN52" s="409">
        <f>ROUND(INDEX(販管費予算!$E$14:$I$14,MATCH(BN$3,販管費予算!$E$4:$I$4,0))/12,0)+IF(COUNTIF($AB$3:BN$3,BN$3)=12,INDEX(販管費予算!$E$14:$I$14,MATCH(BN$3,販管費予算!$E$4:$I$4,0))-12*ROUND(INDEX(販管費予算!$E$14:$I$14,MATCH(BN$3,販管費予算!$E$4:$I$4,0))/12,0),0)</f>
        <v>125000.0</v>
      </c>
      <c r="BO52" s="409">
        <f>ROUND(INDEX(販管費予算!$E$14:$I$14,MATCH(BO$3,販管費予算!$E$4:$I$4,0))/12,0)+IF(COUNTIF($AB$3:BO$3,BO$3)=12,INDEX(販管費予算!$E$14:$I$14,MATCH(BO$3,販管費予算!$E$4:$I$4,0))-12*ROUND(INDEX(販管費予算!$E$14:$I$14,MATCH(BO$3,販管費予算!$E$4:$I$4,0))/12,0),0)</f>
        <v>125000.0</v>
      </c>
      <c r="BP52" s="409">
        <f>ROUND(INDEX(販管費予算!$E$14:$I$14,MATCH(BP$3,販管費予算!$E$4:$I$4,0))/12,0)+IF(COUNTIF($AB$3:BP$3,BP$3)=12,INDEX(販管費予算!$E$14:$I$14,MATCH(BP$3,販管費予算!$E$4:$I$4,0))-12*ROUND(INDEX(販管費予算!$E$14:$I$14,MATCH(BP$3,販管費予算!$E$4:$I$4,0))/12,0),0)</f>
        <v>125000.0</v>
      </c>
      <c r="BQ52" s="409">
        <f>ROUND(INDEX(販管費予算!$E$14:$I$14,MATCH(BQ$3,販管費予算!$E$4:$I$4,0))/12,0)+IF(COUNTIF($AB$3:BQ$3,BQ$3)=12,INDEX(販管費予算!$E$14:$I$14,MATCH(BQ$3,販管費予算!$E$4:$I$4,0))-12*ROUND(INDEX(販管費予算!$E$14:$I$14,MATCH(BQ$3,販管費予算!$E$4:$I$4,0))/12,0),0)</f>
        <v>125000.0</v>
      </c>
      <c r="BR52" s="409">
        <f>ROUND(INDEX(販管費予算!$E$14:$I$14,MATCH(BR$3,販管費予算!$E$4:$I$4,0))/12,0)+IF(COUNTIF($AB$3:BR$3,BR$3)=12,INDEX(販管費予算!$E$14:$I$14,MATCH(BR$3,販管費予算!$E$4:$I$4,0))-12*ROUND(INDEX(販管費予算!$E$14:$I$14,MATCH(BR$3,販管費予算!$E$4:$I$4,0))/12,0),0)</f>
        <v>125000.0</v>
      </c>
      <c r="BS52" s="409">
        <f>ROUND(INDEX(販管費予算!$E$14:$I$14,MATCH(BS$3,販管費予算!$E$4:$I$4,0))/12,0)+IF(COUNTIF($AB$3:BS$3,BS$3)=12,INDEX(販管費予算!$E$14:$I$14,MATCH(BS$3,販管費予算!$E$4:$I$4,0))-12*ROUND(INDEX(販管費予算!$E$14:$I$14,MATCH(BS$3,販管費予算!$E$4:$I$4,0))/12,0),0)</f>
        <v>125000.0</v>
      </c>
      <c r="BT52" s="409">
        <f>ROUND(INDEX(販管費予算!$E$14:$I$14,MATCH(BT$3,販管費予算!$E$4:$I$4,0))/12,0)+IF(COUNTIF($AB$3:BT$3,BT$3)=12,INDEX(販管費予算!$E$14:$I$14,MATCH(BT$3,販管費予算!$E$4:$I$4,0))-12*ROUND(INDEX(販管費予算!$E$14:$I$14,MATCH(BT$3,販管費予算!$E$4:$I$4,0))/12,0),0)</f>
        <v>125000.0</v>
      </c>
      <c r="BU52" s="409">
        <f>ROUND(INDEX(販管費予算!$E$14:$I$14,MATCH(BU$3,販管費予算!$E$4:$I$4,0))/12,0)+IF(COUNTIF($AB$3:BU$3,BU$3)=12,INDEX(販管費予算!$E$14:$I$14,MATCH(BU$3,販管費予算!$E$4:$I$4,0))-12*ROUND(INDEX(販管費予算!$E$14:$I$14,MATCH(BU$3,販管費予算!$E$4:$I$4,0))/12,0),0)</f>
        <v>125000.0</v>
      </c>
      <c r="BV52" s="409">
        <f>ROUND(INDEX(販管費予算!$E$14:$I$14,MATCH(BV$3,販管費予算!$E$4:$I$4,0))/12,0)+IF(COUNTIF($AB$3:BV$3,BV$3)=12,INDEX(販管費予算!$E$14:$I$14,MATCH(BV$3,販管費予算!$E$4:$I$4,0))-12*ROUND(INDEX(販管費予算!$E$14:$I$14,MATCH(BV$3,販管費予算!$E$4:$I$4,0))/12,0),0)</f>
        <v>125000.0</v>
      </c>
      <c r="BW52" s="412">
        <f>ROUND(INDEX(販管費予算!$E$14:$I$14,MATCH(BW$3,販管費予算!$E$4:$I$4,0))/12,0)+IF(COUNTIF($AB$3:BW$3,BW$3)=12,INDEX(販管費予算!$E$14:$I$14,MATCH(BW$3,販管費予算!$E$4:$I$4,0))-12*ROUND(INDEX(販管費予算!$E$14:$I$14,MATCH(BW$3,販管費予算!$E$4:$I$4,0))/12,0),0)</f>
        <v>125000.0</v>
      </c>
      <c r="BX52" s="408">
        <f>ROUND(INDEX(販管費予算!$E$14:$I$14,MATCH(BX$3,販管費予算!$E$4:$I$4,0))/12,0)+IF(COUNTIF($AB$3:BX$3,BX$3)=12,INDEX(販管費予算!$E$14:$I$14,MATCH(BX$3,販管費予算!$E$4:$I$4,0))-12*ROUND(INDEX(販管費予算!$E$14:$I$14,MATCH(BX$3,販管費予算!$E$4:$I$4,0))/12,0),0)</f>
        <v>208333.0</v>
      </c>
      <c r="BY52" s="409">
        <f>ROUND(INDEX(販管費予算!$E$14:$I$14,MATCH(BY$3,販管費予算!$E$4:$I$4,0))/12,0)+IF(COUNTIF($AB$3:BY$3,BY$3)=12,INDEX(販管費予算!$E$14:$I$14,MATCH(BY$3,販管費予算!$E$4:$I$4,0))-12*ROUND(INDEX(販管費予算!$E$14:$I$14,MATCH(BY$3,販管費予算!$E$4:$I$4,0))/12,0),0)</f>
        <v>208333.0</v>
      </c>
      <c r="BZ52" s="409">
        <f>ROUND(INDEX(販管費予算!$E$14:$I$14,MATCH(BZ$3,販管費予算!$E$4:$I$4,0))/12,0)+IF(COUNTIF($AB$3:BZ$3,BZ$3)=12,INDEX(販管費予算!$E$14:$I$14,MATCH(BZ$3,販管費予算!$E$4:$I$4,0))-12*ROUND(INDEX(販管費予算!$E$14:$I$14,MATCH(BZ$3,販管費予算!$E$4:$I$4,0))/12,0),0)</f>
        <v>208333.0</v>
      </c>
      <c r="CA52" s="409">
        <f>ROUND(INDEX(販管費予算!$E$14:$I$14,MATCH(CA$3,販管費予算!$E$4:$I$4,0))/12,0)+IF(COUNTIF($AB$3:CA$3,CA$3)=12,INDEX(販管費予算!$E$14:$I$14,MATCH(CA$3,販管費予算!$E$4:$I$4,0))-12*ROUND(INDEX(販管費予算!$E$14:$I$14,MATCH(CA$3,販管費予算!$E$4:$I$4,0))/12,0),0)</f>
        <v>208333.0</v>
      </c>
      <c r="CB52" s="409">
        <f>ROUND(INDEX(販管費予算!$E$14:$I$14,MATCH(CB$3,販管費予算!$E$4:$I$4,0))/12,0)+IF(COUNTIF($AB$3:CB$3,CB$3)=12,INDEX(販管費予算!$E$14:$I$14,MATCH(CB$3,販管費予算!$E$4:$I$4,0))-12*ROUND(INDEX(販管費予算!$E$14:$I$14,MATCH(CB$3,販管費予算!$E$4:$I$4,0))/12,0),0)</f>
        <v>208333.0</v>
      </c>
      <c r="CC52" s="409">
        <f>ROUND(INDEX(販管費予算!$E$14:$I$14,MATCH(CC$3,販管費予算!$E$4:$I$4,0))/12,0)+IF(COUNTIF($AB$3:CC$3,CC$3)=12,INDEX(販管費予算!$E$14:$I$14,MATCH(CC$3,販管費予算!$E$4:$I$4,0))-12*ROUND(INDEX(販管費予算!$E$14:$I$14,MATCH(CC$3,販管費予算!$E$4:$I$4,0))/12,0),0)</f>
        <v>208333.0</v>
      </c>
      <c r="CD52" s="409">
        <f>ROUND(INDEX(販管費予算!$E$14:$I$14,MATCH(CD$3,販管費予算!$E$4:$I$4,0))/12,0)+IF(COUNTIF($AB$3:CD$3,CD$3)=12,INDEX(販管費予算!$E$14:$I$14,MATCH(CD$3,販管費予算!$E$4:$I$4,0))-12*ROUND(INDEX(販管費予算!$E$14:$I$14,MATCH(CD$3,販管費予算!$E$4:$I$4,0))/12,0),0)</f>
        <v>208333.0</v>
      </c>
      <c r="CE52" s="409">
        <f>ROUND(INDEX(販管費予算!$E$14:$I$14,MATCH(CE$3,販管費予算!$E$4:$I$4,0))/12,0)+IF(COUNTIF($AB$3:CE$3,CE$3)=12,INDEX(販管費予算!$E$14:$I$14,MATCH(CE$3,販管費予算!$E$4:$I$4,0))-12*ROUND(INDEX(販管費予算!$E$14:$I$14,MATCH(CE$3,販管費予算!$E$4:$I$4,0))/12,0),0)</f>
        <v>208333.0</v>
      </c>
      <c r="CF52" s="409">
        <f>ROUND(INDEX(販管費予算!$E$14:$I$14,MATCH(CF$3,販管費予算!$E$4:$I$4,0))/12,0)+IF(COUNTIF($AB$3:CF$3,CF$3)=12,INDEX(販管費予算!$E$14:$I$14,MATCH(CF$3,販管費予算!$E$4:$I$4,0))-12*ROUND(INDEX(販管費予算!$E$14:$I$14,MATCH(CF$3,販管費予算!$E$4:$I$4,0))/12,0),0)</f>
        <v>208333.0</v>
      </c>
      <c r="CG52" s="409">
        <f>ROUND(INDEX(販管費予算!$E$14:$I$14,MATCH(CG$3,販管費予算!$E$4:$I$4,0))/12,0)+IF(COUNTIF($AB$3:CG$3,CG$3)=12,INDEX(販管費予算!$E$14:$I$14,MATCH(CG$3,販管費予算!$E$4:$I$4,0))-12*ROUND(INDEX(販管費予算!$E$14:$I$14,MATCH(CG$3,販管費予算!$E$4:$I$4,0))/12,0),0)</f>
        <v>208333.0</v>
      </c>
      <c r="CH52" s="409">
        <f>ROUND(INDEX(販管費予算!$E$14:$I$14,MATCH(CH$3,販管費予算!$E$4:$I$4,0))/12,0)+IF(COUNTIF($AB$3:CH$3,CH$3)=12,INDEX(販管費予算!$E$14:$I$14,MATCH(CH$3,販管費予算!$E$4:$I$4,0))-12*ROUND(INDEX(販管費予算!$E$14:$I$14,MATCH(CH$3,販管費予算!$E$4:$I$4,0))/12,0),0)</f>
        <v>208333.0</v>
      </c>
      <c r="CI52" s="412">
        <f>ROUND(INDEX(販管費予算!$E$14:$I$14,MATCH(CI$3,販管費予算!$E$4:$I$4,0))/12,0)+IF(COUNTIF($AB$3:CI$3,CI$3)=12,INDEX(販管費予算!$E$14:$I$14,MATCH(CI$3,販管費予算!$E$4:$I$4,0))-12*ROUND(INDEX(販管費予算!$E$14:$I$14,MATCH(CI$3,販管費予算!$E$4:$I$4,0))/12,0),0)</f>
        <v>208337.0</v>
      </c>
    </row>
    <row r="53" ht="18" customHeight="1" s="145">
      <c r="A53" s="233" t="n"/>
      <c r="B53" s="233" t="inlineStr">
        <is>
          <t>会議費</t>
        </is>
      </c>
      <c r="C53" s="233" t="inlineStr">
        <is>
          <t>全社</t>
        </is>
      </c>
      <c r="D53" s="234" t="n"/>
      <c r="E53" s="408">
        <f>SUMIF($AB$3:$CI$3,E$4,$AB53:$CI53)</f>
        <v>200000.0</v>
      </c>
      <c r="F53" s="409">
        <f>SUMIF($AB$3:$CI$3,F$4,$AB53:$CI53)</f>
        <v>300000.0</v>
      </c>
      <c r="G53" s="409">
        <f>SUMIF($AB$3:$CI$3,G$4,$AB53:$CI53)</f>
        <v>500000.0</v>
      </c>
      <c r="H53" s="409">
        <f>SUMIF($AB$3:$CI$3,H$4,$AB53:$CI53)</f>
        <v>1000000.0</v>
      </c>
      <c r="I53" s="409">
        <f>SUMIF($AB$3:$CI$3,I$4,$AB53:$CI53)</f>
        <v>2000000.0</v>
      </c>
      <c r="J53" s="407">
        <f>SUM(E53:I53)</f>
        <v>4000000.0</v>
      </c>
      <c r="K53" s="407">
        <f>SUMIF($Q$3:$CN$3,K$4,$Q53:$CN53)</f>
        <v>0.0</v>
      </c>
      <c r="L53" s="407">
        <f>SUMIF($Q$3:$CN$3,L$4,$Q53:$CN53)</f>
        <v>0.0</v>
      </c>
      <c r="M53" s="407">
        <f>SUMIF($Q$3:$CN$3,M$4,$Q53:$CN53)</f>
        <v>0.0</v>
      </c>
      <c r="N53" s="407">
        <f>SUMIF($Q$3:$CN$3,N$4,$Q53:$CN53)</f>
        <v>0.0</v>
      </c>
      <c r="O53" s="235" t="n"/>
      <c r="P53" s="408" t="n"/>
      <c r="Q53" s="409" t="n"/>
      <c r="R53" s="409" t="n"/>
      <c r="S53" s="409" t="n"/>
      <c r="T53" s="409" t="n"/>
      <c r="U53" s="409" t="n"/>
      <c r="V53" s="409" t="n"/>
      <c r="W53" s="409" t="n"/>
      <c r="X53" s="409" t="n"/>
      <c r="Y53" s="409" t="n"/>
      <c r="Z53" s="409" t="n"/>
      <c r="AA53" s="412" t="n"/>
      <c r="AB53" s="476">
        <f>ROUND(INDEX(販管費予算!$E$15:$I$15,MATCH(AB$3,販管費予算!$E$4:$I$4,0))/12,0)+IF(COUNTIF($AB$3:AB$3,AB$3)=12,INDEX(販管費予算!$E$15:$I$15,MATCH(AB$3,販管費予算!$E$4:$I$4,0))-12*ROUND(INDEX(販管費予算!$E$15:$I$15,MATCH(AB$3,販管費予算!$E$4:$I$4,0))/12,0),0)</f>
        <v>16667.0</v>
      </c>
      <c r="AC53" s="477">
        <f>ROUND(INDEX(販管費予算!$E$15:$I$15,MATCH(AC$3,販管費予算!$E$4:$I$4,0))/12,0)+IF(COUNTIF($AB$3:AC$3,AC$3)=12,INDEX(販管費予算!$E$15:$I$15,MATCH(AC$3,販管費予算!$E$4:$I$4,0))-12*ROUND(INDEX(販管費予算!$E$15:$I$15,MATCH(AC$3,販管費予算!$E$4:$I$4,0))/12,0),0)</f>
        <v>16667.0</v>
      </c>
      <c r="AD53" s="477">
        <f>ROUND(INDEX(販管費予算!$E$15:$I$15,MATCH(AD$3,販管費予算!$E$4:$I$4,0))/12,0)+IF(COUNTIF($AB$3:AD$3,AD$3)=12,INDEX(販管費予算!$E$15:$I$15,MATCH(AD$3,販管費予算!$E$4:$I$4,0))-12*ROUND(INDEX(販管費予算!$E$15:$I$15,MATCH(AD$3,販管費予算!$E$4:$I$4,0))/12,0),0)</f>
        <v>16667.0</v>
      </c>
      <c r="AE53" s="477">
        <f>ROUND(INDEX(販管費予算!$E$15:$I$15,MATCH(AE$3,販管費予算!$E$4:$I$4,0))/12,0)+IF(COUNTIF($AB$3:AE$3,AE$3)=12,INDEX(販管費予算!$E$15:$I$15,MATCH(AE$3,販管費予算!$E$4:$I$4,0))-12*ROUND(INDEX(販管費予算!$E$15:$I$15,MATCH(AE$3,販管費予算!$E$4:$I$4,0))/12,0),0)</f>
        <v>16667.0</v>
      </c>
      <c r="AF53" s="409">
        <f>ROUND(INDEX(販管費予算!$E$15:$I$15,MATCH(AF$3,販管費予算!$E$4:$I$4,0))/12,0)+IF(COUNTIF($AB$3:AF$3,AF$3)=12,INDEX(販管費予算!$E$15:$I$15,MATCH(AF$3,販管費予算!$E$4:$I$4,0))-12*ROUND(INDEX(販管費予算!$E$15:$I$15,MATCH(AF$3,販管費予算!$E$4:$I$4,0))/12,0),0)</f>
        <v>16667.0</v>
      </c>
      <c r="AG53" s="409">
        <f>ROUND(INDEX(販管費予算!$E$15:$I$15,MATCH(AG$3,販管費予算!$E$4:$I$4,0))/12,0)+IF(COUNTIF($AB$3:AG$3,AG$3)=12,INDEX(販管費予算!$E$15:$I$15,MATCH(AG$3,販管費予算!$E$4:$I$4,0))-12*ROUND(INDEX(販管費予算!$E$15:$I$15,MATCH(AG$3,販管費予算!$E$4:$I$4,0))/12,0),0)</f>
        <v>16667.0</v>
      </c>
      <c r="AH53" s="409">
        <f>ROUND(INDEX(販管費予算!$E$15:$I$15,MATCH(AH$3,販管費予算!$E$4:$I$4,0))/12,0)+IF(COUNTIF($AB$3:AH$3,AH$3)=12,INDEX(販管費予算!$E$15:$I$15,MATCH(AH$3,販管費予算!$E$4:$I$4,0))-12*ROUND(INDEX(販管費予算!$E$15:$I$15,MATCH(AH$3,販管費予算!$E$4:$I$4,0))/12,0),0)</f>
        <v>16667.0</v>
      </c>
      <c r="AI53" s="409">
        <f>ROUND(INDEX(販管費予算!$E$15:$I$15,MATCH(AI$3,販管費予算!$E$4:$I$4,0))/12,0)+IF(COUNTIF($AB$3:AI$3,AI$3)=12,INDEX(販管費予算!$E$15:$I$15,MATCH(AI$3,販管費予算!$E$4:$I$4,0))-12*ROUND(INDEX(販管費予算!$E$15:$I$15,MATCH(AI$3,販管費予算!$E$4:$I$4,0))/12,0),0)</f>
        <v>16667.0</v>
      </c>
      <c r="AJ53" s="409">
        <f>ROUND(INDEX(販管費予算!$E$15:$I$15,MATCH(AJ$3,販管費予算!$E$4:$I$4,0))/12,0)+IF(COUNTIF($AB$3:AJ$3,AJ$3)=12,INDEX(販管費予算!$E$15:$I$15,MATCH(AJ$3,販管費予算!$E$4:$I$4,0))-12*ROUND(INDEX(販管費予算!$E$15:$I$15,MATCH(AJ$3,販管費予算!$E$4:$I$4,0))/12,0),0)</f>
        <v>16667.0</v>
      </c>
      <c r="AK53" s="409">
        <f>ROUND(INDEX(販管費予算!$E$15:$I$15,MATCH(AK$3,販管費予算!$E$4:$I$4,0))/12,0)+IF(COUNTIF($AB$3:AK$3,AK$3)=12,INDEX(販管費予算!$E$15:$I$15,MATCH(AK$3,販管費予算!$E$4:$I$4,0))-12*ROUND(INDEX(販管費予算!$E$15:$I$15,MATCH(AK$3,販管費予算!$E$4:$I$4,0))/12,0),0)</f>
        <v>16667.0</v>
      </c>
      <c r="AL53" s="409">
        <f>ROUND(INDEX(販管費予算!$E$15:$I$15,MATCH(AL$3,販管費予算!$E$4:$I$4,0))/12,0)+IF(COUNTIF($AB$3:AL$3,AL$3)=12,INDEX(販管費予算!$E$15:$I$15,MATCH(AL$3,販管費予算!$E$4:$I$4,0))-12*ROUND(INDEX(販管費予算!$E$15:$I$15,MATCH(AL$3,販管費予算!$E$4:$I$4,0))/12,0),0)</f>
        <v>16667.0</v>
      </c>
      <c r="AM53" s="412">
        <f>ROUND(INDEX(販管費予算!$E$15:$I$15,MATCH(AM$3,販管費予算!$E$4:$I$4,0))/12,0)+IF(COUNTIF($AB$3:AM$3,AM$3)=12,INDEX(販管費予算!$E$15:$I$15,MATCH(AM$3,販管費予算!$E$4:$I$4,0))-12*ROUND(INDEX(販管費予算!$E$15:$I$15,MATCH(AM$3,販管費予算!$E$4:$I$4,0))/12,0),0)</f>
        <v>16663.0</v>
      </c>
      <c r="AN53" s="408">
        <f>ROUND(INDEX(販管費予算!$E$15:$I$15,MATCH(AN$3,販管費予算!$E$4:$I$4,0))/12,0)+IF(COUNTIF($AB$3:AN$3,AN$3)=12,INDEX(販管費予算!$E$15:$I$15,MATCH(AN$3,販管費予算!$E$4:$I$4,0))-12*ROUND(INDEX(販管費予算!$E$15:$I$15,MATCH(AN$3,販管費予算!$E$4:$I$4,0))/12,0),0)</f>
        <v>25000.0</v>
      </c>
      <c r="AO53" s="409">
        <f>ROUND(INDEX(販管費予算!$E$15:$I$15,MATCH(AO$3,販管費予算!$E$4:$I$4,0))/12,0)+IF(COUNTIF($AB$3:AO$3,AO$3)=12,INDEX(販管費予算!$E$15:$I$15,MATCH(AO$3,販管費予算!$E$4:$I$4,0))-12*ROUND(INDEX(販管費予算!$E$15:$I$15,MATCH(AO$3,販管費予算!$E$4:$I$4,0))/12,0),0)</f>
        <v>25000.0</v>
      </c>
      <c r="AP53" s="409">
        <f>ROUND(INDEX(販管費予算!$E$15:$I$15,MATCH(AP$3,販管費予算!$E$4:$I$4,0))/12,0)+IF(COUNTIF($AB$3:AP$3,AP$3)=12,INDEX(販管費予算!$E$15:$I$15,MATCH(AP$3,販管費予算!$E$4:$I$4,0))-12*ROUND(INDEX(販管費予算!$E$15:$I$15,MATCH(AP$3,販管費予算!$E$4:$I$4,0))/12,0),0)</f>
        <v>25000.0</v>
      </c>
      <c r="AQ53" s="409">
        <f>ROUND(INDEX(販管費予算!$E$15:$I$15,MATCH(AQ$3,販管費予算!$E$4:$I$4,0))/12,0)+IF(COUNTIF($AB$3:AQ$3,AQ$3)=12,INDEX(販管費予算!$E$15:$I$15,MATCH(AQ$3,販管費予算!$E$4:$I$4,0))-12*ROUND(INDEX(販管費予算!$E$15:$I$15,MATCH(AQ$3,販管費予算!$E$4:$I$4,0))/12,0),0)</f>
        <v>25000.0</v>
      </c>
      <c r="AR53" s="409">
        <f>ROUND(INDEX(販管費予算!$E$15:$I$15,MATCH(AR$3,販管費予算!$E$4:$I$4,0))/12,0)+IF(COUNTIF($AB$3:AR$3,AR$3)=12,INDEX(販管費予算!$E$15:$I$15,MATCH(AR$3,販管費予算!$E$4:$I$4,0))-12*ROUND(INDEX(販管費予算!$E$15:$I$15,MATCH(AR$3,販管費予算!$E$4:$I$4,0))/12,0),0)</f>
        <v>25000.0</v>
      </c>
      <c r="AS53" s="409">
        <f>ROUND(INDEX(販管費予算!$E$15:$I$15,MATCH(AS$3,販管費予算!$E$4:$I$4,0))/12,0)+IF(COUNTIF($AB$3:AS$3,AS$3)=12,INDEX(販管費予算!$E$15:$I$15,MATCH(AS$3,販管費予算!$E$4:$I$4,0))-12*ROUND(INDEX(販管費予算!$E$15:$I$15,MATCH(AS$3,販管費予算!$E$4:$I$4,0))/12,0),0)</f>
        <v>25000.0</v>
      </c>
      <c r="AT53" s="409">
        <f>ROUND(INDEX(販管費予算!$E$15:$I$15,MATCH(AT$3,販管費予算!$E$4:$I$4,0))/12,0)+IF(COUNTIF($AB$3:AT$3,AT$3)=12,INDEX(販管費予算!$E$15:$I$15,MATCH(AT$3,販管費予算!$E$4:$I$4,0))-12*ROUND(INDEX(販管費予算!$E$15:$I$15,MATCH(AT$3,販管費予算!$E$4:$I$4,0))/12,0),0)</f>
        <v>25000.0</v>
      </c>
      <c r="AU53" s="409">
        <f>ROUND(INDEX(販管費予算!$E$15:$I$15,MATCH(AU$3,販管費予算!$E$4:$I$4,0))/12,0)+IF(COUNTIF($AB$3:AU$3,AU$3)=12,INDEX(販管費予算!$E$15:$I$15,MATCH(AU$3,販管費予算!$E$4:$I$4,0))-12*ROUND(INDEX(販管費予算!$E$15:$I$15,MATCH(AU$3,販管費予算!$E$4:$I$4,0))/12,0),0)</f>
        <v>25000.0</v>
      </c>
      <c r="AV53" s="409">
        <f>ROUND(INDEX(販管費予算!$E$15:$I$15,MATCH(AV$3,販管費予算!$E$4:$I$4,0))/12,0)+IF(COUNTIF($AB$3:AV$3,AV$3)=12,INDEX(販管費予算!$E$15:$I$15,MATCH(AV$3,販管費予算!$E$4:$I$4,0))-12*ROUND(INDEX(販管費予算!$E$15:$I$15,MATCH(AV$3,販管費予算!$E$4:$I$4,0))/12,0),0)</f>
        <v>25000.0</v>
      </c>
      <c r="AW53" s="409">
        <f>ROUND(INDEX(販管費予算!$E$15:$I$15,MATCH(AW$3,販管費予算!$E$4:$I$4,0))/12,0)+IF(COUNTIF($AB$3:AW$3,AW$3)=12,INDEX(販管費予算!$E$15:$I$15,MATCH(AW$3,販管費予算!$E$4:$I$4,0))-12*ROUND(INDEX(販管費予算!$E$15:$I$15,MATCH(AW$3,販管費予算!$E$4:$I$4,0))/12,0),0)</f>
        <v>25000.0</v>
      </c>
      <c r="AX53" s="409">
        <f>ROUND(INDEX(販管費予算!$E$15:$I$15,MATCH(AX$3,販管費予算!$E$4:$I$4,0))/12,0)+IF(COUNTIF($AB$3:AX$3,AX$3)=12,INDEX(販管費予算!$E$15:$I$15,MATCH(AX$3,販管費予算!$E$4:$I$4,0))-12*ROUND(INDEX(販管費予算!$E$15:$I$15,MATCH(AX$3,販管費予算!$E$4:$I$4,0))/12,0),0)</f>
        <v>25000.0</v>
      </c>
      <c r="AY53" s="412">
        <f>ROUND(INDEX(販管費予算!$E$15:$I$15,MATCH(AY$3,販管費予算!$E$4:$I$4,0))/12,0)+IF(COUNTIF($AB$3:AY$3,AY$3)=12,INDEX(販管費予算!$E$15:$I$15,MATCH(AY$3,販管費予算!$E$4:$I$4,0))-12*ROUND(INDEX(販管費予算!$E$15:$I$15,MATCH(AY$3,販管費予算!$E$4:$I$4,0))/12,0),0)</f>
        <v>25000.0</v>
      </c>
      <c r="AZ53" s="408">
        <f>ROUND(INDEX(販管費予算!$E$15:$I$15,MATCH(AZ$3,販管費予算!$E$4:$I$4,0))/12,0)+IF(COUNTIF($AB$3:AZ$3,AZ$3)=12,INDEX(販管費予算!$E$15:$I$15,MATCH(AZ$3,販管費予算!$E$4:$I$4,0))-12*ROUND(INDEX(販管費予算!$E$15:$I$15,MATCH(AZ$3,販管費予算!$E$4:$I$4,0))/12,0),0)</f>
        <v>41667.0</v>
      </c>
      <c r="BA53" s="409">
        <f>ROUND(INDEX(販管費予算!$E$15:$I$15,MATCH(BA$3,販管費予算!$E$4:$I$4,0))/12,0)+IF(COUNTIF($AB$3:BA$3,BA$3)=12,INDEX(販管費予算!$E$15:$I$15,MATCH(BA$3,販管費予算!$E$4:$I$4,0))-12*ROUND(INDEX(販管費予算!$E$15:$I$15,MATCH(BA$3,販管費予算!$E$4:$I$4,0))/12,0),0)</f>
        <v>41667.0</v>
      </c>
      <c r="BB53" s="409">
        <f>ROUND(INDEX(販管費予算!$E$15:$I$15,MATCH(BB$3,販管費予算!$E$4:$I$4,0))/12,0)+IF(COUNTIF($AB$3:BB$3,BB$3)=12,INDEX(販管費予算!$E$15:$I$15,MATCH(BB$3,販管費予算!$E$4:$I$4,0))-12*ROUND(INDEX(販管費予算!$E$15:$I$15,MATCH(BB$3,販管費予算!$E$4:$I$4,0))/12,0),0)</f>
        <v>41667.0</v>
      </c>
      <c r="BC53" s="409">
        <f>ROUND(INDEX(販管費予算!$E$15:$I$15,MATCH(BC$3,販管費予算!$E$4:$I$4,0))/12,0)+IF(COUNTIF($AB$3:BC$3,BC$3)=12,INDEX(販管費予算!$E$15:$I$15,MATCH(BC$3,販管費予算!$E$4:$I$4,0))-12*ROUND(INDEX(販管費予算!$E$15:$I$15,MATCH(BC$3,販管費予算!$E$4:$I$4,0))/12,0),0)</f>
        <v>41667.0</v>
      </c>
      <c r="BD53" s="409">
        <f>ROUND(INDEX(販管費予算!$E$15:$I$15,MATCH(BD$3,販管費予算!$E$4:$I$4,0))/12,0)+IF(COUNTIF($AB$3:BD$3,BD$3)=12,INDEX(販管費予算!$E$15:$I$15,MATCH(BD$3,販管費予算!$E$4:$I$4,0))-12*ROUND(INDEX(販管費予算!$E$15:$I$15,MATCH(BD$3,販管費予算!$E$4:$I$4,0))/12,0),0)</f>
        <v>41667.0</v>
      </c>
      <c r="BE53" s="409">
        <f>ROUND(INDEX(販管費予算!$E$15:$I$15,MATCH(BE$3,販管費予算!$E$4:$I$4,0))/12,0)+IF(COUNTIF($AB$3:BE$3,BE$3)=12,INDEX(販管費予算!$E$15:$I$15,MATCH(BE$3,販管費予算!$E$4:$I$4,0))-12*ROUND(INDEX(販管費予算!$E$15:$I$15,MATCH(BE$3,販管費予算!$E$4:$I$4,0))/12,0),0)</f>
        <v>41667.0</v>
      </c>
      <c r="BF53" s="409">
        <f>ROUND(INDEX(販管費予算!$E$15:$I$15,MATCH(BF$3,販管費予算!$E$4:$I$4,0))/12,0)+IF(COUNTIF($AB$3:BF$3,BF$3)=12,INDEX(販管費予算!$E$15:$I$15,MATCH(BF$3,販管費予算!$E$4:$I$4,0))-12*ROUND(INDEX(販管費予算!$E$15:$I$15,MATCH(BF$3,販管費予算!$E$4:$I$4,0))/12,0),0)</f>
        <v>41667.0</v>
      </c>
      <c r="BG53" s="409">
        <f>ROUND(INDEX(販管費予算!$E$15:$I$15,MATCH(BG$3,販管費予算!$E$4:$I$4,0))/12,0)+IF(COUNTIF($AB$3:BG$3,BG$3)=12,INDEX(販管費予算!$E$15:$I$15,MATCH(BG$3,販管費予算!$E$4:$I$4,0))-12*ROUND(INDEX(販管費予算!$E$15:$I$15,MATCH(BG$3,販管費予算!$E$4:$I$4,0))/12,0),0)</f>
        <v>41667.0</v>
      </c>
      <c r="BH53" s="409">
        <f>ROUND(INDEX(販管費予算!$E$15:$I$15,MATCH(BH$3,販管費予算!$E$4:$I$4,0))/12,0)+IF(COUNTIF($AB$3:BH$3,BH$3)=12,INDEX(販管費予算!$E$15:$I$15,MATCH(BH$3,販管費予算!$E$4:$I$4,0))-12*ROUND(INDEX(販管費予算!$E$15:$I$15,MATCH(BH$3,販管費予算!$E$4:$I$4,0))/12,0),0)</f>
        <v>41667.0</v>
      </c>
      <c r="BI53" s="409">
        <f>ROUND(INDEX(販管費予算!$E$15:$I$15,MATCH(BI$3,販管費予算!$E$4:$I$4,0))/12,0)+IF(COUNTIF($AB$3:BI$3,BI$3)=12,INDEX(販管費予算!$E$15:$I$15,MATCH(BI$3,販管費予算!$E$4:$I$4,0))-12*ROUND(INDEX(販管費予算!$E$15:$I$15,MATCH(BI$3,販管費予算!$E$4:$I$4,0))/12,0),0)</f>
        <v>41667.0</v>
      </c>
      <c r="BJ53" s="409">
        <f>ROUND(INDEX(販管費予算!$E$15:$I$15,MATCH(BJ$3,販管費予算!$E$4:$I$4,0))/12,0)+IF(COUNTIF($AB$3:BJ$3,BJ$3)=12,INDEX(販管費予算!$E$15:$I$15,MATCH(BJ$3,販管費予算!$E$4:$I$4,0))-12*ROUND(INDEX(販管費予算!$E$15:$I$15,MATCH(BJ$3,販管費予算!$E$4:$I$4,0))/12,0),0)</f>
        <v>41667.0</v>
      </c>
      <c r="BK53" s="412">
        <f>ROUND(INDEX(販管費予算!$E$15:$I$15,MATCH(BK$3,販管費予算!$E$4:$I$4,0))/12,0)+IF(COUNTIF($AB$3:BK$3,BK$3)=12,INDEX(販管費予算!$E$15:$I$15,MATCH(BK$3,販管費予算!$E$4:$I$4,0))-12*ROUND(INDEX(販管費予算!$E$15:$I$15,MATCH(BK$3,販管費予算!$E$4:$I$4,0))/12,0),0)</f>
        <v>41663.0</v>
      </c>
      <c r="BL53" s="408">
        <f>ROUND(INDEX(販管費予算!$E$15:$I$15,MATCH(BL$3,販管費予算!$E$4:$I$4,0))/12,0)+IF(COUNTIF($AB$3:BL$3,BL$3)=12,INDEX(販管費予算!$E$15:$I$15,MATCH(BL$3,販管費予算!$E$4:$I$4,0))-12*ROUND(INDEX(販管費予算!$E$15:$I$15,MATCH(BL$3,販管費予算!$E$4:$I$4,0))/12,0),0)</f>
        <v>83333.0</v>
      </c>
      <c r="BM53" s="409">
        <f>ROUND(INDEX(販管費予算!$E$15:$I$15,MATCH(BM$3,販管費予算!$E$4:$I$4,0))/12,0)+IF(COUNTIF($AB$3:BM$3,BM$3)=12,INDEX(販管費予算!$E$15:$I$15,MATCH(BM$3,販管費予算!$E$4:$I$4,0))-12*ROUND(INDEX(販管費予算!$E$15:$I$15,MATCH(BM$3,販管費予算!$E$4:$I$4,0))/12,0),0)</f>
        <v>83333.0</v>
      </c>
      <c r="BN53" s="409">
        <f>ROUND(INDEX(販管費予算!$E$15:$I$15,MATCH(BN$3,販管費予算!$E$4:$I$4,0))/12,0)+IF(COUNTIF($AB$3:BN$3,BN$3)=12,INDEX(販管費予算!$E$15:$I$15,MATCH(BN$3,販管費予算!$E$4:$I$4,0))-12*ROUND(INDEX(販管費予算!$E$15:$I$15,MATCH(BN$3,販管費予算!$E$4:$I$4,0))/12,0),0)</f>
        <v>83333.0</v>
      </c>
      <c r="BO53" s="409">
        <f>ROUND(INDEX(販管費予算!$E$15:$I$15,MATCH(BO$3,販管費予算!$E$4:$I$4,0))/12,0)+IF(COUNTIF($AB$3:BO$3,BO$3)=12,INDEX(販管費予算!$E$15:$I$15,MATCH(BO$3,販管費予算!$E$4:$I$4,0))-12*ROUND(INDEX(販管費予算!$E$15:$I$15,MATCH(BO$3,販管費予算!$E$4:$I$4,0))/12,0),0)</f>
        <v>83333.0</v>
      </c>
      <c r="BP53" s="409">
        <f>ROUND(INDEX(販管費予算!$E$15:$I$15,MATCH(BP$3,販管費予算!$E$4:$I$4,0))/12,0)+IF(COUNTIF($AB$3:BP$3,BP$3)=12,INDEX(販管費予算!$E$15:$I$15,MATCH(BP$3,販管費予算!$E$4:$I$4,0))-12*ROUND(INDEX(販管費予算!$E$15:$I$15,MATCH(BP$3,販管費予算!$E$4:$I$4,0))/12,0),0)</f>
        <v>83333.0</v>
      </c>
      <c r="BQ53" s="409">
        <f>ROUND(INDEX(販管費予算!$E$15:$I$15,MATCH(BQ$3,販管費予算!$E$4:$I$4,0))/12,0)+IF(COUNTIF($AB$3:BQ$3,BQ$3)=12,INDEX(販管費予算!$E$15:$I$15,MATCH(BQ$3,販管費予算!$E$4:$I$4,0))-12*ROUND(INDEX(販管費予算!$E$15:$I$15,MATCH(BQ$3,販管費予算!$E$4:$I$4,0))/12,0),0)</f>
        <v>83333.0</v>
      </c>
      <c r="BR53" s="409">
        <f>ROUND(INDEX(販管費予算!$E$15:$I$15,MATCH(BR$3,販管費予算!$E$4:$I$4,0))/12,0)+IF(COUNTIF($AB$3:BR$3,BR$3)=12,INDEX(販管費予算!$E$15:$I$15,MATCH(BR$3,販管費予算!$E$4:$I$4,0))-12*ROUND(INDEX(販管費予算!$E$15:$I$15,MATCH(BR$3,販管費予算!$E$4:$I$4,0))/12,0),0)</f>
        <v>83333.0</v>
      </c>
      <c r="BS53" s="409">
        <f>ROUND(INDEX(販管費予算!$E$15:$I$15,MATCH(BS$3,販管費予算!$E$4:$I$4,0))/12,0)+IF(COUNTIF($AB$3:BS$3,BS$3)=12,INDEX(販管費予算!$E$15:$I$15,MATCH(BS$3,販管費予算!$E$4:$I$4,0))-12*ROUND(INDEX(販管費予算!$E$15:$I$15,MATCH(BS$3,販管費予算!$E$4:$I$4,0))/12,0),0)</f>
        <v>83333.0</v>
      </c>
      <c r="BT53" s="409">
        <f>ROUND(INDEX(販管費予算!$E$15:$I$15,MATCH(BT$3,販管費予算!$E$4:$I$4,0))/12,0)+IF(COUNTIF($AB$3:BT$3,BT$3)=12,INDEX(販管費予算!$E$15:$I$15,MATCH(BT$3,販管費予算!$E$4:$I$4,0))-12*ROUND(INDEX(販管費予算!$E$15:$I$15,MATCH(BT$3,販管費予算!$E$4:$I$4,0))/12,0),0)</f>
        <v>83333.0</v>
      </c>
      <c r="BU53" s="409">
        <f>ROUND(INDEX(販管費予算!$E$15:$I$15,MATCH(BU$3,販管費予算!$E$4:$I$4,0))/12,0)+IF(COUNTIF($AB$3:BU$3,BU$3)=12,INDEX(販管費予算!$E$15:$I$15,MATCH(BU$3,販管費予算!$E$4:$I$4,0))-12*ROUND(INDEX(販管費予算!$E$15:$I$15,MATCH(BU$3,販管費予算!$E$4:$I$4,0))/12,0),0)</f>
        <v>83333.0</v>
      </c>
      <c r="BV53" s="409">
        <f>ROUND(INDEX(販管費予算!$E$15:$I$15,MATCH(BV$3,販管費予算!$E$4:$I$4,0))/12,0)+IF(COUNTIF($AB$3:BV$3,BV$3)=12,INDEX(販管費予算!$E$15:$I$15,MATCH(BV$3,販管費予算!$E$4:$I$4,0))-12*ROUND(INDEX(販管費予算!$E$15:$I$15,MATCH(BV$3,販管費予算!$E$4:$I$4,0))/12,0),0)</f>
        <v>83333.0</v>
      </c>
      <c r="BW53" s="412">
        <f>ROUND(INDEX(販管費予算!$E$15:$I$15,MATCH(BW$3,販管費予算!$E$4:$I$4,0))/12,0)+IF(COUNTIF($AB$3:BW$3,BW$3)=12,INDEX(販管費予算!$E$15:$I$15,MATCH(BW$3,販管費予算!$E$4:$I$4,0))-12*ROUND(INDEX(販管費予算!$E$15:$I$15,MATCH(BW$3,販管費予算!$E$4:$I$4,0))/12,0),0)</f>
        <v>83337.0</v>
      </c>
      <c r="BX53" s="408">
        <f>ROUND(INDEX(販管費予算!$E$15:$I$15,MATCH(BX$3,販管費予算!$E$4:$I$4,0))/12,0)+IF(COUNTIF($AB$3:BX$3,BX$3)=12,INDEX(販管費予算!$E$15:$I$15,MATCH(BX$3,販管費予算!$E$4:$I$4,0))-12*ROUND(INDEX(販管費予算!$E$15:$I$15,MATCH(BX$3,販管費予算!$E$4:$I$4,0))/12,0),0)</f>
        <v>166667.0</v>
      </c>
      <c r="BY53" s="409">
        <f>ROUND(INDEX(販管費予算!$E$15:$I$15,MATCH(BY$3,販管費予算!$E$4:$I$4,0))/12,0)+IF(COUNTIF($AB$3:BY$3,BY$3)=12,INDEX(販管費予算!$E$15:$I$15,MATCH(BY$3,販管費予算!$E$4:$I$4,0))-12*ROUND(INDEX(販管費予算!$E$15:$I$15,MATCH(BY$3,販管費予算!$E$4:$I$4,0))/12,0),0)</f>
        <v>166667.0</v>
      </c>
      <c r="BZ53" s="409">
        <f>ROUND(INDEX(販管費予算!$E$15:$I$15,MATCH(BZ$3,販管費予算!$E$4:$I$4,0))/12,0)+IF(COUNTIF($AB$3:BZ$3,BZ$3)=12,INDEX(販管費予算!$E$15:$I$15,MATCH(BZ$3,販管費予算!$E$4:$I$4,0))-12*ROUND(INDEX(販管費予算!$E$15:$I$15,MATCH(BZ$3,販管費予算!$E$4:$I$4,0))/12,0),0)</f>
        <v>166667.0</v>
      </c>
      <c r="CA53" s="409">
        <f>ROUND(INDEX(販管費予算!$E$15:$I$15,MATCH(CA$3,販管費予算!$E$4:$I$4,0))/12,0)+IF(COUNTIF($AB$3:CA$3,CA$3)=12,INDEX(販管費予算!$E$15:$I$15,MATCH(CA$3,販管費予算!$E$4:$I$4,0))-12*ROUND(INDEX(販管費予算!$E$15:$I$15,MATCH(CA$3,販管費予算!$E$4:$I$4,0))/12,0),0)</f>
        <v>166667.0</v>
      </c>
      <c r="CB53" s="409">
        <f>ROUND(INDEX(販管費予算!$E$15:$I$15,MATCH(CB$3,販管費予算!$E$4:$I$4,0))/12,0)+IF(COUNTIF($AB$3:CB$3,CB$3)=12,INDEX(販管費予算!$E$15:$I$15,MATCH(CB$3,販管費予算!$E$4:$I$4,0))-12*ROUND(INDEX(販管費予算!$E$15:$I$15,MATCH(CB$3,販管費予算!$E$4:$I$4,0))/12,0),0)</f>
        <v>166667.0</v>
      </c>
      <c r="CC53" s="409">
        <f>ROUND(INDEX(販管費予算!$E$15:$I$15,MATCH(CC$3,販管費予算!$E$4:$I$4,0))/12,0)+IF(COUNTIF($AB$3:CC$3,CC$3)=12,INDEX(販管費予算!$E$15:$I$15,MATCH(CC$3,販管費予算!$E$4:$I$4,0))-12*ROUND(INDEX(販管費予算!$E$15:$I$15,MATCH(CC$3,販管費予算!$E$4:$I$4,0))/12,0),0)</f>
        <v>166667.0</v>
      </c>
      <c r="CD53" s="409">
        <f>ROUND(INDEX(販管費予算!$E$15:$I$15,MATCH(CD$3,販管費予算!$E$4:$I$4,0))/12,0)+IF(COUNTIF($AB$3:CD$3,CD$3)=12,INDEX(販管費予算!$E$15:$I$15,MATCH(CD$3,販管費予算!$E$4:$I$4,0))-12*ROUND(INDEX(販管費予算!$E$15:$I$15,MATCH(CD$3,販管費予算!$E$4:$I$4,0))/12,0),0)</f>
        <v>166667.0</v>
      </c>
      <c r="CE53" s="409">
        <f>ROUND(INDEX(販管費予算!$E$15:$I$15,MATCH(CE$3,販管費予算!$E$4:$I$4,0))/12,0)+IF(COUNTIF($AB$3:CE$3,CE$3)=12,INDEX(販管費予算!$E$15:$I$15,MATCH(CE$3,販管費予算!$E$4:$I$4,0))-12*ROUND(INDEX(販管費予算!$E$15:$I$15,MATCH(CE$3,販管費予算!$E$4:$I$4,0))/12,0),0)</f>
        <v>166667.0</v>
      </c>
      <c r="CF53" s="409">
        <f>ROUND(INDEX(販管費予算!$E$15:$I$15,MATCH(CF$3,販管費予算!$E$4:$I$4,0))/12,0)+IF(COUNTIF($AB$3:CF$3,CF$3)=12,INDEX(販管費予算!$E$15:$I$15,MATCH(CF$3,販管費予算!$E$4:$I$4,0))-12*ROUND(INDEX(販管費予算!$E$15:$I$15,MATCH(CF$3,販管費予算!$E$4:$I$4,0))/12,0),0)</f>
        <v>166667.0</v>
      </c>
      <c r="CG53" s="409">
        <f>ROUND(INDEX(販管費予算!$E$15:$I$15,MATCH(CG$3,販管費予算!$E$4:$I$4,0))/12,0)+IF(COUNTIF($AB$3:CG$3,CG$3)=12,INDEX(販管費予算!$E$15:$I$15,MATCH(CG$3,販管費予算!$E$4:$I$4,0))-12*ROUND(INDEX(販管費予算!$E$15:$I$15,MATCH(CG$3,販管費予算!$E$4:$I$4,0))/12,0),0)</f>
        <v>166667.0</v>
      </c>
      <c r="CH53" s="409">
        <f>ROUND(INDEX(販管費予算!$E$15:$I$15,MATCH(CH$3,販管費予算!$E$4:$I$4,0))/12,0)+IF(COUNTIF($AB$3:CH$3,CH$3)=12,INDEX(販管費予算!$E$15:$I$15,MATCH(CH$3,販管費予算!$E$4:$I$4,0))-12*ROUND(INDEX(販管費予算!$E$15:$I$15,MATCH(CH$3,販管費予算!$E$4:$I$4,0))/12,0),0)</f>
        <v>166667.0</v>
      </c>
      <c r="CI53" s="412">
        <f>ROUND(INDEX(販管費予算!$E$15:$I$15,MATCH(CI$3,販管費予算!$E$4:$I$4,0))/12,0)+IF(COUNTIF($AB$3:CI$3,CI$3)=12,INDEX(販管費予算!$E$15:$I$15,MATCH(CI$3,販管費予算!$E$4:$I$4,0))-12*ROUND(INDEX(販管費予算!$E$15:$I$15,MATCH(CI$3,販管費予算!$E$4:$I$4,0))/12,0),0)</f>
        <v>166663.0</v>
      </c>
    </row>
    <row r="54" ht="18" customHeight="1" s="145">
      <c r="A54" s="233" t="n"/>
      <c r="B54" s="325" t="inlineStr">
        <is>
          <t>旅費交通費</t>
        </is>
      </c>
      <c r="C54" s="325" t="n"/>
      <c r="D54" s="326" t="n"/>
      <c r="E54" s="469">
        <f>SUMIF($AB$3:$CI$3,E$4,$AB54:$CI54)</f>
        <v>1000000.0</v>
      </c>
      <c r="F54" s="470">
        <f>SUMIF($AB$3:$CI$3,F$4,$AB54:$CI54)</f>
        <v>2000000.0</v>
      </c>
      <c r="G54" s="470">
        <f>SUMIF($AB$3:$CI$3,G$4,$AB54:$CI54)</f>
        <v>4000000.0</v>
      </c>
      <c r="H54" s="470">
        <f>SUMIF($AB$3:$CI$3,H$4,$AB54:$CI54)</f>
        <v>6000000.0</v>
      </c>
      <c r="I54" s="470">
        <f>SUMIF($AB$3:$CI$3,I$4,$AB54:$CI54)</f>
        <v>10000000.0</v>
      </c>
      <c r="J54" s="478">
        <f>SUM(E54:I54)</f>
        <v>23000000.0</v>
      </c>
      <c r="K54" s="478">
        <f>SUMIF($Q$3:$CN$3,K$4,$Q54:$CN54)</f>
        <v>0.0</v>
      </c>
      <c r="L54" s="478">
        <f>SUMIF($Q$3:$CN$3,L$4,$Q54:$CN54)</f>
        <v>0.0</v>
      </c>
      <c r="M54" s="478">
        <f>SUMIF($Q$3:$CN$3,M$4,$Q54:$CN54)</f>
        <v>0.0</v>
      </c>
      <c r="N54" s="478">
        <f>SUMIF($Q$3:$CN$3,N$4,$Q54:$CN54)</f>
        <v>0.0</v>
      </c>
      <c r="O54" s="316" t="n"/>
      <c r="P54" s="469" t="n"/>
      <c r="Q54" s="470" t="n"/>
      <c r="R54" s="470" t="n"/>
      <c r="S54" s="470" t="n"/>
      <c r="T54" s="470" t="n"/>
      <c r="U54" s="470" t="n"/>
      <c r="V54" s="470" t="n"/>
      <c r="W54" s="470" t="n"/>
      <c r="X54" s="470" t="n"/>
      <c r="Y54" s="470" t="n"/>
      <c r="Z54" s="470" t="n"/>
      <c r="AA54" s="471" t="n"/>
      <c r="AB54" s="479">
        <f>SUM(AB55:AB57)</f>
        <v>83333.0</v>
      </c>
      <c r="AC54" s="480">
        <f>SUM(AC55:AC57)</f>
        <v>83333.0</v>
      </c>
      <c r="AD54" s="480">
        <f>SUM(AD55:AD57)</f>
        <v>83333.0</v>
      </c>
      <c r="AE54" s="480">
        <f>SUM(AE55:AE57)</f>
        <v>83333.0</v>
      </c>
      <c r="AF54" s="480">
        <f>SUM(AF55:AF57)</f>
        <v>83333.0</v>
      </c>
      <c r="AG54" s="470">
        <f>SUM(AG55:AG57)</f>
        <v>83333.0</v>
      </c>
      <c r="AH54" s="470">
        <f>SUM(AH55:AH57)</f>
        <v>83333.0</v>
      </c>
      <c r="AI54" s="470">
        <f>SUM(AI55:AI57)</f>
        <v>83333.0</v>
      </c>
      <c r="AJ54" s="470">
        <f>SUM(AJ55:AJ57)</f>
        <v>83333.0</v>
      </c>
      <c r="AK54" s="470">
        <f>SUM(AK55:AK57)</f>
        <v>83333.0</v>
      </c>
      <c r="AL54" s="470">
        <f>SUM(AL55:AL57)</f>
        <v>83333.0</v>
      </c>
      <c r="AM54" s="471">
        <f>SUM(AM55:AM57)</f>
        <v>83337.0</v>
      </c>
      <c r="AN54" s="469">
        <f>SUM(AN55:AN57)</f>
        <v>166667.0</v>
      </c>
      <c r="AO54" s="470">
        <f>SUM(AO55:AO57)</f>
        <v>166667.0</v>
      </c>
      <c r="AP54" s="470">
        <f>SUM(AP55:AP57)</f>
        <v>166667.0</v>
      </c>
      <c r="AQ54" s="470">
        <f>SUM(AQ55:AQ57)</f>
        <v>166667.0</v>
      </c>
      <c r="AR54" s="470">
        <f>SUM(AR55:AR57)</f>
        <v>166667.0</v>
      </c>
      <c r="AS54" s="470">
        <f>SUM(AS55:AS57)</f>
        <v>166667.0</v>
      </c>
      <c r="AT54" s="470">
        <f>SUM(AT55:AT57)</f>
        <v>166667.0</v>
      </c>
      <c r="AU54" s="470">
        <f>SUM(AU55:AU57)</f>
        <v>166667.0</v>
      </c>
      <c r="AV54" s="470">
        <f>SUM(AV55:AV57)</f>
        <v>166667.0</v>
      </c>
      <c r="AW54" s="470">
        <f>SUM(AW55:AW57)</f>
        <v>166667.0</v>
      </c>
      <c r="AX54" s="470">
        <f>SUM(AX55:AX57)</f>
        <v>166667.0</v>
      </c>
      <c r="AY54" s="471">
        <f>SUM(AY55:AY57)</f>
        <v>166663.0</v>
      </c>
      <c r="AZ54" s="469">
        <f>SUM(AZ55:AZ57)</f>
        <v>333333.0</v>
      </c>
      <c r="BA54" s="470">
        <f>SUM(BA55:BA57)</f>
        <v>333333.0</v>
      </c>
      <c r="BB54" s="470">
        <f>SUM(BB55:BB57)</f>
        <v>333333.0</v>
      </c>
      <c r="BC54" s="470">
        <f>SUM(BC55:BC57)</f>
        <v>333333.0</v>
      </c>
      <c r="BD54" s="470">
        <f>SUM(BD55:BD57)</f>
        <v>333333.0</v>
      </c>
      <c r="BE54" s="470">
        <f>SUM(BE55:BE57)</f>
        <v>333333.0</v>
      </c>
      <c r="BF54" s="470">
        <f>SUM(BF55:BF57)</f>
        <v>333333.0</v>
      </c>
      <c r="BG54" s="470">
        <f>SUM(BG55:BG57)</f>
        <v>333333.0</v>
      </c>
      <c r="BH54" s="470">
        <f>SUM(BH55:BH57)</f>
        <v>333333.0</v>
      </c>
      <c r="BI54" s="470">
        <f>SUM(BI55:BI57)</f>
        <v>333333.0</v>
      </c>
      <c r="BJ54" s="470">
        <f>SUM(BJ55:BJ57)</f>
        <v>333333.0</v>
      </c>
      <c r="BK54" s="471">
        <f>SUM(BK55:BK57)</f>
        <v>333337.0</v>
      </c>
      <c r="BL54" s="469">
        <f>SUM(BL55:BL57)</f>
        <v>500000.0</v>
      </c>
      <c r="BM54" s="470">
        <f>SUM(BM55:BM57)</f>
        <v>500000.0</v>
      </c>
      <c r="BN54" s="470">
        <f>SUM(BN55:BN57)</f>
        <v>500000.0</v>
      </c>
      <c r="BO54" s="470">
        <f>SUM(BO55:BO57)</f>
        <v>500000.0</v>
      </c>
      <c r="BP54" s="470">
        <f>SUM(BP55:BP57)</f>
        <v>500000.0</v>
      </c>
      <c r="BQ54" s="470">
        <f>SUM(BQ55:BQ57)</f>
        <v>500000.0</v>
      </c>
      <c r="BR54" s="470">
        <f>SUM(BR55:BR57)</f>
        <v>500000.0</v>
      </c>
      <c r="BS54" s="470">
        <f>SUM(BS55:BS57)</f>
        <v>500000.0</v>
      </c>
      <c r="BT54" s="470">
        <f>SUM(BT55:BT57)</f>
        <v>500000.0</v>
      </c>
      <c r="BU54" s="470">
        <f>SUM(BU55:BU57)</f>
        <v>500000.0</v>
      </c>
      <c r="BV54" s="470">
        <f>SUM(BV55:BV57)</f>
        <v>500000.0</v>
      </c>
      <c r="BW54" s="471">
        <f>SUM(BW55:BW57)</f>
        <v>500000.0</v>
      </c>
      <c r="BX54" s="469">
        <f>SUM(BX55:BX57)</f>
        <v>833333.0</v>
      </c>
      <c r="BY54" s="470">
        <f>SUM(BY55:BY57)</f>
        <v>833333.0</v>
      </c>
      <c r="BZ54" s="470">
        <f>SUM(BZ55:BZ57)</f>
        <v>833333.0</v>
      </c>
      <c r="CA54" s="470">
        <f>SUM(CA55:CA57)</f>
        <v>833333.0</v>
      </c>
      <c r="CB54" s="470">
        <f>SUM(CB55:CB57)</f>
        <v>833333.0</v>
      </c>
      <c r="CC54" s="470">
        <f>SUM(CC55:CC57)</f>
        <v>833333.0</v>
      </c>
      <c r="CD54" s="470">
        <f>SUM(CD55:CD57)</f>
        <v>833333.0</v>
      </c>
      <c r="CE54" s="470">
        <f>SUM(CE55:CE57)</f>
        <v>833333.0</v>
      </c>
      <c r="CF54" s="470">
        <f>SUM(CF55:CF57)</f>
        <v>833333.0</v>
      </c>
      <c r="CG54" s="470">
        <f>SUM(CG55:CG57)</f>
        <v>833333.0</v>
      </c>
      <c r="CH54" s="470">
        <f>SUM(CH55:CH57)</f>
        <v>833333.0</v>
      </c>
      <c r="CI54" s="471">
        <f>SUM(CI55:CI57)</f>
        <v>833337.0</v>
      </c>
    </row>
    <row r="55" ht="18" customHeight="1" s="145">
      <c r="A55" s="233" t="n"/>
      <c r="B55" s="233" t="n"/>
      <c r="C55" s="233" t="inlineStr">
        <is>
          <t>全社</t>
        </is>
      </c>
      <c r="D55" s="234" t="n"/>
      <c r="E55" s="408">
        <f>SUMIF($AB$3:$CI$3,E$4,$AB55:$CI55)</f>
        <v>1000000.0</v>
      </c>
      <c r="F55" s="409">
        <f>SUMIF($AB$3:$CI$3,F$4,$AB55:$CI55)</f>
        <v>2000000.0</v>
      </c>
      <c r="G55" s="409">
        <f>SUMIF($AB$3:$CI$3,G$4,$AB55:$CI55)</f>
        <v>4000000.0</v>
      </c>
      <c r="H55" s="409">
        <f>SUMIF($AB$3:$CI$3,H$4,$AB55:$CI55)</f>
        <v>6000000.0</v>
      </c>
      <c r="I55" s="409">
        <f>SUMIF($AB$3:$CI$3,I$4,$AB55:$CI55)</f>
        <v>10000000.0</v>
      </c>
      <c r="J55" s="407">
        <f>SUM(E55:I55)</f>
        <v>23000000.0</v>
      </c>
      <c r="K55" s="407">
        <f>SUMIF($Q$3:$CN$3,K$4,$Q55:$CN55)</f>
        <v>0.0</v>
      </c>
      <c r="L55" s="407">
        <f>SUMIF($Q$3:$CN$3,L$4,$Q55:$CN55)</f>
        <v>0.0</v>
      </c>
      <c r="M55" s="407">
        <f>SUMIF($Q$3:$CN$3,M$4,$Q55:$CN55)</f>
        <v>0.0</v>
      </c>
      <c r="N55" s="407" t="n"/>
      <c r="O55" s="235" t="n"/>
      <c r="P55" s="408" t="n"/>
      <c r="Q55" s="409" t="n"/>
      <c r="R55" s="409" t="n"/>
      <c r="S55" s="409" t="n"/>
      <c r="T55" s="409" t="n"/>
      <c r="U55" s="409" t="n"/>
      <c r="V55" s="409" t="n"/>
      <c r="W55" s="409" t="n"/>
      <c r="X55" s="409" t="n"/>
      <c r="Y55" s="409" t="n"/>
      <c r="Z55" s="409" t="n"/>
      <c r="AA55" s="412" t="n"/>
      <c r="AB55" s="408">
        <f>ROUND(INDEX(販管費予算!$E$16:$I$16,MATCH(AB$3,販管費予算!$E$4:$I$4,0))/12,0)+IF(COUNTIF($AB$3:AB$3,AB$3)=12,INDEX(販管費予算!$E$16:$I$16,MATCH(AB$3,販管費予算!$E$4:$I$4,0))-12*ROUND(INDEX(販管費予算!$E$16:$I$16,MATCH(AB$3,販管費予算!$E$4:$I$4,0))/12,0),0)</f>
        <v>83333.0</v>
      </c>
      <c r="AC55" s="409">
        <f>ROUND(INDEX(販管費予算!$E$16:$I$16,MATCH(AC$3,販管費予算!$E$4:$I$4,0))/12,0)+IF(COUNTIF($AB$3:AC$3,AC$3)=12,INDEX(販管費予算!$E$16:$I$16,MATCH(AC$3,販管費予算!$E$4:$I$4,0))-12*ROUND(INDEX(販管費予算!$E$16:$I$16,MATCH(AC$3,販管費予算!$E$4:$I$4,0))/12,0),0)</f>
        <v>83333.0</v>
      </c>
      <c r="AD55" s="409">
        <f>ROUND(INDEX(販管費予算!$E$16:$I$16,MATCH(AD$3,販管費予算!$E$4:$I$4,0))/12,0)+IF(COUNTIF($AB$3:AD$3,AD$3)=12,INDEX(販管費予算!$E$16:$I$16,MATCH(AD$3,販管費予算!$E$4:$I$4,0))-12*ROUND(INDEX(販管費予算!$E$16:$I$16,MATCH(AD$3,販管費予算!$E$4:$I$4,0))/12,0),0)</f>
        <v>83333.0</v>
      </c>
      <c r="AE55" s="409">
        <f>ROUND(INDEX(販管費予算!$E$16:$I$16,MATCH(AE$3,販管費予算!$E$4:$I$4,0))/12,0)+IF(COUNTIF($AB$3:AE$3,AE$3)=12,INDEX(販管費予算!$E$16:$I$16,MATCH(AE$3,販管費予算!$E$4:$I$4,0))-12*ROUND(INDEX(販管費予算!$E$16:$I$16,MATCH(AE$3,販管費予算!$E$4:$I$4,0))/12,0),0)</f>
        <v>83333.0</v>
      </c>
      <c r="AF55" s="409">
        <f>ROUND(INDEX(販管費予算!$E$16:$I$16,MATCH(AF$3,販管費予算!$E$4:$I$4,0))/12,0)+IF(COUNTIF($AB$3:AF$3,AF$3)=12,INDEX(販管費予算!$E$16:$I$16,MATCH(AF$3,販管費予算!$E$4:$I$4,0))-12*ROUND(INDEX(販管費予算!$E$16:$I$16,MATCH(AF$3,販管費予算!$E$4:$I$4,0))/12,0),0)</f>
        <v>83333.0</v>
      </c>
      <c r="AG55" s="409">
        <f>ROUND(INDEX(販管費予算!$E$16:$I$16,MATCH(AG$3,販管費予算!$E$4:$I$4,0))/12,0)+IF(COUNTIF($AB$3:AG$3,AG$3)=12,INDEX(販管費予算!$E$16:$I$16,MATCH(AG$3,販管費予算!$E$4:$I$4,0))-12*ROUND(INDEX(販管費予算!$E$16:$I$16,MATCH(AG$3,販管費予算!$E$4:$I$4,0))/12,0),0)</f>
        <v>83333.0</v>
      </c>
      <c r="AH55" s="409">
        <f>ROUND(INDEX(販管費予算!$E$16:$I$16,MATCH(AH$3,販管費予算!$E$4:$I$4,0))/12,0)+IF(COUNTIF($AB$3:AH$3,AH$3)=12,INDEX(販管費予算!$E$16:$I$16,MATCH(AH$3,販管費予算!$E$4:$I$4,0))-12*ROUND(INDEX(販管費予算!$E$16:$I$16,MATCH(AH$3,販管費予算!$E$4:$I$4,0))/12,0),0)</f>
        <v>83333.0</v>
      </c>
      <c r="AI55" s="409">
        <f>ROUND(INDEX(販管費予算!$E$16:$I$16,MATCH(AI$3,販管費予算!$E$4:$I$4,0))/12,0)+IF(COUNTIF($AB$3:AI$3,AI$3)=12,INDEX(販管費予算!$E$16:$I$16,MATCH(AI$3,販管費予算!$E$4:$I$4,0))-12*ROUND(INDEX(販管費予算!$E$16:$I$16,MATCH(AI$3,販管費予算!$E$4:$I$4,0))/12,0),0)</f>
        <v>83333.0</v>
      </c>
      <c r="AJ55" s="409">
        <f>ROUND(INDEX(販管費予算!$E$16:$I$16,MATCH(AJ$3,販管費予算!$E$4:$I$4,0))/12,0)+IF(COUNTIF($AB$3:AJ$3,AJ$3)=12,INDEX(販管費予算!$E$16:$I$16,MATCH(AJ$3,販管費予算!$E$4:$I$4,0))-12*ROUND(INDEX(販管費予算!$E$16:$I$16,MATCH(AJ$3,販管費予算!$E$4:$I$4,0))/12,0),0)</f>
        <v>83333.0</v>
      </c>
      <c r="AK55" s="409">
        <f>ROUND(INDEX(販管費予算!$E$16:$I$16,MATCH(AK$3,販管費予算!$E$4:$I$4,0))/12,0)+IF(COUNTIF($AB$3:AK$3,AK$3)=12,INDEX(販管費予算!$E$16:$I$16,MATCH(AK$3,販管費予算!$E$4:$I$4,0))-12*ROUND(INDEX(販管費予算!$E$16:$I$16,MATCH(AK$3,販管費予算!$E$4:$I$4,0))/12,0),0)</f>
        <v>83333.0</v>
      </c>
      <c r="AL55" s="409">
        <f>ROUND(INDEX(販管費予算!$E$16:$I$16,MATCH(AL$3,販管費予算!$E$4:$I$4,0))/12,0)+IF(COUNTIF($AB$3:AL$3,AL$3)=12,INDEX(販管費予算!$E$16:$I$16,MATCH(AL$3,販管費予算!$E$4:$I$4,0))-12*ROUND(INDEX(販管費予算!$E$16:$I$16,MATCH(AL$3,販管費予算!$E$4:$I$4,0))/12,0),0)</f>
        <v>83333.0</v>
      </c>
      <c r="AM55" s="412">
        <f>ROUND(INDEX(販管費予算!$E$16:$I$16,MATCH(AM$3,販管費予算!$E$4:$I$4,0))/12,0)+IF(COUNTIF($AB$3:AM$3,AM$3)=12,INDEX(販管費予算!$E$16:$I$16,MATCH(AM$3,販管費予算!$E$4:$I$4,0))-12*ROUND(INDEX(販管費予算!$E$16:$I$16,MATCH(AM$3,販管費予算!$E$4:$I$4,0))/12,0),0)</f>
        <v>83337.0</v>
      </c>
      <c r="AN55" s="408">
        <f>ROUND(INDEX(販管費予算!$E$16:$I$16,MATCH(AN$3,販管費予算!$E$4:$I$4,0))/12,0)+IF(COUNTIF($AB$3:AN$3,AN$3)=12,INDEX(販管費予算!$E$16:$I$16,MATCH(AN$3,販管費予算!$E$4:$I$4,0))-12*ROUND(INDEX(販管費予算!$E$16:$I$16,MATCH(AN$3,販管費予算!$E$4:$I$4,0))/12,0),0)</f>
        <v>166667.0</v>
      </c>
      <c r="AO55" s="409">
        <f>ROUND(INDEX(販管費予算!$E$16:$I$16,MATCH(AO$3,販管費予算!$E$4:$I$4,0))/12,0)+IF(COUNTIF($AB$3:AO$3,AO$3)=12,INDEX(販管費予算!$E$16:$I$16,MATCH(AO$3,販管費予算!$E$4:$I$4,0))-12*ROUND(INDEX(販管費予算!$E$16:$I$16,MATCH(AO$3,販管費予算!$E$4:$I$4,0))/12,0),0)</f>
        <v>166667.0</v>
      </c>
      <c r="AP55" s="409">
        <f>ROUND(INDEX(販管費予算!$E$16:$I$16,MATCH(AP$3,販管費予算!$E$4:$I$4,0))/12,0)+IF(COUNTIF($AB$3:AP$3,AP$3)=12,INDEX(販管費予算!$E$16:$I$16,MATCH(AP$3,販管費予算!$E$4:$I$4,0))-12*ROUND(INDEX(販管費予算!$E$16:$I$16,MATCH(AP$3,販管費予算!$E$4:$I$4,0))/12,0),0)</f>
        <v>166667.0</v>
      </c>
      <c r="AQ55" s="409">
        <f>ROUND(INDEX(販管費予算!$E$16:$I$16,MATCH(AQ$3,販管費予算!$E$4:$I$4,0))/12,0)+IF(COUNTIF($AB$3:AQ$3,AQ$3)=12,INDEX(販管費予算!$E$16:$I$16,MATCH(AQ$3,販管費予算!$E$4:$I$4,0))-12*ROUND(INDEX(販管費予算!$E$16:$I$16,MATCH(AQ$3,販管費予算!$E$4:$I$4,0))/12,0),0)</f>
        <v>166667.0</v>
      </c>
      <c r="AR55" s="409">
        <f>ROUND(INDEX(販管費予算!$E$16:$I$16,MATCH(AR$3,販管費予算!$E$4:$I$4,0))/12,0)+IF(COUNTIF($AB$3:AR$3,AR$3)=12,INDEX(販管費予算!$E$16:$I$16,MATCH(AR$3,販管費予算!$E$4:$I$4,0))-12*ROUND(INDEX(販管費予算!$E$16:$I$16,MATCH(AR$3,販管費予算!$E$4:$I$4,0))/12,0),0)</f>
        <v>166667.0</v>
      </c>
      <c r="AS55" s="409">
        <f>ROUND(INDEX(販管費予算!$E$16:$I$16,MATCH(AS$3,販管費予算!$E$4:$I$4,0))/12,0)+IF(COUNTIF($AB$3:AS$3,AS$3)=12,INDEX(販管費予算!$E$16:$I$16,MATCH(AS$3,販管費予算!$E$4:$I$4,0))-12*ROUND(INDEX(販管費予算!$E$16:$I$16,MATCH(AS$3,販管費予算!$E$4:$I$4,0))/12,0),0)</f>
        <v>166667.0</v>
      </c>
      <c r="AT55" s="409">
        <f>ROUND(INDEX(販管費予算!$E$16:$I$16,MATCH(AT$3,販管費予算!$E$4:$I$4,0))/12,0)+IF(COUNTIF($AB$3:AT$3,AT$3)=12,INDEX(販管費予算!$E$16:$I$16,MATCH(AT$3,販管費予算!$E$4:$I$4,0))-12*ROUND(INDEX(販管費予算!$E$16:$I$16,MATCH(AT$3,販管費予算!$E$4:$I$4,0))/12,0),0)</f>
        <v>166667.0</v>
      </c>
      <c r="AU55" s="409">
        <f>ROUND(INDEX(販管費予算!$E$16:$I$16,MATCH(AU$3,販管費予算!$E$4:$I$4,0))/12,0)+IF(COUNTIF($AB$3:AU$3,AU$3)=12,INDEX(販管費予算!$E$16:$I$16,MATCH(AU$3,販管費予算!$E$4:$I$4,0))-12*ROUND(INDEX(販管費予算!$E$16:$I$16,MATCH(AU$3,販管費予算!$E$4:$I$4,0))/12,0),0)</f>
        <v>166667.0</v>
      </c>
      <c r="AV55" s="409">
        <f>ROUND(INDEX(販管費予算!$E$16:$I$16,MATCH(AV$3,販管費予算!$E$4:$I$4,0))/12,0)+IF(COUNTIF($AB$3:AV$3,AV$3)=12,INDEX(販管費予算!$E$16:$I$16,MATCH(AV$3,販管費予算!$E$4:$I$4,0))-12*ROUND(INDEX(販管費予算!$E$16:$I$16,MATCH(AV$3,販管費予算!$E$4:$I$4,0))/12,0),0)</f>
        <v>166667.0</v>
      </c>
      <c r="AW55" s="409">
        <f>ROUND(INDEX(販管費予算!$E$16:$I$16,MATCH(AW$3,販管費予算!$E$4:$I$4,0))/12,0)+IF(COUNTIF($AB$3:AW$3,AW$3)=12,INDEX(販管費予算!$E$16:$I$16,MATCH(AW$3,販管費予算!$E$4:$I$4,0))-12*ROUND(INDEX(販管費予算!$E$16:$I$16,MATCH(AW$3,販管費予算!$E$4:$I$4,0))/12,0),0)</f>
        <v>166667.0</v>
      </c>
      <c r="AX55" s="409">
        <f>ROUND(INDEX(販管費予算!$E$16:$I$16,MATCH(AX$3,販管費予算!$E$4:$I$4,0))/12,0)+IF(COUNTIF($AB$3:AX$3,AX$3)=12,INDEX(販管費予算!$E$16:$I$16,MATCH(AX$3,販管費予算!$E$4:$I$4,0))-12*ROUND(INDEX(販管費予算!$E$16:$I$16,MATCH(AX$3,販管費予算!$E$4:$I$4,0))/12,0),0)</f>
        <v>166667.0</v>
      </c>
      <c r="AY55" s="412">
        <f>ROUND(INDEX(販管費予算!$E$16:$I$16,MATCH(AY$3,販管費予算!$E$4:$I$4,0))/12,0)+IF(COUNTIF($AB$3:AY$3,AY$3)=12,INDEX(販管費予算!$E$16:$I$16,MATCH(AY$3,販管費予算!$E$4:$I$4,0))-12*ROUND(INDEX(販管費予算!$E$16:$I$16,MATCH(AY$3,販管費予算!$E$4:$I$4,0))/12,0),0)</f>
        <v>166663.0</v>
      </c>
      <c r="AZ55" s="408">
        <f>ROUND(INDEX(販管費予算!$E$16:$I$16,MATCH(AZ$3,販管費予算!$E$4:$I$4,0))/12,0)+IF(COUNTIF($AB$3:AZ$3,AZ$3)=12,INDEX(販管費予算!$E$16:$I$16,MATCH(AZ$3,販管費予算!$E$4:$I$4,0))-12*ROUND(INDEX(販管費予算!$E$16:$I$16,MATCH(AZ$3,販管費予算!$E$4:$I$4,0))/12,0),0)</f>
        <v>333333.0</v>
      </c>
      <c r="BA55" s="409">
        <f>ROUND(INDEX(販管費予算!$E$16:$I$16,MATCH(BA$3,販管費予算!$E$4:$I$4,0))/12,0)+IF(COUNTIF($AB$3:BA$3,BA$3)=12,INDEX(販管費予算!$E$16:$I$16,MATCH(BA$3,販管費予算!$E$4:$I$4,0))-12*ROUND(INDEX(販管費予算!$E$16:$I$16,MATCH(BA$3,販管費予算!$E$4:$I$4,0))/12,0),0)</f>
        <v>333333.0</v>
      </c>
      <c r="BB55" s="409">
        <f>ROUND(INDEX(販管費予算!$E$16:$I$16,MATCH(BB$3,販管費予算!$E$4:$I$4,0))/12,0)+IF(COUNTIF($AB$3:BB$3,BB$3)=12,INDEX(販管費予算!$E$16:$I$16,MATCH(BB$3,販管費予算!$E$4:$I$4,0))-12*ROUND(INDEX(販管費予算!$E$16:$I$16,MATCH(BB$3,販管費予算!$E$4:$I$4,0))/12,0),0)</f>
        <v>333333.0</v>
      </c>
      <c r="BC55" s="409">
        <f>ROUND(INDEX(販管費予算!$E$16:$I$16,MATCH(BC$3,販管費予算!$E$4:$I$4,0))/12,0)+IF(COUNTIF($AB$3:BC$3,BC$3)=12,INDEX(販管費予算!$E$16:$I$16,MATCH(BC$3,販管費予算!$E$4:$I$4,0))-12*ROUND(INDEX(販管費予算!$E$16:$I$16,MATCH(BC$3,販管費予算!$E$4:$I$4,0))/12,0),0)</f>
        <v>333333.0</v>
      </c>
      <c r="BD55" s="409">
        <f>ROUND(INDEX(販管費予算!$E$16:$I$16,MATCH(BD$3,販管費予算!$E$4:$I$4,0))/12,0)+IF(COUNTIF($AB$3:BD$3,BD$3)=12,INDEX(販管費予算!$E$16:$I$16,MATCH(BD$3,販管費予算!$E$4:$I$4,0))-12*ROUND(INDEX(販管費予算!$E$16:$I$16,MATCH(BD$3,販管費予算!$E$4:$I$4,0))/12,0),0)</f>
        <v>333333.0</v>
      </c>
      <c r="BE55" s="409">
        <f>ROUND(INDEX(販管費予算!$E$16:$I$16,MATCH(BE$3,販管費予算!$E$4:$I$4,0))/12,0)+IF(COUNTIF($AB$3:BE$3,BE$3)=12,INDEX(販管費予算!$E$16:$I$16,MATCH(BE$3,販管費予算!$E$4:$I$4,0))-12*ROUND(INDEX(販管費予算!$E$16:$I$16,MATCH(BE$3,販管費予算!$E$4:$I$4,0))/12,0),0)</f>
        <v>333333.0</v>
      </c>
      <c r="BF55" s="409">
        <f>ROUND(INDEX(販管費予算!$E$16:$I$16,MATCH(BF$3,販管費予算!$E$4:$I$4,0))/12,0)+IF(COUNTIF($AB$3:BF$3,BF$3)=12,INDEX(販管費予算!$E$16:$I$16,MATCH(BF$3,販管費予算!$E$4:$I$4,0))-12*ROUND(INDEX(販管費予算!$E$16:$I$16,MATCH(BF$3,販管費予算!$E$4:$I$4,0))/12,0),0)</f>
        <v>333333.0</v>
      </c>
      <c r="BG55" s="409">
        <f>ROUND(INDEX(販管費予算!$E$16:$I$16,MATCH(BG$3,販管費予算!$E$4:$I$4,0))/12,0)+IF(COUNTIF($AB$3:BG$3,BG$3)=12,INDEX(販管費予算!$E$16:$I$16,MATCH(BG$3,販管費予算!$E$4:$I$4,0))-12*ROUND(INDEX(販管費予算!$E$16:$I$16,MATCH(BG$3,販管費予算!$E$4:$I$4,0))/12,0),0)</f>
        <v>333333.0</v>
      </c>
      <c r="BH55" s="409">
        <f>ROUND(INDEX(販管費予算!$E$16:$I$16,MATCH(BH$3,販管費予算!$E$4:$I$4,0))/12,0)+IF(COUNTIF($AB$3:BH$3,BH$3)=12,INDEX(販管費予算!$E$16:$I$16,MATCH(BH$3,販管費予算!$E$4:$I$4,0))-12*ROUND(INDEX(販管費予算!$E$16:$I$16,MATCH(BH$3,販管費予算!$E$4:$I$4,0))/12,0),0)</f>
        <v>333333.0</v>
      </c>
      <c r="BI55" s="409">
        <f>ROUND(INDEX(販管費予算!$E$16:$I$16,MATCH(BI$3,販管費予算!$E$4:$I$4,0))/12,0)+IF(COUNTIF($AB$3:BI$3,BI$3)=12,INDEX(販管費予算!$E$16:$I$16,MATCH(BI$3,販管費予算!$E$4:$I$4,0))-12*ROUND(INDEX(販管費予算!$E$16:$I$16,MATCH(BI$3,販管費予算!$E$4:$I$4,0))/12,0),0)</f>
        <v>333333.0</v>
      </c>
      <c r="BJ55" s="409">
        <f>ROUND(INDEX(販管費予算!$E$16:$I$16,MATCH(BJ$3,販管費予算!$E$4:$I$4,0))/12,0)+IF(COUNTIF($AB$3:BJ$3,BJ$3)=12,INDEX(販管費予算!$E$16:$I$16,MATCH(BJ$3,販管費予算!$E$4:$I$4,0))-12*ROUND(INDEX(販管費予算!$E$16:$I$16,MATCH(BJ$3,販管費予算!$E$4:$I$4,0))/12,0),0)</f>
        <v>333333.0</v>
      </c>
      <c r="BK55" s="412">
        <f>ROUND(INDEX(販管費予算!$E$16:$I$16,MATCH(BK$3,販管費予算!$E$4:$I$4,0))/12,0)+IF(COUNTIF($AB$3:BK$3,BK$3)=12,INDEX(販管費予算!$E$16:$I$16,MATCH(BK$3,販管費予算!$E$4:$I$4,0))-12*ROUND(INDEX(販管費予算!$E$16:$I$16,MATCH(BK$3,販管費予算!$E$4:$I$4,0))/12,0),0)</f>
        <v>333337.0</v>
      </c>
      <c r="BL55" s="408">
        <f>ROUND(INDEX(販管費予算!$E$16:$I$16,MATCH(BL$3,販管費予算!$E$4:$I$4,0))/12,0)+IF(COUNTIF($AB$3:BL$3,BL$3)=12,INDEX(販管費予算!$E$16:$I$16,MATCH(BL$3,販管費予算!$E$4:$I$4,0))-12*ROUND(INDEX(販管費予算!$E$16:$I$16,MATCH(BL$3,販管費予算!$E$4:$I$4,0))/12,0),0)</f>
        <v>500000.0</v>
      </c>
      <c r="BM55" s="409">
        <f>ROUND(INDEX(販管費予算!$E$16:$I$16,MATCH(BM$3,販管費予算!$E$4:$I$4,0))/12,0)+IF(COUNTIF($AB$3:BM$3,BM$3)=12,INDEX(販管費予算!$E$16:$I$16,MATCH(BM$3,販管費予算!$E$4:$I$4,0))-12*ROUND(INDEX(販管費予算!$E$16:$I$16,MATCH(BM$3,販管費予算!$E$4:$I$4,0))/12,0),0)</f>
        <v>500000.0</v>
      </c>
      <c r="BN55" s="409">
        <f>ROUND(INDEX(販管費予算!$E$16:$I$16,MATCH(BN$3,販管費予算!$E$4:$I$4,0))/12,0)+IF(COUNTIF($AB$3:BN$3,BN$3)=12,INDEX(販管費予算!$E$16:$I$16,MATCH(BN$3,販管費予算!$E$4:$I$4,0))-12*ROUND(INDEX(販管費予算!$E$16:$I$16,MATCH(BN$3,販管費予算!$E$4:$I$4,0))/12,0),0)</f>
        <v>500000.0</v>
      </c>
      <c r="BO55" s="409">
        <f>ROUND(INDEX(販管費予算!$E$16:$I$16,MATCH(BO$3,販管費予算!$E$4:$I$4,0))/12,0)+IF(COUNTIF($AB$3:BO$3,BO$3)=12,INDEX(販管費予算!$E$16:$I$16,MATCH(BO$3,販管費予算!$E$4:$I$4,0))-12*ROUND(INDEX(販管費予算!$E$16:$I$16,MATCH(BO$3,販管費予算!$E$4:$I$4,0))/12,0),0)</f>
        <v>500000.0</v>
      </c>
      <c r="BP55" s="409">
        <f>ROUND(INDEX(販管費予算!$E$16:$I$16,MATCH(BP$3,販管費予算!$E$4:$I$4,0))/12,0)+IF(COUNTIF($AB$3:BP$3,BP$3)=12,INDEX(販管費予算!$E$16:$I$16,MATCH(BP$3,販管費予算!$E$4:$I$4,0))-12*ROUND(INDEX(販管費予算!$E$16:$I$16,MATCH(BP$3,販管費予算!$E$4:$I$4,0))/12,0),0)</f>
        <v>500000.0</v>
      </c>
      <c r="BQ55" s="409">
        <f>ROUND(INDEX(販管費予算!$E$16:$I$16,MATCH(BQ$3,販管費予算!$E$4:$I$4,0))/12,0)+IF(COUNTIF($AB$3:BQ$3,BQ$3)=12,INDEX(販管費予算!$E$16:$I$16,MATCH(BQ$3,販管費予算!$E$4:$I$4,0))-12*ROUND(INDEX(販管費予算!$E$16:$I$16,MATCH(BQ$3,販管費予算!$E$4:$I$4,0))/12,0),0)</f>
        <v>500000.0</v>
      </c>
      <c r="BR55" s="409">
        <f>ROUND(INDEX(販管費予算!$E$16:$I$16,MATCH(BR$3,販管費予算!$E$4:$I$4,0))/12,0)+IF(COUNTIF($AB$3:BR$3,BR$3)=12,INDEX(販管費予算!$E$16:$I$16,MATCH(BR$3,販管費予算!$E$4:$I$4,0))-12*ROUND(INDEX(販管費予算!$E$16:$I$16,MATCH(BR$3,販管費予算!$E$4:$I$4,0))/12,0),0)</f>
        <v>500000.0</v>
      </c>
      <c r="BS55" s="409">
        <f>ROUND(INDEX(販管費予算!$E$16:$I$16,MATCH(BS$3,販管費予算!$E$4:$I$4,0))/12,0)+IF(COUNTIF($AB$3:BS$3,BS$3)=12,INDEX(販管費予算!$E$16:$I$16,MATCH(BS$3,販管費予算!$E$4:$I$4,0))-12*ROUND(INDEX(販管費予算!$E$16:$I$16,MATCH(BS$3,販管費予算!$E$4:$I$4,0))/12,0),0)</f>
        <v>500000.0</v>
      </c>
      <c r="BT55" s="409">
        <f>ROUND(INDEX(販管費予算!$E$16:$I$16,MATCH(BT$3,販管費予算!$E$4:$I$4,0))/12,0)+IF(COUNTIF($AB$3:BT$3,BT$3)=12,INDEX(販管費予算!$E$16:$I$16,MATCH(BT$3,販管費予算!$E$4:$I$4,0))-12*ROUND(INDEX(販管費予算!$E$16:$I$16,MATCH(BT$3,販管費予算!$E$4:$I$4,0))/12,0),0)</f>
        <v>500000.0</v>
      </c>
      <c r="BU55" s="409">
        <f>ROUND(INDEX(販管費予算!$E$16:$I$16,MATCH(BU$3,販管費予算!$E$4:$I$4,0))/12,0)+IF(COUNTIF($AB$3:BU$3,BU$3)=12,INDEX(販管費予算!$E$16:$I$16,MATCH(BU$3,販管費予算!$E$4:$I$4,0))-12*ROUND(INDEX(販管費予算!$E$16:$I$16,MATCH(BU$3,販管費予算!$E$4:$I$4,0))/12,0),0)</f>
        <v>500000.0</v>
      </c>
      <c r="BV55" s="409">
        <f>ROUND(INDEX(販管費予算!$E$16:$I$16,MATCH(BV$3,販管費予算!$E$4:$I$4,0))/12,0)+IF(COUNTIF($AB$3:BV$3,BV$3)=12,INDEX(販管費予算!$E$16:$I$16,MATCH(BV$3,販管費予算!$E$4:$I$4,0))-12*ROUND(INDEX(販管費予算!$E$16:$I$16,MATCH(BV$3,販管費予算!$E$4:$I$4,0))/12,0),0)</f>
        <v>500000.0</v>
      </c>
      <c r="BW55" s="412">
        <f>ROUND(INDEX(販管費予算!$E$16:$I$16,MATCH(BW$3,販管費予算!$E$4:$I$4,0))/12,0)+IF(COUNTIF($AB$3:BW$3,BW$3)=12,INDEX(販管費予算!$E$16:$I$16,MATCH(BW$3,販管費予算!$E$4:$I$4,0))-12*ROUND(INDEX(販管費予算!$E$16:$I$16,MATCH(BW$3,販管費予算!$E$4:$I$4,0))/12,0),0)</f>
        <v>500000.0</v>
      </c>
      <c r="BX55" s="408">
        <f>ROUND(INDEX(販管費予算!$E$16:$I$16,MATCH(BX$3,販管費予算!$E$4:$I$4,0))/12,0)+IF(COUNTIF($AB$3:BX$3,BX$3)=12,INDEX(販管費予算!$E$16:$I$16,MATCH(BX$3,販管費予算!$E$4:$I$4,0))-12*ROUND(INDEX(販管費予算!$E$16:$I$16,MATCH(BX$3,販管費予算!$E$4:$I$4,0))/12,0),0)</f>
        <v>833333.0</v>
      </c>
      <c r="BY55" s="409">
        <f>ROUND(INDEX(販管費予算!$E$16:$I$16,MATCH(BY$3,販管費予算!$E$4:$I$4,0))/12,0)+IF(COUNTIF($AB$3:BY$3,BY$3)=12,INDEX(販管費予算!$E$16:$I$16,MATCH(BY$3,販管費予算!$E$4:$I$4,0))-12*ROUND(INDEX(販管費予算!$E$16:$I$16,MATCH(BY$3,販管費予算!$E$4:$I$4,0))/12,0),0)</f>
        <v>833333.0</v>
      </c>
      <c r="BZ55" s="409">
        <f>ROUND(INDEX(販管費予算!$E$16:$I$16,MATCH(BZ$3,販管費予算!$E$4:$I$4,0))/12,0)+IF(COUNTIF($AB$3:BZ$3,BZ$3)=12,INDEX(販管費予算!$E$16:$I$16,MATCH(BZ$3,販管費予算!$E$4:$I$4,0))-12*ROUND(INDEX(販管費予算!$E$16:$I$16,MATCH(BZ$3,販管費予算!$E$4:$I$4,0))/12,0),0)</f>
        <v>833333.0</v>
      </c>
      <c r="CA55" s="409">
        <f>ROUND(INDEX(販管費予算!$E$16:$I$16,MATCH(CA$3,販管費予算!$E$4:$I$4,0))/12,0)+IF(COUNTIF($AB$3:CA$3,CA$3)=12,INDEX(販管費予算!$E$16:$I$16,MATCH(CA$3,販管費予算!$E$4:$I$4,0))-12*ROUND(INDEX(販管費予算!$E$16:$I$16,MATCH(CA$3,販管費予算!$E$4:$I$4,0))/12,0),0)</f>
        <v>833333.0</v>
      </c>
      <c r="CB55" s="409">
        <f>ROUND(INDEX(販管費予算!$E$16:$I$16,MATCH(CB$3,販管費予算!$E$4:$I$4,0))/12,0)+IF(COUNTIF($AB$3:CB$3,CB$3)=12,INDEX(販管費予算!$E$16:$I$16,MATCH(CB$3,販管費予算!$E$4:$I$4,0))-12*ROUND(INDEX(販管費予算!$E$16:$I$16,MATCH(CB$3,販管費予算!$E$4:$I$4,0))/12,0),0)</f>
        <v>833333.0</v>
      </c>
      <c r="CC55" s="409">
        <f>ROUND(INDEX(販管費予算!$E$16:$I$16,MATCH(CC$3,販管費予算!$E$4:$I$4,0))/12,0)+IF(COUNTIF($AB$3:CC$3,CC$3)=12,INDEX(販管費予算!$E$16:$I$16,MATCH(CC$3,販管費予算!$E$4:$I$4,0))-12*ROUND(INDEX(販管費予算!$E$16:$I$16,MATCH(CC$3,販管費予算!$E$4:$I$4,0))/12,0),0)</f>
        <v>833333.0</v>
      </c>
      <c r="CD55" s="409">
        <f>ROUND(INDEX(販管費予算!$E$16:$I$16,MATCH(CD$3,販管費予算!$E$4:$I$4,0))/12,0)+IF(COUNTIF($AB$3:CD$3,CD$3)=12,INDEX(販管費予算!$E$16:$I$16,MATCH(CD$3,販管費予算!$E$4:$I$4,0))-12*ROUND(INDEX(販管費予算!$E$16:$I$16,MATCH(CD$3,販管費予算!$E$4:$I$4,0))/12,0),0)</f>
        <v>833333.0</v>
      </c>
      <c r="CE55" s="409">
        <f>ROUND(INDEX(販管費予算!$E$16:$I$16,MATCH(CE$3,販管費予算!$E$4:$I$4,0))/12,0)+IF(COUNTIF($AB$3:CE$3,CE$3)=12,INDEX(販管費予算!$E$16:$I$16,MATCH(CE$3,販管費予算!$E$4:$I$4,0))-12*ROUND(INDEX(販管費予算!$E$16:$I$16,MATCH(CE$3,販管費予算!$E$4:$I$4,0))/12,0),0)</f>
        <v>833333.0</v>
      </c>
      <c r="CF55" s="409">
        <f>ROUND(INDEX(販管費予算!$E$16:$I$16,MATCH(CF$3,販管費予算!$E$4:$I$4,0))/12,0)+IF(COUNTIF($AB$3:CF$3,CF$3)=12,INDEX(販管費予算!$E$16:$I$16,MATCH(CF$3,販管費予算!$E$4:$I$4,0))-12*ROUND(INDEX(販管費予算!$E$16:$I$16,MATCH(CF$3,販管費予算!$E$4:$I$4,0))/12,0),0)</f>
        <v>833333.0</v>
      </c>
      <c r="CG55" s="409">
        <f>ROUND(INDEX(販管費予算!$E$16:$I$16,MATCH(CG$3,販管費予算!$E$4:$I$4,0))/12,0)+IF(COUNTIF($AB$3:CG$3,CG$3)=12,INDEX(販管費予算!$E$16:$I$16,MATCH(CG$3,販管費予算!$E$4:$I$4,0))-12*ROUND(INDEX(販管費予算!$E$16:$I$16,MATCH(CG$3,販管費予算!$E$4:$I$4,0))/12,0),0)</f>
        <v>833333.0</v>
      </c>
      <c r="CH55" s="409">
        <f>ROUND(INDEX(販管費予算!$E$16:$I$16,MATCH(CH$3,販管費予算!$E$4:$I$4,0))/12,0)+IF(COUNTIF($AB$3:CH$3,CH$3)=12,INDEX(販管費予算!$E$16:$I$16,MATCH(CH$3,販管費予算!$E$4:$I$4,0))-12*ROUND(INDEX(販管費予算!$E$16:$I$16,MATCH(CH$3,販管費予算!$E$4:$I$4,0))/12,0),0)</f>
        <v>833333.0</v>
      </c>
      <c r="CI55" s="412">
        <f>ROUND(INDEX(販管費予算!$E$16:$I$16,MATCH(CI$3,販管費予算!$E$4:$I$4,0))/12,0)+IF(COUNTIF($AB$3:CI$3,CI$3)=12,INDEX(販管費予算!$E$16:$I$16,MATCH(CI$3,販管費予算!$E$4:$I$4,0))-12*ROUND(INDEX(販管費予算!$E$16:$I$16,MATCH(CI$3,販管費予算!$E$4:$I$4,0))/12,0),0)</f>
        <v>833337.0</v>
      </c>
    </row>
    <row r="56" ht="18" customHeight="1" s="145">
      <c r="A56" s="233" t="n"/>
      <c r="B56" s="233" t="n"/>
      <c r="C56" s="233" t="inlineStr">
        <is>
          <t>SaaS</t>
        </is>
      </c>
      <c r="D56" s="234" t="n"/>
      <c r="E56" s="408">
        <f>SUMIF($AB$3:$CI$3,E$4,$AB56:$CI56)</f>
        <v>0.0</v>
      </c>
      <c r="F56" s="409">
        <f>SUMIF($AB$3:$CI$3,F$4,$AB56:$CI56)</f>
        <v>0.0</v>
      </c>
      <c r="G56" s="409">
        <f>SUMIF($AB$3:$CI$3,G$4,$AB56:$CI56)</f>
        <v>0.0</v>
      </c>
      <c r="H56" s="409">
        <f>SUMIF($AB$3:$CI$3,H$4,$AB56:$CI56)</f>
        <v>0.0</v>
      </c>
      <c r="I56" s="409">
        <f>SUMIF($AB$3:$CI$3,I$4,$AB56:$CI56)</f>
        <v>0.0</v>
      </c>
      <c r="J56" s="407">
        <f>SUM(E56:I56)</f>
        <v>0.0</v>
      </c>
      <c r="K56" s="407" t="n"/>
      <c r="L56" s="407" t="n"/>
      <c r="M56" s="407" t="n"/>
      <c r="N56" s="407" t="n"/>
      <c r="O56" s="235" t="n"/>
      <c r="P56" s="408" t="n"/>
      <c r="Q56" s="409" t="n"/>
      <c r="R56" s="409" t="n"/>
      <c r="S56" s="409" t="n"/>
      <c r="T56" s="409" t="n"/>
      <c r="U56" s="409" t="n"/>
      <c r="V56" s="409" t="n"/>
      <c r="W56" s="409" t="n"/>
      <c r="X56" s="409" t="n"/>
      <c r="Y56" s="409" t="n"/>
      <c r="Z56" s="409" t="n"/>
      <c r="AA56" s="412" t="n"/>
      <c r="AB56" s="408" t="n"/>
      <c r="AC56" s="409" t="n"/>
      <c r="AD56" s="409" t="n"/>
      <c r="AE56" s="409" t="n"/>
      <c r="AF56" s="409" t="n"/>
      <c r="AG56" s="409" t="n"/>
      <c r="AH56" s="409" t="n"/>
      <c r="AI56" s="409" t="n"/>
      <c r="AJ56" s="409" t="n"/>
      <c r="AK56" s="409" t="n"/>
      <c r="AL56" s="409" t="n"/>
      <c r="AM56" s="412" t="n"/>
      <c r="AN56" s="408" t="n"/>
      <c r="AO56" s="409" t="n"/>
      <c r="AP56" s="409" t="n"/>
      <c r="AQ56" s="409" t="n"/>
      <c r="AR56" s="409" t="n"/>
      <c r="AS56" s="409" t="n"/>
      <c r="AT56" s="409" t="n"/>
      <c r="AU56" s="409" t="n"/>
      <c r="AV56" s="409" t="n"/>
      <c r="AW56" s="409" t="n"/>
      <c r="AX56" s="409" t="n"/>
      <c r="AY56" s="412" t="n"/>
      <c r="AZ56" s="408" t="n"/>
      <c r="BA56" s="409" t="n"/>
      <c r="BB56" s="409" t="n"/>
      <c r="BC56" s="409" t="n"/>
      <c r="BD56" s="409" t="n"/>
      <c r="BE56" s="409" t="n"/>
      <c r="BF56" s="409" t="n"/>
      <c r="BG56" s="409" t="n"/>
      <c r="BH56" s="409" t="n"/>
      <c r="BI56" s="409" t="n"/>
      <c r="BJ56" s="409" t="n"/>
      <c r="BK56" s="412" t="n"/>
      <c r="BL56" s="408" t="n"/>
      <c r="BM56" s="409" t="n"/>
      <c r="BN56" s="409" t="n"/>
      <c r="BO56" s="409" t="n"/>
      <c r="BP56" s="409" t="n"/>
      <c r="BQ56" s="409" t="n"/>
      <c r="BR56" s="409" t="n"/>
      <c r="BS56" s="409" t="n"/>
      <c r="BT56" s="409" t="n"/>
      <c r="BU56" s="409" t="n"/>
      <c r="BV56" s="409" t="n"/>
      <c r="BW56" s="412" t="n"/>
      <c r="BX56" s="408" t="n"/>
      <c r="BY56" s="409" t="n"/>
      <c r="BZ56" s="409" t="n"/>
      <c r="CA56" s="409" t="n"/>
      <c r="CB56" s="409" t="n"/>
      <c r="CC56" s="409" t="n"/>
      <c r="CD56" s="409" t="n"/>
      <c r="CE56" s="409" t="n"/>
      <c r="CF56" s="409" t="n"/>
      <c r="CG56" s="409" t="n"/>
      <c r="CH56" s="409" t="n"/>
      <c r="CI56" s="412" t="n"/>
    </row>
    <row r="57" ht="18" customHeight="1" s="145">
      <c r="A57" s="233" t="n"/>
      <c r="B57" s="233" t="n"/>
      <c r="C57" s="233" t="inlineStr">
        <is>
          <t>事業・組織再生コンサル</t>
        </is>
      </c>
      <c r="D57" s="234" t="n"/>
      <c r="E57" s="408">
        <f>SUMIF($AB$3:$CI$3,E$4,$AB57:$CI57)</f>
        <v>0.0</v>
      </c>
      <c r="F57" s="409">
        <f>SUMIF($AB$3:$CI$3,F$4,$AB57:$CI57)</f>
        <v>0.0</v>
      </c>
      <c r="G57" s="409">
        <f>SUMIF($AB$3:$CI$3,G$4,$AB57:$CI57)</f>
        <v>0.0</v>
      </c>
      <c r="H57" s="409">
        <f>SUMIF($AB$3:$CI$3,H$4,$AB57:$CI57)</f>
        <v>0.0</v>
      </c>
      <c r="I57" s="409">
        <f>SUMIF($AB$3:$CI$3,I$4,$AB57:$CI57)</f>
        <v>0.0</v>
      </c>
      <c r="J57" s="407">
        <f>SUM(E57:I57)</f>
        <v>0.0</v>
      </c>
      <c r="K57" s="407">
        <f>SUMIF($Q$3:$CN$3,K$4,$Q57:$CN57)</f>
        <v>0.0</v>
      </c>
      <c r="L57" s="407">
        <f>SUMIF($Q$3:$CN$3,L$4,$Q57:$CN57)</f>
        <v>0.0</v>
      </c>
      <c r="M57" s="407">
        <f>SUMIF($Q$3:$CN$3,M$4,$Q57:$CN57)</f>
        <v>0.0</v>
      </c>
      <c r="N57" s="407" t="n"/>
      <c r="O57" s="235" t="n"/>
      <c r="P57" s="408" t="n"/>
      <c r="Q57" s="409" t="n"/>
      <c r="R57" s="409" t="n"/>
      <c r="S57" s="409" t="n"/>
      <c r="T57" s="409" t="n"/>
      <c r="U57" s="409" t="n"/>
      <c r="V57" s="409" t="n"/>
      <c r="W57" s="409" t="n"/>
      <c r="X57" s="409" t="n"/>
      <c r="Y57" s="409" t="n"/>
      <c r="Z57" s="409" t="n"/>
      <c r="AA57" s="412" t="n"/>
      <c r="AB57" s="481" t="n"/>
      <c r="AC57" s="482" t="n"/>
      <c r="AD57" s="482" t="n"/>
      <c r="AE57" s="482" t="n"/>
      <c r="AF57" s="482" t="n"/>
      <c r="AG57" s="409" t="n"/>
      <c r="AH57" s="409" t="n"/>
      <c r="AI57" s="409" t="n"/>
      <c r="AJ57" s="409" t="n"/>
      <c r="AK57" s="409" t="n"/>
      <c r="AL57" s="409" t="n"/>
      <c r="AM57" s="412" t="n"/>
      <c r="AN57" s="408" t="n"/>
      <c r="AO57" s="409" t="n"/>
      <c r="AP57" s="409" t="n"/>
      <c r="AQ57" s="409" t="n"/>
      <c r="AR57" s="409" t="n"/>
      <c r="AS57" s="409" t="n"/>
      <c r="AT57" s="409" t="n"/>
      <c r="AU57" s="409" t="n"/>
      <c r="AV57" s="409" t="n"/>
      <c r="AW57" s="409" t="n"/>
      <c r="AX57" s="409" t="n"/>
      <c r="AY57" s="412" t="n"/>
      <c r="AZ57" s="408" t="n"/>
      <c r="BA57" s="409" t="n"/>
      <c r="BB57" s="409" t="n"/>
      <c r="BC57" s="409" t="n"/>
      <c r="BD57" s="409" t="n"/>
      <c r="BE57" s="409" t="n"/>
      <c r="BF57" s="409" t="n"/>
      <c r="BG57" s="409" t="n"/>
      <c r="BH57" s="409" t="n"/>
      <c r="BI57" s="409" t="n"/>
      <c r="BJ57" s="409" t="n"/>
      <c r="BK57" s="412" t="n"/>
      <c r="BL57" s="408" t="n"/>
      <c r="BM57" s="409" t="n"/>
      <c r="BN57" s="409" t="n"/>
      <c r="BO57" s="409" t="n"/>
      <c r="BP57" s="409" t="n"/>
      <c r="BQ57" s="409" t="n"/>
      <c r="BR57" s="409" t="n"/>
      <c r="BS57" s="409" t="n"/>
      <c r="BT57" s="409" t="n"/>
      <c r="BU57" s="409" t="n"/>
      <c r="BV57" s="409" t="n"/>
      <c r="BW57" s="412" t="n"/>
      <c r="BX57" s="408" t="n"/>
      <c r="BY57" s="409" t="n"/>
      <c r="BZ57" s="409" t="n"/>
      <c r="CA57" s="409" t="n"/>
      <c r="CB57" s="409" t="n"/>
      <c r="CC57" s="409" t="n"/>
      <c r="CD57" s="409" t="n"/>
      <c r="CE57" s="409" t="n"/>
      <c r="CF57" s="409" t="n"/>
      <c r="CG57" s="409" t="n"/>
      <c r="CH57" s="409" t="n"/>
      <c r="CI57" s="412" t="n"/>
    </row>
    <row r="58" ht="18" customHeight="1" s="145">
      <c r="A58" s="233" t="n"/>
      <c r="B58" s="325" t="inlineStr">
        <is>
          <t>通信費</t>
        </is>
      </c>
      <c r="C58" s="325" t="n"/>
      <c r="D58" s="326" t="n"/>
      <c r="E58" s="469">
        <f>SUMIF($AB$3:$CI$3,E$4,$AB58:$CI58)</f>
        <v>300000.0</v>
      </c>
      <c r="F58" s="470">
        <f>SUMIF($AB$3:$CI$3,F$4,$AB58:$CI58)</f>
        <v>600000.0</v>
      </c>
      <c r="G58" s="470">
        <f>SUMIF($AB$3:$CI$3,G$4,$AB58:$CI58)</f>
        <v>900000.0</v>
      </c>
      <c r="H58" s="470">
        <f>SUMIF($AB$3:$CI$3,H$4,$AB58:$CI58)</f>
        <v>1500000.0</v>
      </c>
      <c r="I58" s="470">
        <f>SUMIF($AB$3:$CI$3,I$4,$AB58:$CI58)</f>
        <v>2500000.0</v>
      </c>
      <c r="J58" s="478">
        <f>SUM(E58:I58)</f>
        <v>5800000.0</v>
      </c>
      <c r="K58" s="478" t="n"/>
      <c r="L58" s="478" t="n"/>
      <c r="M58" s="478" t="n"/>
      <c r="N58" s="478" t="n"/>
      <c r="O58" s="316" t="n"/>
      <c r="P58" s="469" t="n"/>
      <c r="Q58" s="470" t="n"/>
      <c r="R58" s="470" t="n"/>
      <c r="S58" s="470" t="n"/>
      <c r="T58" s="470" t="n"/>
      <c r="U58" s="470" t="n"/>
      <c r="V58" s="470" t="n"/>
      <c r="W58" s="470" t="n"/>
      <c r="X58" s="470" t="n"/>
      <c r="Y58" s="470" t="n"/>
      <c r="Z58" s="470" t="n"/>
      <c r="AA58" s="471" t="n"/>
      <c r="AB58" s="479">
        <f>SUM(AB59:AB60)</f>
        <v>25000.0</v>
      </c>
      <c r="AC58" s="480">
        <f>SUM(AC59:AC60)</f>
        <v>25000.0</v>
      </c>
      <c r="AD58" s="480">
        <f>SUM(AD59:AD60)</f>
        <v>25000.0</v>
      </c>
      <c r="AE58" s="480">
        <f>SUM(AE59:AE60)</f>
        <v>25000.0</v>
      </c>
      <c r="AF58" s="480">
        <f>SUM(AF59:AF60)</f>
        <v>25000.0</v>
      </c>
      <c r="AG58" s="470">
        <f>SUM(AG59:AG60)</f>
        <v>25000.0</v>
      </c>
      <c r="AH58" s="470">
        <f>SUM(AH59:AH60)</f>
        <v>25000.0</v>
      </c>
      <c r="AI58" s="470">
        <f>SUM(AI59:AI60)</f>
        <v>25000.0</v>
      </c>
      <c r="AJ58" s="470">
        <f>SUM(AJ59:AJ60)</f>
        <v>25000.0</v>
      </c>
      <c r="AK58" s="470">
        <f>SUM(AK59:AK60)</f>
        <v>25000.0</v>
      </c>
      <c r="AL58" s="470">
        <f>SUM(AL59:AL60)</f>
        <v>25000.0</v>
      </c>
      <c r="AM58" s="471">
        <f>SUM(AM59:AM60)</f>
        <v>25000.0</v>
      </c>
      <c r="AN58" s="469">
        <f>SUM(AN59:AN60)</f>
        <v>50000.0</v>
      </c>
      <c r="AO58" s="470">
        <f>SUM(AO59:AO60)</f>
        <v>50000.0</v>
      </c>
      <c r="AP58" s="470">
        <f>SUM(AP59:AP60)</f>
        <v>50000.0</v>
      </c>
      <c r="AQ58" s="470">
        <f>SUM(AQ59:AQ60)</f>
        <v>50000.0</v>
      </c>
      <c r="AR58" s="470">
        <f>SUM(AR59:AR60)</f>
        <v>50000.0</v>
      </c>
      <c r="AS58" s="470">
        <f>SUM(AS59:AS60)</f>
        <v>50000.0</v>
      </c>
      <c r="AT58" s="470">
        <f>SUM(AT59:AT60)</f>
        <v>50000.0</v>
      </c>
      <c r="AU58" s="470">
        <f>SUM(AU59:AU60)</f>
        <v>50000.0</v>
      </c>
      <c r="AV58" s="470">
        <f>SUM(AV59:AV60)</f>
        <v>50000.0</v>
      </c>
      <c r="AW58" s="470">
        <f>SUM(AW59:AW60)</f>
        <v>50000.0</v>
      </c>
      <c r="AX58" s="470">
        <f>SUM(AX59:AX60)</f>
        <v>50000.0</v>
      </c>
      <c r="AY58" s="471">
        <f>SUM(AY59:AY60)</f>
        <v>50000.0</v>
      </c>
      <c r="AZ58" s="469">
        <f>SUM(AZ59:AZ60)</f>
        <v>75000.0</v>
      </c>
      <c r="BA58" s="470">
        <f>SUM(BA59:BA60)</f>
        <v>75000.0</v>
      </c>
      <c r="BB58" s="470">
        <f>SUM(BB59:BB60)</f>
        <v>75000.0</v>
      </c>
      <c r="BC58" s="470">
        <f>SUM(BC59:BC60)</f>
        <v>75000.0</v>
      </c>
      <c r="BD58" s="470">
        <f>SUM(BD59:BD60)</f>
        <v>75000.0</v>
      </c>
      <c r="BE58" s="470">
        <f>SUM(BE59:BE60)</f>
        <v>75000.0</v>
      </c>
      <c r="BF58" s="470">
        <f>SUM(BF59:BF60)</f>
        <v>75000.0</v>
      </c>
      <c r="BG58" s="470">
        <f>SUM(BG59:BG60)</f>
        <v>75000.0</v>
      </c>
      <c r="BH58" s="470">
        <f>SUM(BH59:BH60)</f>
        <v>75000.0</v>
      </c>
      <c r="BI58" s="470">
        <f>SUM(BI59:BI60)</f>
        <v>75000.0</v>
      </c>
      <c r="BJ58" s="470">
        <f>SUM(BJ59:BJ60)</f>
        <v>75000.0</v>
      </c>
      <c r="BK58" s="471">
        <f>SUM(BK59:BK60)</f>
        <v>75000.0</v>
      </c>
      <c r="BL58" s="469">
        <f>SUM(BL59:BL60)</f>
        <v>125000.0</v>
      </c>
      <c r="BM58" s="470">
        <f>SUM(BM59:BM60)</f>
        <v>125000.0</v>
      </c>
      <c r="BN58" s="470">
        <f>SUM(BN59:BN60)</f>
        <v>125000.0</v>
      </c>
      <c r="BO58" s="470">
        <f>SUM(BO59:BO60)</f>
        <v>125000.0</v>
      </c>
      <c r="BP58" s="470">
        <f>SUM(BP59:BP60)</f>
        <v>125000.0</v>
      </c>
      <c r="BQ58" s="470">
        <f>SUM(BQ59:BQ60)</f>
        <v>125000.0</v>
      </c>
      <c r="BR58" s="470">
        <f>SUM(BR59:BR60)</f>
        <v>125000.0</v>
      </c>
      <c r="BS58" s="470">
        <f>SUM(BS59:BS60)</f>
        <v>125000.0</v>
      </c>
      <c r="BT58" s="470">
        <f>SUM(BT59:BT60)</f>
        <v>125000.0</v>
      </c>
      <c r="BU58" s="470">
        <f>SUM(BU59:BU60)</f>
        <v>125000.0</v>
      </c>
      <c r="BV58" s="470">
        <f>SUM(BV59:BV60)</f>
        <v>125000.0</v>
      </c>
      <c r="BW58" s="471">
        <f>SUM(BW59:BW60)</f>
        <v>125000.0</v>
      </c>
      <c r="BX58" s="469">
        <f>SUM(BX59:BX60)</f>
        <v>208333.0</v>
      </c>
      <c r="BY58" s="470">
        <f>SUM(BY59:BY60)</f>
        <v>208333.0</v>
      </c>
      <c r="BZ58" s="470">
        <f>SUM(BZ59:BZ60)</f>
        <v>208333.0</v>
      </c>
      <c r="CA58" s="470">
        <f>SUM(CA59:CA60)</f>
        <v>208333.0</v>
      </c>
      <c r="CB58" s="470">
        <f>SUM(CB59:CB60)</f>
        <v>208333.0</v>
      </c>
      <c r="CC58" s="470">
        <f>SUM(CC59:CC60)</f>
        <v>208333.0</v>
      </c>
      <c r="CD58" s="470">
        <f>SUM(CD59:CD60)</f>
        <v>208333.0</v>
      </c>
      <c r="CE58" s="470">
        <f>SUM(CE59:CE60)</f>
        <v>208333.0</v>
      </c>
      <c r="CF58" s="470">
        <f>SUM(CF59:CF60)</f>
        <v>208333.0</v>
      </c>
      <c r="CG58" s="470">
        <f>SUM(CG59:CG60)</f>
        <v>208333.0</v>
      </c>
      <c r="CH58" s="470">
        <f>SUM(CH59:CH60)</f>
        <v>208333.0</v>
      </c>
      <c r="CI58" s="471">
        <f>SUM(CI59:CI60)</f>
        <v>208337.0</v>
      </c>
    </row>
    <row r="59" ht="18" customHeight="1" s="145">
      <c r="A59" s="233" t="n"/>
      <c r="B59" s="233" t="n"/>
      <c r="C59" s="233" t="inlineStr">
        <is>
          <t>全社</t>
        </is>
      </c>
      <c r="D59" s="234" t="n"/>
      <c r="E59" s="408">
        <f>SUMIF($AB$3:$CI$3,E$4,$AB59:$CI59)</f>
        <v>300000.0</v>
      </c>
      <c r="F59" s="409">
        <f>SUMIF($AB$3:$CI$3,F$4,$AB59:$CI59)</f>
        <v>600000.0</v>
      </c>
      <c r="G59" s="409">
        <f>SUMIF($AB$3:$CI$3,G$4,$AB59:$CI59)</f>
        <v>900000.0</v>
      </c>
      <c r="H59" s="409">
        <f>SUMIF($AB$3:$CI$3,H$4,$AB59:$CI59)</f>
        <v>1500000.0</v>
      </c>
      <c r="I59" s="409">
        <f>SUMIF($AB$3:$CI$3,I$4,$AB59:$CI59)</f>
        <v>2500000.0</v>
      </c>
      <c r="J59" s="407">
        <f>SUM(E59:I59)</f>
        <v>5800000.0</v>
      </c>
      <c r="K59" s="407">
        <f>SUMIF($Q$3:$CN$3,K$4,$Q59:$CN59)</f>
        <v>0.0</v>
      </c>
      <c r="L59" s="407">
        <f>SUMIF($Q$3:$CN$3,L$4,$Q59:$CN59)</f>
        <v>0.0</v>
      </c>
      <c r="M59" s="407">
        <f>SUMIF($Q$3:$CN$3,M$4,$Q59:$CN59)</f>
        <v>0.0</v>
      </c>
      <c r="N59" s="407">
        <f>SUMIF($Q$3:$CN$3,N$4,$Q59:$CN59)</f>
        <v>0.0</v>
      </c>
      <c r="O59" s="235" t="n"/>
      <c r="P59" s="408" t="n"/>
      <c r="Q59" s="409" t="n"/>
      <c r="R59" s="409" t="n"/>
      <c r="S59" s="409" t="n"/>
      <c r="T59" s="409" t="n"/>
      <c r="U59" s="409" t="n"/>
      <c r="V59" s="409" t="n"/>
      <c r="W59" s="409" t="n"/>
      <c r="X59" s="409" t="n"/>
      <c r="Y59" s="409" t="n"/>
      <c r="Z59" s="409" t="n"/>
      <c r="AA59" s="412" t="n"/>
      <c r="AB59" s="408">
        <f>ROUND(INDEX(販管費予算!$E$17:$I$17,MATCH(AB$3,販管費予算!$E$4:$I$4,0))/12,0)+IF(COUNTIF($AB$3:AB$3,AB$3)=12,INDEX(販管費予算!$E$17:$I$17,MATCH(AB$3,販管費予算!$E$4:$I$4,0))-12*ROUND(INDEX(販管費予算!$E$17:$I$17,MATCH(AB$3,販管費予算!$E$4:$I$4,0))/12,0),0)</f>
        <v>25000.0</v>
      </c>
      <c r="AC59" s="409">
        <f>ROUND(INDEX(販管費予算!$E$17:$I$17,MATCH(AC$3,販管費予算!$E$4:$I$4,0))/12,0)+IF(COUNTIF($AB$3:AC$3,AC$3)=12,INDEX(販管費予算!$E$17:$I$17,MATCH(AC$3,販管費予算!$E$4:$I$4,0))-12*ROUND(INDEX(販管費予算!$E$17:$I$17,MATCH(AC$3,販管費予算!$E$4:$I$4,0))/12,0),0)</f>
        <v>25000.0</v>
      </c>
      <c r="AD59" s="409">
        <f>ROUND(INDEX(販管費予算!$E$17:$I$17,MATCH(AD$3,販管費予算!$E$4:$I$4,0))/12,0)+IF(COUNTIF($AB$3:AD$3,AD$3)=12,INDEX(販管費予算!$E$17:$I$17,MATCH(AD$3,販管費予算!$E$4:$I$4,0))-12*ROUND(INDEX(販管費予算!$E$17:$I$17,MATCH(AD$3,販管費予算!$E$4:$I$4,0))/12,0),0)</f>
        <v>25000.0</v>
      </c>
      <c r="AE59" s="409">
        <f>ROUND(INDEX(販管費予算!$E$17:$I$17,MATCH(AE$3,販管費予算!$E$4:$I$4,0))/12,0)+IF(COUNTIF($AB$3:AE$3,AE$3)=12,INDEX(販管費予算!$E$17:$I$17,MATCH(AE$3,販管費予算!$E$4:$I$4,0))-12*ROUND(INDEX(販管費予算!$E$17:$I$17,MATCH(AE$3,販管費予算!$E$4:$I$4,0))/12,0),0)</f>
        <v>25000.0</v>
      </c>
      <c r="AF59" s="409">
        <f>ROUND(INDEX(販管費予算!$E$17:$I$17,MATCH(AF$3,販管費予算!$E$4:$I$4,0))/12,0)+IF(COUNTIF($AB$3:AF$3,AF$3)=12,INDEX(販管費予算!$E$17:$I$17,MATCH(AF$3,販管費予算!$E$4:$I$4,0))-12*ROUND(INDEX(販管費予算!$E$17:$I$17,MATCH(AF$3,販管費予算!$E$4:$I$4,0))/12,0),0)</f>
        <v>25000.0</v>
      </c>
      <c r="AG59" s="409">
        <f>ROUND(INDEX(販管費予算!$E$17:$I$17,MATCH(AG$3,販管費予算!$E$4:$I$4,0))/12,0)+IF(COUNTIF($AB$3:AG$3,AG$3)=12,INDEX(販管費予算!$E$17:$I$17,MATCH(AG$3,販管費予算!$E$4:$I$4,0))-12*ROUND(INDEX(販管費予算!$E$17:$I$17,MATCH(AG$3,販管費予算!$E$4:$I$4,0))/12,0),0)</f>
        <v>25000.0</v>
      </c>
      <c r="AH59" s="409">
        <f>ROUND(INDEX(販管費予算!$E$17:$I$17,MATCH(AH$3,販管費予算!$E$4:$I$4,0))/12,0)+IF(COUNTIF($AB$3:AH$3,AH$3)=12,INDEX(販管費予算!$E$17:$I$17,MATCH(AH$3,販管費予算!$E$4:$I$4,0))-12*ROUND(INDEX(販管費予算!$E$17:$I$17,MATCH(AH$3,販管費予算!$E$4:$I$4,0))/12,0),0)</f>
        <v>25000.0</v>
      </c>
      <c r="AI59" s="409">
        <f>ROUND(INDEX(販管費予算!$E$17:$I$17,MATCH(AI$3,販管費予算!$E$4:$I$4,0))/12,0)+IF(COUNTIF($AB$3:AI$3,AI$3)=12,INDEX(販管費予算!$E$17:$I$17,MATCH(AI$3,販管費予算!$E$4:$I$4,0))-12*ROUND(INDEX(販管費予算!$E$17:$I$17,MATCH(AI$3,販管費予算!$E$4:$I$4,0))/12,0),0)</f>
        <v>25000.0</v>
      </c>
      <c r="AJ59" s="409">
        <f>ROUND(INDEX(販管費予算!$E$17:$I$17,MATCH(AJ$3,販管費予算!$E$4:$I$4,0))/12,0)+IF(COUNTIF($AB$3:AJ$3,AJ$3)=12,INDEX(販管費予算!$E$17:$I$17,MATCH(AJ$3,販管費予算!$E$4:$I$4,0))-12*ROUND(INDEX(販管費予算!$E$17:$I$17,MATCH(AJ$3,販管費予算!$E$4:$I$4,0))/12,0),0)</f>
        <v>25000.0</v>
      </c>
      <c r="AK59" s="409">
        <f>ROUND(INDEX(販管費予算!$E$17:$I$17,MATCH(AK$3,販管費予算!$E$4:$I$4,0))/12,0)+IF(COUNTIF($AB$3:AK$3,AK$3)=12,INDEX(販管費予算!$E$17:$I$17,MATCH(AK$3,販管費予算!$E$4:$I$4,0))-12*ROUND(INDEX(販管費予算!$E$17:$I$17,MATCH(AK$3,販管費予算!$E$4:$I$4,0))/12,0),0)</f>
        <v>25000.0</v>
      </c>
      <c r="AL59" s="409">
        <f>ROUND(INDEX(販管費予算!$E$17:$I$17,MATCH(AL$3,販管費予算!$E$4:$I$4,0))/12,0)+IF(COUNTIF($AB$3:AL$3,AL$3)=12,INDEX(販管費予算!$E$17:$I$17,MATCH(AL$3,販管費予算!$E$4:$I$4,0))-12*ROUND(INDEX(販管費予算!$E$17:$I$17,MATCH(AL$3,販管費予算!$E$4:$I$4,0))/12,0),0)</f>
        <v>25000.0</v>
      </c>
      <c r="AM59" s="412">
        <f>ROUND(INDEX(販管費予算!$E$17:$I$17,MATCH(AM$3,販管費予算!$E$4:$I$4,0))/12,0)+IF(COUNTIF($AB$3:AM$3,AM$3)=12,INDEX(販管費予算!$E$17:$I$17,MATCH(AM$3,販管費予算!$E$4:$I$4,0))-12*ROUND(INDEX(販管費予算!$E$17:$I$17,MATCH(AM$3,販管費予算!$E$4:$I$4,0))/12,0),0)</f>
        <v>25000.0</v>
      </c>
      <c r="AN59" s="408">
        <f>ROUND(INDEX(販管費予算!$E$17:$I$17,MATCH(AN$3,販管費予算!$E$4:$I$4,0))/12,0)+IF(COUNTIF($AB$3:AN$3,AN$3)=12,INDEX(販管費予算!$E$17:$I$17,MATCH(AN$3,販管費予算!$E$4:$I$4,0))-12*ROUND(INDEX(販管費予算!$E$17:$I$17,MATCH(AN$3,販管費予算!$E$4:$I$4,0))/12,0),0)</f>
        <v>50000.0</v>
      </c>
      <c r="AO59" s="409">
        <f>ROUND(INDEX(販管費予算!$E$17:$I$17,MATCH(AO$3,販管費予算!$E$4:$I$4,0))/12,0)+IF(COUNTIF($AB$3:AO$3,AO$3)=12,INDEX(販管費予算!$E$17:$I$17,MATCH(AO$3,販管費予算!$E$4:$I$4,0))-12*ROUND(INDEX(販管費予算!$E$17:$I$17,MATCH(AO$3,販管費予算!$E$4:$I$4,0))/12,0),0)</f>
        <v>50000.0</v>
      </c>
      <c r="AP59" s="409">
        <f>ROUND(INDEX(販管費予算!$E$17:$I$17,MATCH(AP$3,販管費予算!$E$4:$I$4,0))/12,0)+IF(COUNTIF($AB$3:AP$3,AP$3)=12,INDEX(販管費予算!$E$17:$I$17,MATCH(AP$3,販管費予算!$E$4:$I$4,0))-12*ROUND(INDEX(販管費予算!$E$17:$I$17,MATCH(AP$3,販管費予算!$E$4:$I$4,0))/12,0),0)</f>
        <v>50000.0</v>
      </c>
      <c r="AQ59" s="409">
        <f>ROUND(INDEX(販管費予算!$E$17:$I$17,MATCH(AQ$3,販管費予算!$E$4:$I$4,0))/12,0)+IF(COUNTIF($AB$3:AQ$3,AQ$3)=12,INDEX(販管費予算!$E$17:$I$17,MATCH(AQ$3,販管費予算!$E$4:$I$4,0))-12*ROUND(INDEX(販管費予算!$E$17:$I$17,MATCH(AQ$3,販管費予算!$E$4:$I$4,0))/12,0),0)</f>
        <v>50000.0</v>
      </c>
      <c r="AR59" s="409">
        <f>ROUND(INDEX(販管費予算!$E$17:$I$17,MATCH(AR$3,販管費予算!$E$4:$I$4,0))/12,0)+IF(COUNTIF($AB$3:AR$3,AR$3)=12,INDEX(販管費予算!$E$17:$I$17,MATCH(AR$3,販管費予算!$E$4:$I$4,0))-12*ROUND(INDEX(販管費予算!$E$17:$I$17,MATCH(AR$3,販管費予算!$E$4:$I$4,0))/12,0),0)</f>
        <v>50000.0</v>
      </c>
      <c r="AS59" s="409">
        <f>ROUND(INDEX(販管費予算!$E$17:$I$17,MATCH(AS$3,販管費予算!$E$4:$I$4,0))/12,0)+IF(COUNTIF($AB$3:AS$3,AS$3)=12,INDEX(販管費予算!$E$17:$I$17,MATCH(AS$3,販管費予算!$E$4:$I$4,0))-12*ROUND(INDEX(販管費予算!$E$17:$I$17,MATCH(AS$3,販管費予算!$E$4:$I$4,0))/12,0),0)</f>
        <v>50000.0</v>
      </c>
      <c r="AT59" s="409">
        <f>ROUND(INDEX(販管費予算!$E$17:$I$17,MATCH(AT$3,販管費予算!$E$4:$I$4,0))/12,0)+IF(COUNTIF($AB$3:AT$3,AT$3)=12,INDEX(販管費予算!$E$17:$I$17,MATCH(AT$3,販管費予算!$E$4:$I$4,0))-12*ROUND(INDEX(販管費予算!$E$17:$I$17,MATCH(AT$3,販管費予算!$E$4:$I$4,0))/12,0),0)</f>
        <v>50000.0</v>
      </c>
      <c r="AU59" s="409">
        <f>ROUND(INDEX(販管費予算!$E$17:$I$17,MATCH(AU$3,販管費予算!$E$4:$I$4,0))/12,0)+IF(COUNTIF($AB$3:AU$3,AU$3)=12,INDEX(販管費予算!$E$17:$I$17,MATCH(AU$3,販管費予算!$E$4:$I$4,0))-12*ROUND(INDEX(販管費予算!$E$17:$I$17,MATCH(AU$3,販管費予算!$E$4:$I$4,0))/12,0),0)</f>
        <v>50000.0</v>
      </c>
      <c r="AV59" s="409">
        <f>ROUND(INDEX(販管費予算!$E$17:$I$17,MATCH(AV$3,販管費予算!$E$4:$I$4,0))/12,0)+IF(COUNTIF($AB$3:AV$3,AV$3)=12,INDEX(販管費予算!$E$17:$I$17,MATCH(AV$3,販管費予算!$E$4:$I$4,0))-12*ROUND(INDEX(販管費予算!$E$17:$I$17,MATCH(AV$3,販管費予算!$E$4:$I$4,0))/12,0),0)</f>
        <v>50000.0</v>
      </c>
      <c r="AW59" s="409">
        <f>ROUND(INDEX(販管費予算!$E$17:$I$17,MATCH(AW$3,販管費予算!$E$4:$I$4,0))/12,0)+IF(COUNTIF($AB$3:AW$3,AW$3)=12,INDEX(販管費予算!$E$17:$I$17,MATCH(AW$3,販管費予算!$E$4:$I$4,0))-12*ROUND(INDEX(販管費予算!$E$17:$I$17,MATCH(AW$3,販管費予算!$E$4:$I$4,0))/12,0),0)</f>
        <v>50000.0</v>
      </c>
      <c r="AX59" s="409">
        <f>ROUND(INDEX(販管費予算!$E$17:$I$17,MATCH(AX$3,販管費予算!$E$4:$I$4,0))/12,0)+IF(COUNTIF($AB$3:AX$3,AX$3)=12,INDEX(販管費予算!$E$17:$I$17,MATCH(AX$3,販管費予算!$E$4:$I$4,0))-12*ROUND(INDEX(販管費予算!$E$17:$I$17,MATCH(AX$3,販管費予算!$E$4:$I$4,0))/12,0),0)</f>
        <v>50000.0</v>
      </c>
      <c r="AY59" s="412">
        <f>ROUND(INDEX(販管費予算!$E$17:$I$17,MATCH(AY$3,販管費予算!$E$4:$I$4,0))/12,0)+IF(COUNTIF($AB$3:AY$3,AY$3)=12,INDEX(販管費予算!$E$17:$I$17,MATCH(AY$3,販管費予算!$E$4:$I$4,0))-12*ROUND(INDEX(販管費予算!$E$17:$I$17,MATCH(AY$3,販管費予算!$E$4:$I$4,0))/12,0),0)</f>
        <v>50000.0</v>
      </c>
      <c r="AZ59" s="408">
        <f>ROUND(INDEX(販管費予算!$E$17:$I$17,MATCH(AZ$3,販管費予算!$E$4:$I$4,0))/12,0)+IF(COUNTIF($AB$3:AZ$3,AZ$3)=12,INDEX(販管費予算!$E$17:$I$17,MATCH(AZ$3,販管費予算!$E$4:$I$4,0))-12*ROUND(INDEX(販管費予算!$E$17:$I$17,MATCH(AZ$3,販管費予算!$E$4:$I$4,0))/12,0),0)</f>
        <v>75000.0</v>
      </c>
      <c r="BA59" s="409">
        <f>ROUND(INDEX(販管費予算!$E$17:$I$17,MATCH(BA$3,販管費予算!$E$4:$I$4,0))/12,0)+IF(COUNTIF($AB$3:BA$3,BA$3)=12,INDEX(販管費予算!$E$17:$I$17,MATCH(BA$3,販管費予算!$E$4:$I$4,0))-12*ROUND(INDEX(販管費予算!$E$17:$I$17,MATCH(BA$3,販管費予算!$E$4:$I$4,0))/12,0),0)</f>
        <v>75000.0</v>
      </c>
      <c r="BB59" s="409">
        <f>ROUND(INDEX(販管費予算!$E$17:$I$17,MATCH(BB$3,販管費予算!$E$4:$I$4,0))/12,0)+IF(COUNTIF($AB$3:BB$3,BB$3)=12,INDEX(販管費予算!$E$17:$I$17,MATCH(BB$3,販管費予算!$E$4:$I$4,0))-12*ROUND(INDEX(販管費予算!$E$17:$I$17,MATCH(BB$3,販管費予算!$E$4:$I$4,0))/12,0),0)</f>
        <v>75000.0</v>
      </c>
      <c r="BC59" s="409">
        <f>ROUND(INDEX(販管費予算!$E$17:$I$17,MATCH(BC$3,販管費予算!$E$4:$I$4,0))/12,0)+IF(COUNTIF($AB$3:BC$3,BC$3)=12,INDEX(販管費予算!$E$17:$I$17,MATCH(BC$3,販管費予算!$E$4:$I$4,0))-12*ROUND(INDEX(販管費予算!$E$17:$I$17,MATCH(BC$3,販管費予算!$E$4:$I$4,0))/12,0),0)</f>
        <v>75000.0</v>
      </c>
      <c r="BD59" s="409">
        <f>ROUND(INDEX(販管費予算!$E$17:$I$17,MATCH(BD$3,販管費予算!$E$4:$I$4,0))/12,0)+IF(COUNTIF($AB$3:BD$3,BD$3)=12,INDEX(販管費予算!$E$17:$I$17,MATCH(BD$3,販管費予算!$E$4:$I$4,0))-12*ROUND(INDEX(販管費予算!$E$17:$I$17,MATCH(BD$3,販管費予算!$E$4:$I$4,0))/12,0),0)</f>
        <v>75000.0</v>
      </c>
      <c r="BE59" s="409">
        <f>ROUND(INDEX(販管費予算!$E$17:$I$17,MATCH(BE$3,販管費予算!$E$4:$I$4,0))/12,0)+IF(COUNTIF($AB$3:BE$3,BE$3)=12,INDEX(販管費予算!$E$17:$I$17,MATCH(BE$3,販管費予算!$E$4:$I$4,0))-12*ROUND(INDEX(販管費予算!$E$17:$I$17,MATCH(BE$3,販管費予算!$E$4:$I$4,0))/12,0),0)</f>
        <v>75000.0</v>
      </c>
      <c r="BF59" s="409">
        <f>ROUND(INDEX(販管費予算!$E$17:$I$17,MATCH(BF$3,販管費予算!$E$4:$I$4,0))/12,0)+IF(COUNTIF($AB$3:BF$3,BF$3)=12,INDEX(販管費予算!$E$17:$I$17,MATCH(BF$3,販管費予算!$E$4:$I$4,0))-12*ROUND(INDEX(販管費予算!$E$17:$I$17,MATCH(BF$3,販管費予算!$E$4:$I$4,0))/12,0),0)</f>
        <v>75000.0</v>
      </c>
      <c r="BG59" s="409">
        <f>ROUND(INDEX(販管費予算!$E$17:$I$17,MATCH(BG$3,販管費予算!$E$4:$I$4,0))/12,0)+IF(COUNTIF($AB$3:BG$3,BG$3)=12,INDEX(販管費予算!$E$17:$I$17,MATCH(BG$3,販管費予算!$E$4:$I$4,0))-12*ROUND(INDEX(販管費予算!$E$17:$I$17,MATCH(BG$3,販管費予算!$E$4:$I$4,0))/12,0),0)</f>
        <v>75000.0</v>
      </c>
      <c r="BH59" s="409">
        <f>ROUND(INDEX(販管費予算!$E$17:$I$17,MATCH(BH$3,販管費予算!$E$4:$I$4,0))/12,0)+IF(COUNTIF($AB$3:BH$3,BH$3)=12,INDEX(販管費予算!$E$17:$I$17,MATCH(BH$3,販管費予算!$E$4:$I$4,0))-12*ROUND(INDEX(販管費予算!$E$17:$I$17,MATCH(BH$3,販管費予算!$E$4:$I$4,0))/12,0),0)</f>
        <v>75000.0</v>
      </c>
      <c r="BI59" s="409">
        <f>ROUND(INDEX(販管費予算!$E$17:$I$17,MATCH(BI$3,販管費予算!$E$4:$I$4,0))/12,0)+IF(COUNTIF($AB$3:BI$3,BI$3)=12,INDEX(販管費予算!$E$17:$I$17,MATCH(BI$3,販管費予算!$E$4:$I$4,0))-12*ROUND(INDEX(販管費予算!$E$17:$I$17,MATCH(BI$3,販管費予算!$E$4:$I$4,0))/12,0),0)</f>
        <v>75000.0</v>
      </c>
      <c r="BJ59" s="409">
        <f>ROUND(INDEX(販管費予算!$E$17:$I$17,MATCH(BJ$3,販管費予算!$E$4:$I$4,0))/12,0)+IF(COUNTIF($AB$3:BJ$3,BJ$3)=12,INDEX(販管費予算!$E$17:$I$17,MATCH(BJ$3,販管費予算!$E$4:$I$4,0))-12*ROUND(INDEX(販管費予算!$E$17:$I$17,MATCH(BJ$3,販管費予算!$E$4:$I$4,0))/12,0),0)</f>
        <v>75000.0</v>
      </c>
      <c r="BK59" s="412">
        <f>ROUND(INDEX(販管費予算!$E$17:$I$17,MATCH(BK$3,販管費予算!$E$4:$I$4,0))/12,0)+IF(COUNTIF($AB$3:BK$3,BK$3)=12,INDEX(販管費予算!$E$17:$I$17,MATCH(BK$3,販管費予算!$E$4:$I$4,0))-12*ROUND(INDEX(販管費予算!$E$17:$I$17,MATCH(BK$3,販管費予算!$E$4:$I$4,0))/12,0),0)</f>
        <v>75000.0</v>
      </c>
      <c r="BL59" s="408">
        <f>ROUND(INDEX(販管費予算!$E$17:$I$17,MATCH(BL$3,販管費予算!$E$4:$I$4,0))/12,0)+IF(COUNTIF($AB$3:BL$3,BL$3)=12,INDEX(販管費予算!$E$17:$I$17,MATCH(BL$3,販管費予算!$E$4:$I$4,0))-12*ROUND(INDEX(販管費予算!$E$17:$I$17,MATCH(BL$3,販管費予算!$E$4:$I$4,0))/12,0),0)</f>
        <v>125000.0</v>
      </c>
      <c r="BM59" s="409">
        <f>ROUND(INDEX(販管費予算!$E$17:$I$17,MATCH(BM$3,販管費予算!$E$4:$I$4,0))/12,0)+IF(COUNTIF($AB$3:BM$3,BM$3)=12,INDEX(販管費予算!$E$17:$I$17,MATCH(BM$3,販管費予算!$E$4:$I$4,0))-12*ROUND(INDEX(販管費予算!$E$17:$I$17,MATCH(BM$3,販管費予算!$E$4:$I$4,0))/12,0),0)</f>
        <v>125000.0</v>
      </c>
      <c r="BN59" s="409">
        <f>ROUND(INDEX(販管費予算!$E$17:$I$17,MATCH(BN$3,販管費予算!$E$4:$I$4,0))/12,0)+IF(COUNTIF($AB$3:BN$3,BN$3)=12,INDEX(販管費予算!$E$17:$I$17,MATCH(BN$3,販管費予算!$E$4:$I$4,0))-12*ROUND(INDEX(販管費予算!$E$17:$I$17,MATCH(BN$3,販管費予算!$E$4:$I$4,0))/12,0),0)</f>
        <v>125000.0</v>
      </c>
      <c r="BO59" s="409">
        <f>ROUND(INDEX(販管費予算!$E$17:$I$17,MATCH(BO$3,販管費予算!$E$4:$I$4,0))/12,0)+IF(COUNTIF($AB$3:BO$3,BO$3)=12,INDEX(販管費予算!$E$17:$I$17,MATCH(BO$3,販管費予算!$E$4:$I$4,0))-12*ROUND(INDEX(販管費予算!$E$17:$I$17,MATCH(BO$3,販管費予算!$E$4:$I$4,0))/12,0),0)</f>
        <v>125000.0</v>
      </c>
      <c r="BP59" s="409">
        <f>ROUND(INDEX(販管費予算!$E$17:$I$17,MATCH(BP$3,販管費予算!$E$4:$I$4,0))/12,0)+IF(COUNTIF($AB$3:BP$3,BP$3)=12,INDEX(販管費予算!$E$17:$I$17,MATCH(BP$3,販管費予算!$E$4:$I$4,0))-12*ROUND(INDEX(販管費予算!$E$17:$I$17,MATCH(BP$3,販管費予算!$E$4:$I$4,0))/12,0),0)</f>
        <v>125000.0</v>
      </c>
      <c r="BQ59" s="409">
        <f>ROUND(INDEX(販管費予算!$E$17:$I$17,MATCH(BQ$3,販管費予算!$E$4:$I$4,0))/12,0)+IF(COUNTIF($AB$3:BQ$3,BQ$3)=12,INDEX(販管費予算!$E$17:$I$17,MATCH(BQ$3,販管費予算!$E$4:$I$4,0))-12*ROUND(INDEX(販管費予算!$E$17:$I$17,MATCH(BQ$3,販管費予算!$E$4:$I$4,0))/12,0),0)</f>
        <v>125000.0</v>
      </c>
      <c r="BR59" s="409">
        <f>ROUND(INDEX(販管費予算!$E$17:$I$17,MATCH(BR$3,販管費予算!$E$4:$I$4,0))/12,0)+IF(COUNTIF($AB$3:BR$3,BR$3)=12,INDEX(販管費予算!$E$17:$I$17,MATCH(BR$3,販管費予算!$E$4:$I$4,0))-12*ROUND(INDEX(販管費予算!$E$17:$I$17,MATCH(BR$3,販管費予算!$E$4:$I$4,0))/12,0),0)</f>
        <v>125000.0</v>
      </c>
      <c r="BS59" s="409">
        <f>ROUND(INDEX(販管費予算!$E$17:$I$17,MATCH(BS$3,販管費予算!$E$4:$I$4,0))/12,0)+IF(COUNTIF($AB$3:BS$3,BS$3)=12,INDEX(販管費予算!$E$17:$I$17,MATCH(BS$3,販管費予算!$E$4:$I$4,0))-12*ROUND(INDEX(販管費予算!$E$17:$I$17,MATCH(BS$3,販管費予算!$E$4:$I$4,0))/12,0),0)</f>
        <v>125000.0</v>
      </c>
      <c r="BT59" s="409">
        <f>ROUND(INDEX(販管費予算!$E$17:$I$17,MATCH(BT$3,販管費予算!$E$4:$I$4,0))/12,0)+IF(COUNTIF($AB$3:BT$3,BT$3)=12,INDEX(販管費予算!$E$17:$I$17,MATCH(BT$3,販管費予算!$E$4:$I$4,0))-12*ROUND(INDEX(販管費予算!$E$17:$I$17,MATCH(BT$3,販管費予算!$E$4:$I$4,0))/12,0),0)</f>
        <v>125000.0</v>
      </c>
      <c r="BU59" s="409">
        <f>ROUND(INDEX(販管費予算!$E$17:$I$17,MATCH(BU$3,販管費予算!$E$4:$I$4,0))/12,0)+IF(COUNTIF($AB$3:BU$3,BU$3)=12,INDEX(販管費予算!$E$17:$I$17,MATCH(BU$3,販管費予算!$E$4:$I$4,0))-12*ROUND(INDEX(販管費予算!$E$17:$I$17,MATCH(BU$3,販管費予算!$E$4:$I$4,0))/12,0),0)</f>
        <v>125000.0</v>
      </c>
      <c r="BV59" s="409">
        <f>ROUND(INDEX(販管費予算!$E$17:$I$17,MATCH(BV$3,販管費予算!$E$4:$I$4,0))/12,0)+IF(COUNTIF($AB$3:BV$3,BV$3)=12,INDEX(販管費予算!$E$17:$I$17,MATCH(BV$3,販管費予算!$E$4:$I$4,0))-12*ROUND(INDEX(販管費予算!$E$17:$I$17,MATCH(BV$3,販管費予算!$E$4:$I$4,0))/12,0),0)</f>
        <v>125000.0</v>
      </c>
      <c r="BW59" s="412">
        <f>ROUND(INDEX(販管費予算!$E$17:$I$17,MATCH(BW$3,販管費予算!$E$4:$I$4,0))/12,0)+IF(COUNTIF($AB$3:BW$3,BW$3)=12,INDEX(販管費予算!$E$17:$I$17,MATCH(BW$3,販管費予算!$E$4:$I$4,0))-12*ROUND(INDEX(販管費予算!$E$17:$I$17,MATCH(BW$3,販管費予算!$E$4:$I$4,0))/12,0),0)</f>
        <v>125000.0</v>
      </c>
      <c r="BX59" s="408">
        <f>ROUND(INDEX(販管費予算!$E$17:$I$17,MATCH(BX$3,販管費予算!$E$4:$I$4,0))/12,0)+IF(COUNTIF($AB$3:BX$3,BX$3)=12,INDEX(販管費予算!$E$17:$I$17,MATCH(BX$3,販管費予算!$E$4:$I$4,0))-12*ROUND(INDEX(販管費予算!$E$17:$I$17,MATCH(BX$3,販管費予算!$E$4:$I$4,0))/12,0),0)</f>
        <v>208333.0</v>
      </c>
      <c r="BY59" s="409">
        <f>ROUND(INDEX(販管費予算!$E$17:$I$17,MATCH(BY$3,販管費予算!$E$4:$I$4,0))/12,0)+IF(COUNTIF($AB$3:BY$3,BY$3)=12,INDEX(販管費予算!$E$17:$I$17,MATCH(BY$3,販管費予算!$E$4:$I$4,0))-12*ROUND(INDEX(販管費予算!$E$17:$I$17,MATCH(BY$3,販管費予算!$E$4:$I$4,0))/12,0),0)</f>
        <v>208333.0</v>
      </c>
      <c r="BZ59" s="409">
        <f>ROUND(INDEX(販管費予算!$E$17:$I$17,MATCH(BZ$3,販管費予算!$E$4:$I$4,0))/12,0)+IF(COUNTIF($AB$3:BZ$3,BZ$3)=12,INDEX(販管費予算!$E$17:$I$17,MATCH(BZ$3,販管費予算!$E$4:$I$4,0))-12*ROUND(INDEX(販管費予算!$E$17:$I$17,MATCH(BZ$3,販管費予算!$E$4:$I$4,0))/12,0),0)</f>
        <v>208333.0</v>
      </c>
      <c r="CA59" s="409">
        <f>ROUND(INDEX(販管費予算!$E$17:$I$17,MATCH(CA$3,販管費予算!$E$4:$I$4,0))/12,0)+IF(COUNTIF($AB$3:CA$3,CA$3)=12,INDEX(販管費予算!$E$17:$I$17,MATCH(CA$3,販管費予算!$E$4:$I$4,0))-12*ROUND(INDEX(販管費予算!$E$17:$I$17,MATCH(CA$3,販管費予算!$E$4:$I$4,0))/12,0),0)</f>
        <v>208333.0</v>
      </c>
      <c r="CB59" s="409">
        <f>ROUND(INDEX(販管費予算!$E$17:$I$17,MATCH(CB$3,販管費予算!$E$4:$I$4,0))/12,0)+IF(COUNTIF($AB$3:CB$3,CB$3)=12,INDEX(販管費予算!$E$17:$I$17,MATCH(CB$3,販管費予算!$E$4:$I$4,0))-12*ROUND(INDEX(販管費予算!$E$17:$I$17,MATCH(CB$3,販管費予算!$E$4:$I$4,0))/12,0),0)</f>
        <v>208333.0</v>
      </c>
      <c r="CC59" s="409">
        <f>ROUND(INDEX(販管費予算!$E$17:$I$17,MATCH(CC$3,販管費予算!$E$4:$I$4,0))/12,0)+IF(COUNTIF($AB$3:CC$3,CC$3)=12,INDEX(販管費予算!$E$17:$I$17,MATCH(CC$3,販管費予算!$E$4:$I$4,0))-12*ROUND(INDEX(販管費予算!$E$17:$I$17,MATCH(CC$3,販管費予算!$E$4:$I$4,0))/12,0),0)</f>
        <v>208333.0</v>
      </c>
      <c r="CD59" s="409">
        <f>ROUND(INDEX(販管費予算!$E$17:$I$17,MATCH(CD$3,販管費予算!$E$4:$I$4,0))/12,0)+IF(COUNTIF($AB$3:CD$3,CD$3)=12,INDEX(販管費予算!$E$17:$I$17,MATCH(CD$3,販管費予算!$E$4:$I$4,0))-12*ROUND(INDEX(販管費予算!$E$17:$I$17,MATCH(CD$3,販管費予算!$E$4:$I$4,0))/12,0),0)</f>
        <v>208333.0</v>
      </c>
      <c r="CE59" s="409">
        <f>ROUND(INDEX(販管費予算!$E$17:$I$17,MATCH(CE$3,販管費予算!$E$4:$I$4,0))/12,0)+IF(COUNTIF($AB$3:CE$3,CE$3)=12,INDEX(販管費予算!$E$17:$I$17,MATCH(CE$3,販管費予算!$E$4:$I$4,0))-12*ROUND(INDEX(販管費予算!$E$17:$I$17,MATCH(CE$3,販管費予算!$E$4:$I$4,0))/12,0),0)</f>
        <v>208333.0</v>
      </c>
      <c r="CF59" s="409">
        <f>ROUND(INDEX(販管費予算!$E$17:$I$17,MATCH(CF$3,販管費予算!$E$4:$I$4,0))/12,0)+IF(COUNTIF($AB$3:CF$3,CF$3)=12,INDEX(販管費予算!$E$17:$I$17,MATCH(CF$3,販管費予算!$E$4:$I$4,0))-12*ROUND(INDEX(販管費予算!$E$17:$I$17,MATCH(CF$3,販管費予算!$E$4:$I$4,0))/12,0),0)</f>
        <v>208333.0</v>
      </c>
      <c r="CG59" s="409">
        <f>ROUND(INDEX(販管費予算!$E$17:$I$17,MATCH(CG$3,販管費予算!$E$4:$I$4,0))/12,0)+IF(COUNTIF($AB$3:CG$3,CG$3)=12,INDEX(販管費予算!$E$17:$I$17,MATCH(CG$3,販管費予算!$E$4:$I$4,0))-12*ROUND(INDEX(販管費予算!$E$17:$I$17,MATCH(CG$3,販管費予算!$E$4:$I$4,0))/12,0),0)</f>
        <v>208333.0</v>
      </c>
      <c r="CH59" s="409">
        <f>ROUND(INDEX(販管費予算!$E$17:$I$17,MATCH(CH$3,販管費予算!$E$4:$I$4,0))/12,0)+IF(COUNTIF($AB$3:CH$3,CH$3)=12,INDEX(販管費予算!$E$17:$I$17,MATCH(CH$3,販管費予算!$E$4:$I$4,0))-12*ROUND(INDEX(販管費予算!$E$17:$I$17,MATCH(CH$3,販管費予算!$E$4:$I$4,0))/12,0),0)</f>
        <v>208333.0</v>
      </c>
      <c r="CI59" s="412">
        <f>ROUND(INDEX(販管費予算!$E$17:$I$17,MATCH(CI$3,販管費予算!$E$4:$I$4,0))/12,0)+IF(COUNTIF($AB$3:CI$3,CI$3)=12,INDEX(販管費予算!$E$17:$I$17,MATCH(CI$3,販管費予算!$E$4:$I$4,0))-12*ROUND(INDEX(販管費予算!$E$17:$I$17,MATCH(CI$3,販管費予算!$E$4:$I$4,0))/12,0),0)</f>
        <v>208337.0</v>
      </c>
    </row>
    <row r="60" ht="18" customHeight="1" s="145">
      <c r="A60" s="233" t="n"/>
      <c r="B60" s="233" t="n"/>
      <c r="C60" s="233" t="inlineStr">
        <is>
          <t>プロダクト</t>
        </is>
      </c>
      <c r="D60" s="234" t="n"/>
      <c r="E60" s="408">
        <f>SUMIF($AB$3:$CI$3,E$4,$AB60:$CI60)</f>
        <v>0.0</v>
      </c>
      <c r="F60" s="409">
        <f>SUMIF($AB$3:$CI$3,F$4,$AB60:$CI60)</f>
        <v>0.0</v>
      </c>
      <c r="G60" s="409">
        <f>SUMIF($AB$3:$CI$3,G$4,$AB60:$CI60)</f>
        <v>0.0</v>
      </c>
      <c r="H60" s="409">
        <f>SUMIF($AB$3:$CI$3,H$4,$AB60:$CI60)</f>
        <v>0.0</v>
      </c>
      <c r="I60" s="409">
        <f>SUMIF($AB$3:$CI$3,I$4,$AB60:$CI60)</f>
        <v>0.0</v>
      </c>
      <c r="J60" s="407">
        <f>SUM(E60:I60)</f>
        <v>0.0</v>
      </c>
      <c r="K60" s="407" t="n"/>
      <c r="L60" s="407" t="n"/>
      <c r="M60" s="407" t="n"/>
      <c r="N60" s="407" t="n"/>
      <c r="O60" s="235" t="n"/>
      <c r="P60" s="408" t="n"/>
      <c r="Q60" s="409" t="n"/>
      <c r="R60" s="409" t="n"/>
      <c r="S60" s="409" t="n"/>
      <c r="T60" s="409" t="n"/>
      <c r="U60" s="409" t="n"/>
      <c r="V60" s="409" t="n"/>
      <c r="W60" s="409" t="n"/>
      <c r="X60" s="409" t="n"/>
      <c r="Y60" s="409" t="n"/>
      <c r="Z60" s="409" t="n"/>
      <c r="AA60" s="412" t="n"/>
      <c r="AB60" s="408" t="n"/>
      <c r="AC60" s="409" t="n"/>
      <c r="AD60" s="409" t="n"/>
      <c r="AE60" s="409" t="n"/>
      <c r="AF60" s="409" t="n"/>
      <c r="AG60" s="409" t="n"/>
      <c r="AH60" s="409" t="n"/>
      <c r="AI60" s="409" t="n"/>
      <c r="AJ60" s="409" t="n"/>
      <c r="AK60" s="409" t="n"/>
      <c r="AL60" s="409" t="n"/>
      <c r="AM60" s="412" t="n"/>
      <c r="AN60" s="408" t="n"/>
      <c r="AO60" s="409" t="n"/>
      <c r="AP60" s="409" t="n"/>
      <c r="AQ60" s="409" t="n"/>
      <c r="AR60" s="409" t="n"/>
      <c r="AS60" s="409" t="n"/>
      <c r="AT60" s="409" t="n"/>
      <c r="AU60" s="409" t="n"/>
      <c r="AV60" s="409" t="n"/>
      <c r="AW60" s="409" t="n"/>
      <c r="AX60" s="409" t="n"/>
      <c r="AY60" s="412" t="n"/>
      <c r="AZ60" s="408" t="n"/>
      <c r="BA60" s="409" t="n"/>
      <c r="BB60" s="409" t="n"/>
      <c r="BC60" s="409" t="n"/>
      <c r="BD60" s="409" t="n"/>
      <c r="BE60" s="409" t="n"/>
      <c r="BF60" s="409" t="n"/>
      <c r="BG60" s="409" t="n"/>
      <c r="BH60" s="409" t="n"/>
      <c r="BI60" s="409" t="n"/>
      <c r="BJ60" s="409" t="n"/>
      <c r="BK60" s="412" t="n"/>
      <c r="BL60" s="408" t="n"/>
      <c r="BM60" s="409" t="n"/>
      <c r="BN60" s="409" t="n"/>
      <c r="BO60" s="409" t="n"/>
      <c r="BP60" s="409" t="n"/>
      <c r="BQ60" s="409" t="n"/>
      <c r="BR60" s="409" t="n"/>
      <c r="BS60" s="409" t="n"/>
      <c r="BT60" s="409" t="n"/>
      <c r="BU60" s="409" t="n"/>
      <c r="BV60" s="409" t="n"/>
      <c r="BW60" s="412" t="n"/>
      <c r="BX60" s="408" t="n"/>
      <c r="BY60" s="409" t="n"/>
      <c r="BZ60" s="409" t="n"/>
      <c r="CA60" s="409" t="n"/>
      <c r="CB60" s="409" t="n"/>
      <c r="CC60" s="409" t="n"/>
      <c r="CD60" s="409" t="n"/>
      <c r="CE60" s="409" t="n"/>
      <c r="CF60" s="409" t="n"/>
      <c r="CG60" s="409" t="n"/>
      <c r="CH60" s="409" t="n"/>
      <c r="CI60" s="412" t="n"/>
    </row>
    <row r="61" ht="18" customHeight="1" s="145">
      <c r="A61" s="233" t="n"/>
      <c r="B61" s="233" t="inlineStr">
        <is>
          <t>消耗品費</t>
        </is>
      </c>
      <c r="C61" s="233" t="inlineStr">
        <is>
          <t>全社</t>
        </is>
      </c>
      <c r="D61" s="234" t="n"/>
      <c r="E61" s="408">
        <f>SUMIF($AB$3:$CI$3,E$4,$AB61:$CI61)</f>
        <v>200000.0</v>
      </c>
      <c r="F61" s="409">
        <f>SUMIF($AB$3:$CI$3,F$4,$AB61:$CI61)</f>
        <v>400000.0</v>
      </c>
      <c r="G61" s="409">
        <f>SUMIF($AB$3:$CI$3,G$4,$AB61:$CI61)</f>
        <v>600000.0</v>
      </c>
      <c r="H61" s="409">
        <f>SUMIF($AB$3:$CI$3,H$4,$AB61:$CI61)</f>
        <v>1000000.0</v>
      </c>
      <c r="I61" s="409">
        <f>SUMIF($AB$3:$CI$3,I$4,$AB61:$CI61)</f>
        <v>2000000.0</v>
      </c>
      <c r="J61" s="407">
        <f>SUM(E61:I61)</f>
        <v>4200000.0</v>
      </c>
      <c r="K61" s="407">
        <f>SUMIF($Q$3:$CN$3,K$4,$Q61:$CN61)</f>
        <v>0.0</v>
      </c>
      <c r="L61" s="407">
        <f>SUMIF($Q$3:$CN$3,L$4,$Q61:$CN61)</f>
        <v>0.0</v>
      </c>
      <c r="M61" s="407">
        <f>SUMIF($Q$3:$CN$3,M$4,$Q61:$CN61)</f>
        <v>0.0</v>
      </c>
      <c r="N61" s="407">
        <f>SUMIF($Q$3:$CN$3,N$4,$Q61:$CN61)</f>
        <v>0.0</v>
      </c>
      <c r="O61" s="235" t="n"/>
      <c r="P61" s="408" t="n"/>
      <c r="Q61" s="409" t="n"/>
      <c r="R61" s="409" t="n"/>
      <c r="S61" s="409" t="n"/>
      <c r="T61" s="409" t="n"/>
      <c r="U61" s="409" t="n"/>
      <c r="V61" s="409" t="n"/>
      <c r="W61" s="409" t="n"/>
      <c r="X61" s="409" t="n"/>
      <c r="Y61" s="409" t="n"/>
      <c r="Z61" s="409" t="n"/>
      <c r="AA61" s="412" t="n"/>
      <c r="AB61" s="476">
        <f>ROUND(INDEX(販管費予算!$E$18:$I$18,MATCH(AB$3,販管費予算!$E$4:$I$4,0))/12,0)+IF(COUNTIF($AB$3:AB$3,AB$3)=12,INDEX(販管費予算!$E$18:$I$18,MATCH(AB$3,販管費予算!$E$4:$I$4,0))-12*ROUND(INDEX(販管費予算!$E$18:$I$18,MATCH(AB$3,販管費予算!$E$4:$I$4,0))/12,0),0)</f>
        <v>16667.0</v>
      </c>
      <c r="AC61" s="477">
        <f>ROUND(INDEX(販管費予算!$E$18:$I$18,MATCH(AC$3,販管費予算!$E$4:$I$4,0))/12,0)+IF(COUNTIF($AB$3:AC$3,AC$3)=12,INDEX(販管費予算!$E$18:$I$18,MATCH(AC$3,販管費予算!$E$4:$I$4,0))-12*ROUND(INDEX(販管費予算!$E$18:$I$18,MATCH(AC$3,販管費予算!$E$4:$I$4,0))/12,0),0)</f>
        <v>16667.0</v>
      </c>
      <c r="AD61" s="477">
        <f>ROUND(INDEX(販管費予算!$E$18:$I$18,MATCH(AD$3,販管費予算!$E$4:$I$4,0))/12,0)+IF(COUNTIF($AB$3:AD$3,AD$3)=12,INDEX(販管費予算!$E$18:$I$18,MATCH(AD$3,販管費予算!$E$4:$I$4,0))-12*ROUND(INDEX(販管費予算!$E$18:$I$18,MATCH(AD$3,販管費予算!$E$4:$I$4,0))/12,0),0)</f>
        <v>16667.0</v>
      </c>
      <c r="AE61" s="477">
        <f>ROUND(INDEX(販管費予算!$E$18:$I$18,MATCH(AE$3,販管費予算!$E$4:$I$4,0))/12,0)+IF(COUNTIF($AB$3:AE$3,AE$3)=12,INDEX(販管費予算!$E$18:$I$18,MATCH(AE$3,販管費予算!$E$4:$I$4,0))-12*ROUND(INDEX(販管費予算!$E$18:$I$18,MATCH(AE$3,販管費予算!$E$4:$I$4,0))/12,0),0)</f>
        <v>16667.0</v>
      </c>
      <c r="AF61" s="477">
        <f>ROUND(INDEX(販管費予算!$E$18:$I$18,MATCH(AF$3,販管費予算!$E$4:$I$4,0))/12,0)+IF(COUNTIF($AB$3:AF$3,AF$3)=12,INDEX(販管費予算!$E$18:$I$18,MATCH(AF$3,販管費予算!$E$4:$I$4,0))-12*ROUND(INDEX(販管費予算!$E$18:$I$18,MATCH(AF$3,販管費予算!$E$4:$I$4,0))/12,0),0)</f>
        <v>16667.0</v>
      </c>
      <c r="AG61" s="409">
        <f>ROUND(INDEX(販管費予算!$E$18:$I$18,MATCH(AG$3,販管費予算!$E$4:$I$4,0))/12,0)+IF(COUNTIF($AB$3:AG$3,AG$3)=12,INDEX(販管費予算!$E$18:$I$18,MATCH(AG$3,販管費予算!$E$4:$I$4,0))-12*ROUND(INDEX(販管費予算!$E$18:$I$18,MATCH(AG$3,販管費予算!$E$4:$I$4,0))/12,0),0)</f>
        <v>16667.0</v>
      </c>
      <c r="AH61" s="409">
        <f>ROUND(INDEX(販管費予算!$E$18:$I$18,MATCH(AH$3,販管費予算!$E$4:$I$4,0))/12,0)+IF(COUNTIF($AB$3:AH$3,AH$3)=12,INDEX(販管費予算!$E$18:$I$18,MATCH(AH$3,販管費予算!$E$4:$I$4,0))-12*ROUND(INDEX(販管費予算!$E$18:$I$18,MATCH(AH$3,販管費予算!$E$4:$I$4,0))/12,0),0)</f>
        <v>16667.0</v>
      </c>
      <c r="AI61" s="409">
        <f>ROUND(INDEX(販管費予算!$E$18:$I$18,MATCH(AI$3,販管費予算!$E$4:$I$4,0))/12,0)+IF(COUNTIF($AB$3:AI$3,AI$3)=12,INDEX(販管費予算!$E$18:$I$18,MATCH(AI$3,販管費予算!$E$4:$I$4,0))-12*ROUND(INDEX(販管費予算!$E$18:$I$18,MATCH(AI$3,販管費予算!$E$4:$I$4,0))/12,0),0)</f>
        <v>16667.0</v>
      </c>
      <c r="AJ61" s="409">
        <f>ROUND(INDEX(販管費予算!$E$18:$I$18,MATCH(AJ$3,販管費予算!$E$4:$I$4,0))/12,0)+IF(COUNTIF($AB$3:AJ$3,AJ$3)=12,INDEX(販管費予算!$E$18:$I$18,MATCH(AJ$3,販管費予算!$E$4:$I$4,0))-12*ROUND(INDEX(販管費予算!$E$18:$I$18,MATCH(AJ$3,販管費予算!$E$4:$I$4,0))/12,0),0)</f>
        <v>16667.0</v>
      </c>
      <c r="AK61" s="409">
        <f>ROUND(INDEX(販管費予算!$E$18:$I$18,MATCH(AK$3,販管費予算!$E$4:$I$4,0))/12,0)+IF(COUNTIF($AB$3:AK$3,AK$3)=12,INDEX(販管費予算!$E$18:$I$18,MATCH(AK$3,販管費予算!$E$4:$I$4,0))-12*ROUND(INDEX(販管費予算!$E$18:$I$18,MATCH(AK$3,販管費予算!$E$4:$I$4,0))/12,0),0)</f>
        <v>16667.0</v>
      </c>
      <c r="AL61" s="409">
        <f>ROUND(INDEX(販管費予算!$E$18:$I$18,MATCH(AL$3,販管費予算!$E$4:$I$4,0))/12,0)+IF(COUNTIF($AB$3:AL$3,AL$3)=12,INDEX(販管費予算!$E$18:$I$18,MATCH(AL$3,販管費予算!$E$4:$I$4,0))-12*ROUND(INDEX(販管費予算!$E$18:$I$18,MATCH(AL$3,販管費予算!$E$4:$I$4,0))/12,0),0)</f>
        <v>16667.0</v>
      </c>
      <c r="AM61" s="412">
        <f>ROUND(INDEX(販管費予算!$E$18:$I$18,MATCH(AM$3,販管費予算!$E$4:$I$4,0))/12,0)+IF(COUNTIF($AB$3:AM$3,AM$3)=12,INDEX(販管費予算!$E$18:$I$18,MATCH(AM$3,販管費予算!$E$4:$I$4,0))-12*ROUND(INDEX(販管費予算!$E$18:$I$18,MATCH(AM$3,販管費予算!$E$4:$I$4,0))/12,0),0)</f>
        <v>16663.0</v>
      </c>
      <c r="AN61" s="408">
        <f>ROUND(INDEX(販管費予算!$E$18:$I$18,MATCH(AN$3,販管費予算!$E$4:$I$4,0))/12,0)+IF(COUNTIF($AB$3:AN$3,AN$3)=12,INDEX(販管費予算!$E$18:$I$18,MATCH(AN$3,販管費予算!$E$4:$I$4,0))-12*ROUND(INDEX(販管費予算!$E$18:$I$18,MATCH(AN$3,販管費予算!$E$4:$I$4,0))/12,0),0)</f>
        <v>33333.0</v>
      </c>
      <c r="AO61" s="409">
        <f>ROUND(INDEX(販管費予算!$E$18:$I$18,MATCH(AO$3,販管費予算!$E$4:$I$4,0))/12,0)+IF(COUNTIF($AB$3:AO$3,AO$3)=12,INDEX(販管費予算!$E$18:$I$18,MATCH(AO$3,販管費予算!$E$4:$I$4,0))-12*ROUND(INDEX(販管費予算!$E$18:$I$18,MATCH(AO$3,販管費予算!$E$4:$I$4,0))/12,0),0)</f>
        <v>33333.0</v>
      </c>
      <c r="AP61" s="409">
        <f>ROUND(INDEX(販管費予算!$E$18:$I$18,MATCH(AP$3,販管費予算!$E$4:$I$4,0))/12,0)+IF(COUNTIF($AB$3:AP$3,AP$3)=12,INDEX(販管費予算!$E$18:$I$18,MATCH(AP$3,販管費予算!$E$4:$I$4,0))-12*ROUND(INDEX(販管費予算!$E$18:$I$18,MATCH(AP$3,販管費予算!$E$4:$I$4,0))/12,0),0)</f>
        <v>33333.0</v>
      </c>
      <c r="AQ61" s="409">
        <f>ROUND(INDEX(販管費予算!$E$18:$I$18,MATCH(AQ$3,販管費予算!$E$4:$I$4,0))/12,0)+IF(COUNTIF($AB$3:AQ$3,AQ$3)=12,INDEX(販管費予算!$E$18:$I$18,MATCH(AQ$3,販管費予算!$E$4:$I$4,0))-12*ROUND(INDEX(販管費予算!$E$18:$I$18,MATCH(AQ$3,販管費予算!$E$4:$I$4,0))/12,0),0)</f>
        <v>33333.0</v>
      </c>
      <c r="AR61" s="409">
        <f>ROUND(INDEX(販管費予算!$E$18:$I$18,MATCH(AR$3,販管費予算!$E$4:$I$4,0))/12,0)+IF(COUNTIF($AB$3:AR$3,AR$3)=12,INDEX(販管費予算!$E$18:$I$18,MATCH(AR$3,販管費予算!$E$4:$I$4,0))-12*ROUND(INDEX(販管費予算!$E$18:$I$18,MATCH(AR$3,販管費予算!$E$4:$I$4,0))/12,0),0)</f>
        <v>33333.0</v>
      </c>
      <c r="AS61" s="409">
        <f>ROUND(INDEX(販管費予算!$E$18:$I$18,MATCH(AS$3,販管費予算!$E$4:$I$4,0))/12,0)+IF(COUNTIF($AB$3:AS$3,AS$3)=12,INDEX(販管費予算!$E$18:$I$18,MATCH(AS$3,販管費予算!$E$4:$I$4,0))-12*ROUND(INDEX(販管費予算!$E$18:$I$18,MATCH(AS$3,販管費予算!$E$4:$I$4,0))/12,0),0)</f>
        <v>33333.0</v>
      </c>
      <c r="AT61" s="409">
        <f>ROUND(INDEX(販管費予算!$E$18:$I$18,MATCH(AT$3,販管費予算!$E$4:$I$4,0))/12,0)+IF(COUNTIF($AB$3:AT$3,AT$3)=12,INDEX(販管費予算!$E$18:$I$18,MATCH(AT$3,販管費予算!$E$4:$I$4,0))-12*ROUND(INDEX(販管費予算!$E$18:$I$18,MATCH(AT$3,販管費予算!$E$4:$I$4,0))/12,0),0)</f>
        <v>33333.0</v>
      </c>
      <c r="AU61" s="409">
        <f>ROUND(INDEX(販管費予算!$E$18:$I$18,MATCH(AU$3,販管費予算!$E$4:$I$4,0))/12,0)+IF(COUNTIF($AB$3:AU$3,AU$3)=12,INDEX(販管費予算!$E$18:$I$18,MATCH(AU$3,販管費予算!$E$4:$I$4,0))-12*ROUND(INDEX(販管費予算!$E$18:$I$18,MATCH(AU$3,販管費予算!$E$4:$I$4,0))/12,0),0)</f>
        <v>33333.0</v>
      </c>
      <c r="AV61" s="409">
        <f>ROUND(INDEX(販管費予算!$E$18:$I$18,MATCH(AV$3,販管費予算!$E$4:$I$4,0))/12,0)+IF(COUNTIF($AB$3:AV$3,AV$3)=12,INDEX(販管費予算!$E$18:$I$18,MATCH(AV$3,販管費予算!$E$4:$I$4,0))-12*ROUND(INDEX(販管費予算!$E$18:$I$18,MATCH(AV$3,販管費予算!$E$4:$I$4,0))/12,0),0)</f>
        <v>33333.0</v>
      </c>
      <c r="AW61" s="409">
        <f>ROUND(INDEX(販管費予算!$E$18:$I$18,MATCH(AW$3,販管費予算!$E$4:$I$4,0))/12,0)+IF(COUNTIF($AB$3:AW$3,AW$3)=12,INDEX(販管費予算!$E$18:$I$18,MATCH(AW$3,販管費予算!$E$4:$I$4,0))-12*ROUND(INDEX(販管費予算!$E$18:$I$18,MATCH(AW$3,販管費予算!$E$4:$I$4,0))/12,0),0)</f>
        <v>33333.0</v>
      </c>
      <c r="AX61" s="409">
        <f>ROUND(INDEX(販管費予算!$E$18:$I$18,MATCH(AX$3,販管費予算!$E$4:$I$4,0))/12,0)+IF(COUNTIF($AB$3:AX$3,AX$3)=12,INDEX(販管費予算!$E$18:$I$18,MATCH(AX$3,販管費予算!$E$4:$I$4,0))-12*ROUND(INDEX(販管費予算!$E$18:$I$18,MATCH(AX$3,販管費予算!$E$4:$I$4,0))/12,0),0)</f>
        <v>33333.0</v>
      </c>
      <c r="AY61" s="412">
        <f>ROUND(INDEX(販管費予算!$E$18:$I$18,MATCH(AY$3,販管費予算!$E$4:$I$4,0))/12,0)+IF(COUNTIF($AB$3:AY$3,AY$3)=12,INDEX(販管費予算!$E$18:$I$18,MATCH(AY$3,販管費予算!$E$4:$I$4,0))-12*ROUND(INDEX(販管費予算!$E$18:$I$18,MATCH(AY$3,販管費予算!$E$4:$I$4,0))/12,0),0)</f>
        <v>33337.0</v>
      </c>
      <c r="AZ61" s="408">
        <f>ROUND(INDEX(販管費予算!$E$18:$I$18,MATCH(AZ$3,販管費予算!$E$4:$I$4,0))/12,0)+IF(COUNTIF($AB$3:AZ$3,AZ$3)=12,INDEX(販管費予算!$E$18:$I$18,MATCH(AZ$3,販管費予算!$E$4:$I$4,0))-12*ROUND(INDEX(販管費予算!$E$18:$I$18,MATCH(AZ$3,販管費予算!$E$4:$I$4,0))/12,0),0)</f>
        <v>50000.0</v>
      </c>
      <c r="BA61" s="409">
        <f>ROUND(INDEX(販管費予算!$E$18:$I$18,MATCH(BA$3,販管費予算!$E$4:$I$4,0))/12,0)+IF(COUNTIF($AB$3:BA$3,BA$3)=12,INDEX(販管費予算!$E$18:$I$18,MATCH(BA$3,販管費予算!$E$4:$I$4,0))-12*ROUND(INDEX(販管費予算!$E$18:$I$18,MATCH(BA$3,販管費予算!$E$4:$I$4,0))/12,0),0)</f>
        <v>50000.0</v>
      </c>
      <c r="BB61" s="409">
        <f>ROUND(INDEX(販管費予算!$E$18:$I$18,MATCH(BB$3,販管費予算!$E$4:$I$4,0))/12,0)+IF(COUNTIF($AB$3:BB$3,BB$3)=12,INDEX(販管費予算!$E$18:$I$18,MATCH(BB$3,販管費予算!$E$4:$I$4,0))-12*ROUND(INDEX(販管費予算!$E$18:$I$18,MATCH(BB$3,販管費予算!$E$4:$I$4,0))/12,0),0)</f>
        <v>50000.0</v>
      </c>
      <c r="BC61" s="409">
        <f>ROUND(INDEX(販管費予算!$E$18:$I$18,MATCH(BC$3,販管費予算!$E$4:$I$4,0))/12,0)+IF(COUNTIF($AB$3:BC$3,BC$3)=12,INDEX(販管費予算!$E$18:$I$18,MATCH(BC$3,販管費予算!$E$4:$I$4,0))-12*ROUND(INDEX(販管費予算!$E$18:$I$18,MATCH(BC$3,販管費予算!$E$4:$I$4,0))/12,0),0)</f>
        <v>50000.0</v>
      </c>
      <c r="BD61" s="409">
        <f>ROUND(INDEX(販管費予算!$E$18:$I$18,MATCH(BD$3,販管費予算!$E$4:$I$4,0))/12,0)+IF(COUNTIF($AB$3:BD$3,BD$3)=12,INDEX(販管費予算!$E$18:$I$18,MATCH(BD$3,販管費予算!$E$4:$I$4,0))-12*ROUND(INDEX(販管費予算!$E$18:$I$18,MATCH(BD$3,販管費予算!$E$4:$I$4,0))/12,0),0)</f>
        <v>50000.0</v>
      </c>
      <c r="BE61" s="409">
        <f>ROUND(INDEX(販管費予算!$E$18:$I$18,MATCH(BE$3,販管費予算!$E$4:$I$4,0))/12,0)+IF(COUNTIF($AB$3:BE$3,BE$3)=12,INDEX(販管費予算!$E$18:$I$18,MATCH(BE$3,販管費予算!$E$4:$I$4,0))-12*ROUND(INDEX(販管費予算!$E$18:$I$18,MATCH(BE$3,販管費予算!$E$4:$I$4,0))/12,0),0)</f>
        <v>50000.0</v>
      </c>
      <c r="BF61" s="409">
        <f>ROUND(INDEX(販管費予算!$E$18:$I$18,MATCH(BF$3,販管費予算!$E$4:$I$4,0))/12,0)+IF(COUNTIF($AB$3:BF$3,BF$3)=12,INDEX(販管費予算!$E$18:$I$18,MATCH(BF$3,販管費予算!$E$4:$I$4,0))-12*ROUND(INDEX(販管費予算!$E$18:$I$18,MATCH(BF$3,販管費予算!$E$4:$I$4,0))/12,0),0)</f>
        <v>50000.0</v>
      </c>
      <c r="BG61" s="409">
        <f>ROUND(INDEX(販管費予算!$E$18:$I$18,MATCH(BG$3,販管費予算!$E$4:$I$4,0))/12,0)+IF(COUNTIF($AB$3:BG$3,BG$3)=12,INDEX(販管費予算!$E$18:$I$18,MATCH(BG$3,販管費予算!$E$4:$I$4,0))-12*ROUND(INDEX(販管費予算!$E$18:$I$18,MATCH(BG$3,販管費予算!$E$4:$I$4,0))/12,0),0)</f>
        <v>50000.0</v>
      </c>
      <c r="BH61" s="409">
        <f>ROUND(INDEX(販管費予算!$E$18:$I$18,MATCH(BH$3,販管費予算!$E$4:$I$4,0))/12,0)+IF(COUNTIF($AB$3:BH$3,BH$3)=12,INDEX(販管費予算!$E$18:$I$18,MATCH(BH$3,販管費予算!$E$4:$I$4,0))-12*ROUND(INDEX(販管費予算!$E$18:$I$18,MATCH(BH$3,販管費予算!$E$4:$I$4,0))/12,0),0)</f>
        <v>50000.0</v>
      </c>
      <c r="BI61" s="409">
        <f>ROUND(INDEX(販管費予算!$E$18:$I$18,MATCH(BI$3,販管費予算!$E$4:$I$4,0))/12,0)+IF(COUNTIF($AB$3:BI$3,BI$3)=12,INDEX(販管費予算!$E$18:$I$18,MATCH(BI$3,販管費予算!$E$4:$I$4,0))-12*ROUND(INDEX(販管費予算!$E$18:$I$18,MATCH(BI$3,販管費予算!$E$4:$I$4,0))/12,0),0)</f>
        <v>50000.0</v>
      </c>
      <c r="BJ61" s="409">
        <f>ROUND(INDEX(販管費予算!$E$18:$I$18,MATCH(BJ$3,販管費予算!$E$4:$I$4,0))/12,0)+IF(COUNTIF($AB$3:BJ$3,BJ$3)=12,INDEX(販管費予算!$E$18:$I$18,MATCH(BJ$3,販管費予算!$E$4:$I$4,0))-12*ROUND(INDEX(販管費予算!$E$18:$I$18,MATCH(BJ$3,販管費予算!$E$4:$I$4,0))/12,0),0)</f>
        <v>50000.0</v>
      </c>
      <c r="BK61" s="412">
        <f>ROUND(INDEX(販管費予算!$E$18:$I$18,MATCH(BK$3,販管費予算!$E$4:$I$4,0))/12,0)+IF(COUNTIF($AB$3:BK$3,BK$3)=12,INDEX(販管費予算!$E$18:$I$18,MATCH(BK$3,販管費予算!$E$4:$I$4,0))-12*ROUND(INDEX(販管費予算!$E$18:$I$18,MATCH(BK$3,販管費予算!$E$4:$I$4,0))/12,0),0)</f>
        <v>50000.0</v>
      </c>
      <c r="BL61" s="408">
        <f>ROUND(INDEX(販管費予算!$E$18:$I$18,MATCH(BL$3,販管費予算!$E$4:$I$4,0))/12,0)+IF(COUNTIF($AB$3:BL$3,BL$3)=12,INDEX(販管費予算!$E$18:$I$18,MATCH(BL$3,販管費予算!$E$4:$I$4,0))-12*ROUND(INDEX(販管費予算!$E$18:$I$18,MATCH(BL$3,販管費予算!$E$4:$I$4,0))/12,0),0)</f>
        <v>83333.0</v>
      </c>
      <c r="BM61" s="409">
        <f>ROUND(INDEX(販管費予算!$E$18:$I$18,MATCH(BM$3,販管費予算!$E$4:$I$4,0))/12,0)+IF(COUNTIF($AB$3:BM$3,BM$3)=12,INDEX(販管費予算!$E$18:$I$18,MATCH(BM$3,販管費予算!$E$4:$I$4,0))-12*ROUND(INDEX(販管費予算!$E$18:$I$18,MATCH(BM$3,販管費予算!$E$4:$I$4,0))/12,0),0)</f>
        <v>83333.0</v>
      </c>
      <c r="BN61" s="409">
        <f>ROUND(INDEX(販管費予算!$E$18:$I$18,MATCH(BN$3,販管費予算!$E$4:$I$4,0))/12,0)+IF(COUNTIF($AB$3:BN$3,BN$3)=12,INDEX(販管費予算!$E$18:$I$18,MATCH(BN$3,販管費予算!$E$4:$I$4,0))-12*ROUND(INDEX(販管費予算!$E$18:$I$18,MATCH(BN$3,販管費予算!$E$4:$I$4,0))/12,0),0)</f>
        <v>83333.0</v>
      </c>
      <c r="BO61" s="409">
        <f>ROUND(INDEX(販管費予算!$E$18:$I$18,MATCH(BO$3,販管費予算!$E$4:$I$4,0))/12,0)+IF(COUNTIF($AB$3:BO$3,BO$3)=12,INDEX(販管費予算!$E$18:$I$18,MATCH(BO$3,販管費予算!$E$4:$I$4,0))-12*ROUND(INDEX(販管費予算!$E$18:$I$18,MATCH(BO$3,販管費予算!$E$4:$I$4,0))/12,0),0)</f>
        <v>83333.0</v>
      </c>
      <c r="BP61" s="409">
        <f>ROUND(INDEX(販管費予算!$E$18:$I$18,MATCH(BP$3,販管費予算!$E$4:$I$4,0))/12,0)+IF(COUNTIF($AB$3:BP$3,BP$3)=12,INDEX(販管費予算!$E$18:$I$18,MATCH(BP$3,販管費予算!$E$4:$I$4,0))-12*ROUND(INDEX(販管費予算!$E$18:$I$18,MATCH(BP$3,販管費予算!$E$4:$I$4,0))/12,0),0)</f>
        <v>83333.0</v>
      </c>
      <c r="BQ61" s="409">
        <f>ROUND(INDEX(販管費予算!$E$18:$I$18,MATCH(BQ$3,販管費予算!$E$4:$I$4,0))/12,0)+IF(COUNTIF($AB$3:BQ$3,BQ$3)=12,INDEX(販管費予算!$E$18:$I$18,MATCH(BQ$3,販管費予算!$E$4:$I$4,0))-12*ROUND(INDEX(販管費予算!$E$18:$I$18,MATCH(BQ$3,販管費予算!$E$4:$I$4,0))/12,0),0)</f>
        <v>83333.0</v>
      </c>
      <c r="BR61" s="409">
        <f>ROUND(INDEX(販管費予算!$E$18:$I$18,MATCH(BR$3,販管費予算!$E$4:$I$4,0))/12,0)+IF(COUNTIF($AB$3:BR$3,BR$3)=12,INDEX(販管費予算!$E$18:$I$18,MATCH(BR$3,販管費予算!$E$4:$I$4,0))-12*ROUND(INDEX(販管費予算!$E$18:$I$18,MATCH(BR$3,販管費予算!$E$4:$I$4,0))/12,0),0)</f>
        <v>83333.0</v>
      </c>
      <c r="BS61" s="409">
        <f>ROUND(INDEX(販管費予算!$E$18:$I$18,MATCH(BS$3,販管費予算!$E$4:$I$4,0))/12,0)+IF(COUNTIF($AB$3:BS$3,BS$3)=12,INDEX(販管費予算!$E$18:$I$18,MATCH(BS$3,販管費予算!$E$4:$I$4,0))-12*ROUND(INDEX(販管費予算!$E$18:$I$18,MATCH(BS$3,販管費予算!$E$4:$I$4,0))/12,0),0)</f>
        <v>83333.0</v>
      </c>
      <c r="BT61" s="409">
        <f>ROUND(INDEX(販管費予算!$E$18:$I$18,MATCH(BT$3,販管費予算!$E$4:$I$4,0))/12,0)+IF(COUNTIF($AB$3:BT$3,BT$3)=12,INDEX(販管費予算!$E$18:$I$18,MATCH(BT$3,販管費予算!$E$4:$I$4,0))-12*ROUND(INDEX(販管費予算!$E$18:$I$18,MATCH(BT$3,販管費予算!$E$4:$I$4,0))/12,0),0)</f>
        <v>83333.0</v>
      </c>
      <c r="BU61" s="409">
        <f>ROUND(INDEX(販管費予算!$E$18:$I$18,MATCH(BU$3,販管費予算!$E$4:$I$4,0))/12,0)+IF(COUNTIF($AB$3:BU$3,BU$3)=12,INDEX(販管費予算!$E$18:$I$18,MATCH(BU$3,販管費予算!$E$4:$I$4,0))-12*ROUND(INDEX(販管費予算!$E$18:$I$18,MATCH(BU$3,販管費予算!$E$4:$I$4,0))/12,0),0)</f>
        <v>83333.0</v>
      </c>
      <c r="BV61" s="409">
        <f>ROUND(INDEX(販管費予算!$E$18:$I$18,MATCH(BV$3,販管費予算!$E$4:$I$4,0))/12,0)+IF(COUNTIF($AB$3:BV$3,BV$3)=12,INDEX(販管費予算!$E$18:$I$18,MATCH(BV$3,販管費予算!$E$4:$I$4,0))-12*ROUND(INDEX(販管費予算!$E$18:$I$18,MATCH(BV$3,販管費予算!$E$4:$I$4,0))/12,0),0)</f>
        <v>83333.0</v>
      </c>
      <c r="BW61" s="412">
        <f>ROUND(INDEX(販管費予算!$E$18:$I$18,MATCH(BW$3,販管費予算!$E$4:$I$4,0))/12,0)+IF(COUNTIF($AB$3:BW$3,BW$3)=12,INDEX(販管費予算!$E$18:$I$18,MATCH(BW$3,販管費予算!$E$4:$I$4,0))-12*ROUND(INDEX(販管費予算!$E$18:$I$18,MATCH(BW$3,販管費予算!$E$4:$I$4,0))/12,0),0)</f>
        <v>83337.0</v>
      </c>
      <c r="BX61" s="408">
        <f>ROUND(INDEX(販管費予算!$E$18:$I$18,MATCH(BX$3,販管費予算!$E$4:$I$4,0))/12,0)+IF(COUNTIF($AB$3:BX$3,BX$3)=12,INDEX(販管費予算!$E$18:$I$18,MATCH(BX$3,販管費予算!$E$4:$I$4,0))-12*ROUND(INDEX(販管費予算!$E$18:$I$18,MATCH(BX$3,販管費予算!$E$4:$I$4,0))/12,0),0)</f>
        <v>166667.0</v>
      </c>
      <c r="BY61" s="409">
        <f>ROUND(INDEX(販管費予算!$E$18:$I$18,MATCH(BY$3,販管費予算!$E$4:$I$4,0))/12,0)+IF(COUNTIF($AB$3:BY$3,BY$3)=12,INDEX(販管費予算!$E$18:$I$18,MATCH(BY$3,販管費予算!$E$4:$I$4,0))-12*ROUND(INDEX(販管費予算!$E$18:$I$18,MATCH(BY$3,販管費予算!$E$4:$I$4,0))/12,0),0)</f>
        <v>166667.0</v>
      </c>
      <c r="BZ61" s="409">
        <f>ROUND(INDEX(販管費予算!$E$18:$I$18,MATCH(BZ$3,販管費予算!$E$4:$I$4,0))/12,0)+IF(COUNTIF($AB$3:BZ$3,BZ$3)=12,INDEX(販管費予算!$E$18:$I$18,MATCH(BZ$3,販管費予算!$E$4:$I$4,0))-12*ROUND(INDEX(販管費予算!$E$18:$I$18,MATCH(BZ$3,販管費予算!$E$4:$I$4,0))/12,0),0)</f>
        <v>166667.0</v>
      </c>
      <c r="CA61" s="409">
        <f>ROUND(INDEX(販管費予算!$E$18:$I$18,MATCH(CA$3,販管費予算!$E$4:$I$4,0))/12,0)+IF(COUNTIF($AB$3:CA$3,CA$3)=12,INDEX(販管費予算!$E$18:$I$18,MATCH(CA$3,販管費予算!$E$4:$I$4,0))-12*ROUND(INDEX(販管費予算!$E$18:$I$18,MATCH(CA$3,販管費予算!$E$4:$I$4,0))/12,0),0)</f>
        <v>166667.0</v>
      </c>
      <c r="CB61" s="409">
        <f>ROUND(INDEX(販管費予算!$E$18:$I$18,MATCH(CB$3,販管費予算!$E$4:$I$4,0))/12,0)+IF(COUNTIF($AB$3:CB$3,CB$3)=12,INDEX(販管費予算!$E$18:$I$18,MATCH(CB$3,販管費予算!$E$4:$I$4,0))-12*ROUND(INDEX(販管費予算!$E$18:$I$18,MATCH(CB$3,販管費予算!$E$4:$I$4,0))/12,0),0)</f>
        <v>166667.0</v>
      </c>
      <c r="CC61" s="409">
        <f>ROUND(INDEX(販管費予算!$E$18:$I$18,MATCH(CC$3,販管費予算!$E$4:$I$4,0))/12,0)+IF(COUNTIF($AB$3:CC$3,CC$3)=12,INDEX(販管費予算!$E$18:$I$18,MATCH(CC$3,販管費予算!$E$4:$I$4,0))-12*ROUND(INDEX(販管費予算!$E$18:$I$18,MATCH(CC$3,販管費予算!$E$4:$I$4,0))/12,0),0)</f>
        <v>166667.0</v>
      </c>
      <c r="CD61" s="409">
        <f>ROUND(INDEX(販管費予算!$E$18:$I$18,MATCH(CD$3,販管費予算!$E$4:$I$4,0))/12,0)+IF(COUNTIF($AB$3:CD$3,CD$3)=12,INDEX(販管費予算!$E$18:$I$18,MATCH(CD$3,販管費予算!$E$4:$I$4,0))-12*ROUND(INDEX(販管費予算!$E$18:$I$18,MATCH(CD$3,販管費予算!$E$4:$I$4,0))/12,0),0)</f>
        <v>166667.0</v>
      </c>
      <c r="CE61" s="409">
        <f>ROUND(INDEX(販管費予算!$E$18:$I$18,MATCH(CE$3,販管費予算!$E$4:$I$4,0))/12,0)+IF(COUNTIF($AB$3:CE$3,CE$3)=12,INDEX(販管費予算!$E$18:$I$18,MATCH(CE$3,販管費予算!$E$4:$I$4,0))-12*ROUND(INDEX(販管費予算!$E$18:$I$18,MATCH(CE$3,販管費予算!$E$4:$I$4,0))/12,0),0)</f>
        <v>166667.0</v>
      </c>
      <c r="CF61" s="409">
        <f>ROUND(INDEX(販管費予算!$E$18:$I$18,MATCH(CF$3,販管費予算!$E$4:$I$4,0))/12,0)+IF(COUNTIF($AB$3:CF$3,CF$3)=12,INDEX(販管費予算!$E$18:$I$18,MATCH(CF$3,販管費予算!$E$4:$I$4,0))-12*ROUND(INDEX(販管費予算!$E$18:$I$18,MATCH(CF$3,販管費予算!$E$4:$I$4,0))/12,0),0)</f>
        <v>166667.0</v>
      </c>
      <c r="CG61" s="409">
        <f>ROUND(INDEX(販管費予算!$E$18:$I$18,MATCH(CG$3,販管費予算!$E$4:$I$4,0))/12,0)+IF(COUNTIF($AB$3:CG$3,CG$3)=12,INDEX(販管費予算!$E$18:$I$18,MATCH(CG$3,販管費予算!$E$4:$I$4,0))-12*ROUND(INDEX(販管費予算!$E$18:$I$18,MATCH(CG$3,販管費予算!$E$4:$I$4,0))/12,0),0)</f>
        <v>166667.0</v>
      </c>
      <c r="CH61" s="409">
        <f>ROUND(INDEX(販管費予算!$E$18:$I$18,MATCH(CH$3,販管費予算!$E$4:$I$4,0))/12,0)+IF(COUNTIF($AB$3:CH$3,CH$3)=12,INDEX(販管費予算!$E$18:$I$18,MATCH(CH$3,販管費予算!$E$4:$I$4,0))-12*ROUND(INDEX(販管費予算!$E$18:$I$18,MATCH(CH$3,販管費予算!$E$4:$I$4,0))/12,0),0)</f>
        <v>166667.0</v>
      </c>
      <c r="CI61" s="412">
        <f>ROUND(INDEX(販管費予算!$E$18:$I$18,MATCH(CI$3,販管費予算!$E$4:$I$4,0))/12,0)+IF(COUNTIF($AB$3:CI$3,CI$3)=12,INDEX(販管費予算!$E$18:$I$18,MATCH(CI$3,販管費予算!$E$4:$I$4,0))-12*ROUND(INDEX(販管費予算!$E$18:$I$18,MATCH(CI$3,販管費予算!$E$4:$I$4,0))/12,0),0)</f>
        <v>166663.0</v>
      </c>
    </row>
    <row r="62" ht="18" customHeight="1" s="145">
      <c r="A62" s="233" t="n"/>
      <c r="B62" s="233" t="inlineStr">
        <is>
          <t>水道光熱費</t>
        </is>
      </c>
      <c r="C62" s="233" t="inlineStr">
        <is>
          <t>全社</t>
        </is>
      </c>
      <c r="D62" s="234" t="n"/>
      <c r="E62" s="408">
        <f>SUMIF($AB$3:$CI$3,E$4,$AB62:$CI62)</f>
        <v>300000.0</v>
      </c>
      <c r="F62" s="409">
        <f>SUMIF($AB$3:$CI$3,F$4,$AB62:$CI62)</f>
        <v>500000.0</v>
      </c>
      <c r="G62" s="409">
        <f>SUMIF($AB$3:$CI$3,G$4,$AB62:$CI62)</f>
        <v>800000.0</v>
      </c>
      <c r="H62" s="409">
        <f>SUMIF($AB$3:$CI$3,H$4,$AB62:$CI62)</f>
        <v>1200000.0</v>
      </c>
      <c r="I62" s="409">
        <f>SUMIF($AB$3:$CI$3,I$4,$AB62:$CI62)</f>
        <v>2000000.0</v>
      </c>
      <c r="J62" s="407">
        <f>SUM(E62:I62)</f>
        <v>4800000.0</v>
      </c>
      <c r="K62" s="407">
        <f>SUMIF($Q$3:$CN$3,K$4,$Q62:$CN62)</f>
        <v>0.0</v>
      </c>
      <c r="L62" s="407">
        <f>SUMIF($Q$3:$CN$3,L$4,$Q62:$CN62)</f>
        <v>0.0</v>
      </c>
      <c r="M62" s="407">
        <f>SUMIF($Q$3:$CN$3,M$4,$Q62:$CN62)</f>
        <v>0.0</v>
      </c>
      <c r="N62" s="407">
        <f>SUMIF($Q$3:$CN$3,N$4,$Q62:$CN62)</f>
        <v>0.0</v>
      </c>
      <c r="O62" s="235" t="n"/>
      <c r="P62" s="408" t="n"/>
      <c r="Q62" s="409" t="n"/>
      <c r="R62" s="409" t="n"/>
      <c r="S62" s="409" t="n"/>
      <c r="T62" s="409" t="n"/>
      <c r="U62" s="409" t="n"/>
      <c r="V62" s="409" t="n"/>
      <c r="W62" s="409" t="n"/>
      <c r="X62" s="409" t="n"/>
      <c r="Y62" s="409" t="n"/>
      <c r="Z62" s="409" t="n"/>
      <c r="AA62" s="412" t="n"/>
      <c r="AB62" s="476">
        <f>ROUND(INDEX(販管費予算!$E$19:$I$19,MATCH(AB$3,販管費予算!$E$4:$I$4,0))/12,0)+IF(COUNTIF($AB$3:AB$3,AB$3)=12,INDEX(販管費予算!$E$19:$I$19,MATCH(AB$3,販管費予算!$E$4:$I$4,0))-12*ROUND(INDEX(販管費予算!$E$19:$I$19,MATCH(AB$3,販管費予算!$E$4:$I$4,0))/12,0),0)</f>
        <v>25000.0</v>
      </c>
      <c r="AC62" s="477">
        <f>ROUND(INDEX(販管費予算!$E$19:$I$19,MATCH(AC$3,販管費予算!$E$4:$I$4,0))/12,0)+IF(COUNTIF($AB$3:AC$3,AC$3)=12,INDEX(販管費予算!$E$19:$I$19,MATCH(AC$3,販管費予算!$E$4:$I$4,0))-12*ROUND(INDEX(販管費予算!$E$19:$I$19,MATCH(AC$3,販管費予算!$E$4:$I$4,0))/12,0),0)</f>
        <v>25000.0</v>
      </c>
      <c r="AD62" s="477">
        <f>ROUND(INDEX(販管費予算!$E$19:$I$19,MATCH(AD$3,販管費予算!$E$4:$I$4,0))/12,0)+IF(COUNTIF($AB$3:AD$3,AD$3)=12,INDEX(販管費予算!$E$19:$I$19,MATCH(AD$3,販管費予算!$E$4:$I$4,0))-12*ROUND(INDEX(販管費予算!$E$19:$I$19,MATCH(AD$3,販管費予算!$E$4:$I$4,0))/12,0),0)</f>
        <v>25000.0</v>
      </c>
      <c r="AE62" s="477">
        <f>ROUND(INDEX(販管費予算!$E$19:$I$19,MATCH(AE$3,販管費予算!$E$4:$I$4,0))/12,0)+IF(COUNTIF($AB$3:AE$3,AE$3)=12,INDEX(販管費予算!$E$19:$I$19,MATCH(AE$3,販管費予算!$E$4:$I$4,0))-12*ROUND(INDEX(販管費予算!$E$19:$I$19,MATCH(AE$3,販管費予算!$E$4:$I$4,0))/12,0),0)</f>
        <v>25000.0</v>
      </c>
      <c r="AF62" s="477">
        <f>ROUND(INDEX(販管費予算!$E$19:$I$19,MATCH(AF$3,販管費予算!$E$4:$I$4,0))/12,0)+IF(COUNTIF($AB$3:AF$3,AF$3)=12,INDEX(販管費予算!$E$19:$I$19,MATCH(AF$3,販管費予算!$E$4:$I$4,0))-12*ROUND(INDEX(販管費予算!$E$19:$I$19,MATCH(AF$3,販管費予算!$E$4:$I$4,0))/12,0),0)</f>
        <v>25000.0</v>
      </c>
      <c r="AG62" s="409">
        <f>ROUND(INDEX(販管費予算!$E$19:$I$19,MATCH(AG$3,販管費予算!$E$4:$I$4,0))/12,0)+IF(COUNTIF($AB$3:AG$3,AG$3)=12,INDEX(販管費予算!$E$19:$I$19,MATCH(AG$3,販管費予算!$E$4:$I$4,0))-12*ROUND(INDEX(販管費予算!$E$19:$I$19,MATCH(AG$3,販管費予算!$E$4:$I$4,0))/12,0),0)</f>
        <v>25000.0</v>
      </c>
      <c r="AH62" s="409">
        <f>ROUND(INDEX(販管費予算!$E$19:$I$19,MATCH(AH$3,販管費予算!$E$4:$I$4,0))/12,0)+IF(COUNTIF($AB$3:AH$3,AH$3)=12,INDEX(販管費予算!$E$19:$I$19,MATCH(AH$3,販管費予算!$E$4:$I$4,0))-12*ROUND(INDEX(販管費予算!$E$19:$I$19,MATCH(AH$3,販管費予算!$E$4:$I$4,0))/12,0),0)</f>
        <v>25000.0</v>
      </c>
      <c r="AI62" s="409">
        <f>ROUND(INDEX(販管費予算!$E$19:$I$19,MATCH(AI$3,販管費予算!$E$4:$I$4,0))/12,0)+IF(COUNTIF($AB$3:AI$3,AI$3)=12,INDEX(販管費予算!$E$19:$I$19,MATCH(AI$3,販管費予算!$E$4:$I$4,0))-12*ROUND(INDEX(販管費予算!$E$19:$I$19,MATCH(AI$3,販管費予算!$E$4:$I$4,0))/12,0),0)</f>
        <v>25000.0</v>
      </c>
      <c r="AJ62" s="409">
        <f>ROUND(INDEX(販管費予算!$E$19:$I$19,MATCH(AJ$3,販管費予算!$E$4:$I$4,0))/12,0)+IF(COUNTIF($AB$3:AJ$3,AJ$3)=12,INDEX(販管費予算!$E$19:$I$19,MATCH(AJ$3,販管費予算!$E$4:$I$4,0))-12*ROUND(INDEX(販管費予算!$E$19:$I$19,MATCH(AJ$3,販管費予算!$E$4:$I$4,0))/12,0),0)</f>
        <v>25000.0</v>
      </c>
      <c r="AK62" s="409">
        <f>ROUND(INDEX(販管費予算!$E$19:$I$19,MATCH(AK$3,販管費予算!$E$4:$I$4,0))/12,0)+IF(COUNTIF($AB$3:AK$3,AK$3)=12,INDEX(販管費予算!$E$19:$I$19,MATCH(AK$3,販管費予算!$E$4:$I$4,0))-12*ROUND(INDEX(販管費予算!$E$19:$I$19,MATCH(AK$3,販管費予算!$E$4:$I$4,0))/12,0),0)</f>
        <v>25000.0</v>
      </c>
      <c r="AL62" s="409">
        <f>ROUND(INDEX(販管費予算!$E$19:$I$19,MATCH(AL$3,販管費予算!$E$4:$I$4,0))/12,0)+IF(COUNTIF($AB$3:AL$3,AL$3)=12,INDEX(販管費予算!$E$19:$I$19,MATCH(AL$3,販管費予算!$E$4:$I$4,0))-12*ROUND(INDEX(販管費予算!$E$19:$I$19,MATCH(AL$3,販管費予算!$E$4:$I$4,0))/12,0),0)</f>
        <v>25000.0</v>
      </c>
      <c r="AM62" s="412">
        <f>ROUND(INDEX(販管費予算!$E$19:$I$19,MATCH(AM$3,販管費予算!$E$4:$I$4,0))/12,0)+IF(COUNTIF($AB$3:AM$3,AM$3)=12,INDEX(販管費予算!$E$19:$I$19,MATCH(AM$3,販管費予算!$E$4:$I$4,0))-12*ROUND(INDEX(販管費予算!$E$19:$I$19,MATCH(AM$3,販管費予算!$E$4:$I$4,0))/12,0),0)</f>
        <v>25000.0</v>
      </c>
      <c r="AN62" s="408">
        <f>ROUND(INDEX(販管費予算!$E$19:$I$19,MATCH(AN$3,販管費予算!$E$4:$I$4,0))/12,0)+IF(COUNTIF($AB$3:AN$3,AN$3)=12,INDEX(販管費予算!$E$19:$I$19,MATCH(AN$3,販管費予算!$E$4:$I$4,0))-12*ROUND(INDEX(販管費予算!$E$19:$I$19,MATCH(AN$3,販管費予算!$E$4:$I$4,0))/12,0),0)</f>
        <v>41667.0</v>
      </c>
      <c r="AO62" s="409">
        <f>ROUND(INDEX(販管費予算!$E$19:$I$19,MATCH(AO$3,販管費予算!$E$4:$I$4,0))/12,0)+IF(COUNTIF($AB$3:AO$3,AO$3)=12,INDEX(販管費予算!$E$19:$I$19,MATCH(AO$3,販管費予算!$E$4:$I$4,0))-12*ROUND(INDEX(販管費予算!$E$19:$I$19,MATCH(AO$3,販管費予算!$E$4:$I$4,0))/12,0),0)</f>
        <v>41667.0</v>
      </c>
      <c r="AP62" s="409">
        <f>ROUND(INDEX(販管費予算!$E$19:$I$19,MATCH(AP$3,販管費予算!$E$4:$I$4,0))/12,0)+IF(COUNTIF($AB$3:AP$3,AP$3)=12,INDEX(販管費予算!$E$19:$I$19,MATCH(AP$3,販管費予算!$E$4:$I$4,0))-12*ROUND(INDEX(販管費予算!$E$19:$I$19,MATCH(AP$3,販管費予算!$E$4:$I$4,0))/12,0),0)</f>
        <v>41667.0</v>
      </c>
      <c r="AQ62" s="409">
        <f>ROUND(INDEX(販管費予算!$E$19:$I$19,MATCH(AQ$3,販管費予算!$E$4:$I$4,0))/12,0)+IF(COUNTIF($AB$3:AQ$3,AQ$3)=12,INDEX(販管費予算!$E$19:$I$19,MATCH(AQ$3,販管費予算!$E$4:$I$4,0))-12*ROUND(INDEX(販管費予算!$E$19:$I$19,MATCH(AQ$3,販管費予算!$E$4:$I$4,0))/12,0),0)</f>
        <v>41667.0</v>
      </c>
      <c r="AR62" s="409">
        <f>ROUND(INDEX(販管費予算!$E$19:$I$19,MATCH(AR$3,販管費予算!$E$4:$I$4,0))/12,0)+IF(COUNTIF($AB$3:AR$3,AR$3)=12,INDEX(販管費予算!$E$19:$I$19,MATCH(AR$3,販管費予算!$E$4:$I$4,0))-12*ROUND(INDEX(販管費予算!$E$19:$I$19,MATCH(AR$3,販管費予算!$E$4:$I$4,0))/12,0),0)</f>
        <v>41667.0</v>
      </c>
      <c r="AS62" s="409">
        <f>ROUND(INDEX(販管費予算!$E$19:$I$19,MATCH(AS$3,販管費予算!$E$4:$I$4,0))/12,0)+IF(COUNTIF($AB$3:AS$3,AS$3)=12,INDEX(販管費予算!$E$19:$I$19,MATCH(AS$3,販管費予算!$E$4:$I$4,0))-12*ROUND(INDEX(販管費予算!$E$19:$I$19,MATCH(AS$3,販管費予算!$E$4:$I$4,0))/12,0),0)</f>
        <v>41667.0</v>
      </c>
      <c r="AT62" s="409">
        <f>ROUND(INDEX(販管費予算!$E$19:$I$19,MATCH(AT$3,販管費予算!$E$4:$I$4,0))/12,0)+IF(COUNTIF($AB$3:AT$3,AT$3)=12,INDEX(販管費予算!$E$19:$I$19,MATCH(AT$3,販管費予算!$E$4:$I$4,0))-12*ROUND(INDEX(販管費予算!$E$19:$I$19,MATCH(AT$3,販管費予算!$E$4:$I$4,0))/12,0),0)</f>
        <v>41667.0</v>
      </c>
      <c r="AU62" s="409">
        <f>ROUND(INDEX(販管費予算!$E$19:$I$19,MATCH(AU$3,販管費予算!$E$4:$I$4,0))/12,0)+IF(COUNTIF($AB$3:AU$3,AU$3)=12,INDEX(販管費予算!$E$19:$I$19,MATCH(AU$3,販管費予算!$E$4:$I$4,0))-12*ROUND(INDEX(販管費予算!$E$19:$I$19,MATCH(AU$3,販管費予算!$E$4:$I$4,0))/12,0),0)</f>
        <v>41667.0</v>
      </c>
      <c r="AV62" s="409">
        <f>ROUND(INDEX(販管費予算!$E$19:$I$19,MATCH(AV$3,販管費予算!$E$4:$I$4,0))/12,0)+IF(COUNTIF($AB$3:AV$3,AV$3)=12,INDEX(販管費予算!$E$19:$I$19,MATCH(AV$3,販管費予算!$E$4:$I$4,0))-12*ROUND(INDEX(販管費予算!$E$19:$I$19,MATCH(AV$3,販管費予算!$E$4:$I$4,0))/12,0),0)</f>
        <v>41667.0</v>
      </c>
      <c r="AW62" s="409">
        <f>ROUND(INDEX(販管費予算!$E$19:$I$19,MATCH(AW$3,販管費予算!$E$4:$I$4,0))/12,0)+IF(COUNTIF($AB$3:AW$3,AW$3)=12,INDEX(販管費予算!$E$19:$I$19,MATCH(AW$3,販管費予算!$E$4:$I$4,0))-12*ROUND(INDEX(販管費予算!$E$19:$I$19,MATCH(AW$3,販管費予算!$E$4:$I$4,0))/12,0),0)</f>
        <v>41667.0</v>
      </c>
      <c r="AX62" s="409">
        <f>ROUND(INDEX(販管費予算!$E$19:$I$19,MATCH(AX$3,販管費予算!$E$4:$I$4,0))/12,0)+IF(COUNTIF($AB$3:AX$3,AX$3)=12,INDEX(販管費予算!$E$19:$I$19,MATCH(AX$3,販管費予算!$E$4:$I$4,0))-12*ROUND(INDEX(販管費予算!$E$19:$I$19,MATCH(AX$3,販管費予算!$E$4:$I$4,0))/12,0),0)</f>
        <v>41667.0</v>
      </c>
      <c r="AY62" s="412">
        <f>ROUND(INDEX(販管費予算!$E$19:$I$19,MATCH(AY$3,販管費予算!$E$4:$I$4,0))/12,0)+IF(COUNTIF($AB$3:AY$3,AY$3)=12,INDEX(販管費予算!$E$19:$I$19,MATCH(AY$3,販管費予算!$E$4:$I$4,0))-12*ROUND(INDEX(販管費予算!$E$19:$I$19,MATCH(AY$3,販管費予算!$E$4:$I$4,0))/12,0),0)</f>
        <v>41663.0</v>
      </c>
      <c r="AZ62" s="408">
        <f>ROUND(INDEX(販管費予算!$E$19:$I$19,MATCH(AZ$3,販管費予算!$E$4:$I$4,0))/12,0)+IF(COUNTIF($AB$3:AZ$3,AZ$3)=12,INDEX(販管費予算!$E$19:$I$19,MATCH(AZ$3,販管費予算!$E$4:$I$4,0))-12*ROUND(INDEX(販管費予算!$E$19:$I$19,MATCH(AZ$3,販管費予算!$E$4:$I$4,0))/12,0),0)</f>
        <v>66667.0</v>
      </c>
      <c r="BA62" s="409">
        <f>ROUND(INDEX(販管費予算!$E$19:$I$19,MATCH(BA$3,販管費予算!$E$4:$I$4,0))/12,0)+IF(COUNTIF($AB$3:BA$3,BA$3)=12,INDEX(販管費予算!$E$19:$I$19,MATCH(BA$3,販管費予算!$E$4:$I$4,0))-12*ROUND(INDEX(販管費予算!$E$19:$I$19,MATCH(BA$3,販管費予算!$E$4:$I$4,0))/12,0),0)</f>
        <v>66667.0</v>
      </c>
      <c r="BB62" s="409">
        <f>ROUND(INDEX(販管費予算!$E$19:$I$19,MATCH(BB$3,販管費予算!$E$4:$I$4,0))/12,0)+IF(COUNTIF($AB$3:BB$3,BB$3)=12,INDEX(販管費予算!$E$19:$I$19,MATCH(BB$3,販管費予算!$E$4:$I$4,0))-12*ROUND(INDEX(販管費予算!$E$19:$I$19,MATCH(BB$3,販管費予算!$E$4:$I$4,0))/12,0),0)</f>
        <v>66667.0</v>
      </c>
      <c r="BC62" s="409">
        <f>ROUND(INDEX(販管費予算!$E$19:$I$19,MATCH(BC$3,販管費予算!$E$4:$I$4,0))/12,0)+IF(COUNTIF($AB$3:BC$3,BC$3)=12,INDEX(販管費予算!$E$19:$I$19,MATCH(BC$3,販管費予算!$E$4:$I$4,0))-12*ROUND(INDEX(販管費予算!$E$19:$I$19,MATCH(BC$3,販管費予算!$E$4:$I$4,0))/12,0),0)</f>
        <v>66667.0</v>
      </c>
      <c r="BD62" s="409">
        <f>ROUND(INDEX(販管費予算!$E$19:$I$19,MATCH(BD$3,販管費予算!$E$4:$I$4,0))/12,0)+IF(COUNTIF($AB$3:BD$3,BD$3)=12,INDEX(販管費予算!$E$19:$I$19,MATCH(BD$3,販管費予算!$E$4:$I$4,0))-12*ROUND(INDEX(販管費予算!$E$19:$I$19,MATCH(BD$3,販管費予算!$E$4:$I$4,0))/12,0),0)</f>
        <v>66667.0</v>
      </c>
      <c r="BE62" s="409">
        <f>ROUND(INDEX(販管費予算!$E$19:$I$19,MATCH(BE$3,販管費予算!$E$4:$I$4,0))/12,0)+IF(COUNTIF($AB$3:BE$3,BE$3)=12,INDEX(販管費予算!$E$19:$I$19,MATCH(BE$3,販管費予算!$E$4:$I$4,0))-12*ROUND(INDEX(販管費予算!$E$19:$I$19,MATCH(BE$3,販管費予算!$E$4:$I$4,0))/12,0),0)</f>
        <v>66667.0</v>
      </c>
      <c r="BF62" s="409">
        <f>ROUND(INDEX(販管費予算!$E$19:$I$19,MATCH(BF$3,販管費予算!$E$4:$I$4,0))/12,0)+IF(COUNTIF($AB$3:BF$3,BF$3)=12,INDEX(販管費予算!$E$19:$I$19,MATCH(BF$3,販管費予算!$E$4:$I$4,0))-12*ROUND(INDEX(販管費予算!$E$19:$I$19,MATCH(BF$3,販管費予算!$E$4:$I$4,0))/12,0),0)</f>
        <v>66667.0</v>
      </c>
      <c r="BG62" s="409">
        <f>ROUND(INDEX(販管費予算!$E$19:$I$19,MATCH(BG$3,販管費予算!$E$4:$I$4,0))/12,0)+IF(COUNTIF($AB$3:BG$3,BG$3)=12,INDEX(販管費予算!$E$19:$I$19,MATCH(BG$3,販管費予算!$E$4:$I$4,0))-12*ROUND(INDEX(販管費予算!$E$19:$I$19,MATCH(BG$3,販管費予算!$E$4:$I$4,0))/12,0),0)</f>
        <v>66667.0</v>
      </c>
      <c r="BH62" s="409">
        <f>ROUND(INDEX(販管費予算!$E$19:$I$19,MATCH(BH$3,販管費予算!$E$4:$I$4,0))/12,0)+IF(COUNTIF($AB$3:BH$3,BH$3)=12,INDEX(販管費予算!$E$19:$I$19,MATCH(BH$3,販管費予算!$E$4:$I$4,0))-12*ROUND(INDEX(販管費予算!$E$19:$I$19,MATCH(BH$3,販管費予算!$E$4:$I$4,0))/12,0),0)</f>
        <v>66667.0</v>
      </c>
      <c r="BI62" s="409">
        <f>ROUND(INDEX(販管費予算!$E$19:$I$19,MATCH(BI$3,販管費予算!$E$4:$I$4,0))/12,0)+IF(COUNTIF($AB$3:BI$3,BI$3)=12,INDEX(販管費予算!$E$19:$I$19,MATCH(BI$3,販管費予算!$E$4:$I$4,0))-12*ROUND(INDEX(販管費予算!$E$19:$I$19,MATCH(BI$3,販管費予算!$E$4:$I$4,0))/12,0),0)</f>
        <v>66667.0</v>
      </c>
      <c r="BJ62" s="409">
        <f>ROUND(INDEX(販管費予算!$E$19:$I$19,MATCH(BJ$3,販管費予算!$E$4:$I$4,0))/12,0)+IF(COUNTIF($AB$3:BJ$3,BJ$3)=12,INDEX(販管費予算!$E$19:$I$19,MATCH(BJ$3,販管費予算!$E$4:$I$4,0))-12*ROUND(INDEX(販管費予算!$E$19:$I$19,MATCH(BJ$3,販管費予算!$E$4:$I$4,0))/12,0),0)</f>
        <v>66667.0</v>
      </c>
      <c r="BK62" s="412">
        <f>ROUND(INDEX(販管費予算!$E$19:$I$19,MATCH(BK$3,販管費予算!$E$4:$I$4,0))/12,0)+IF(COUNTIF($AB$3:BK$3,BK$3)=12,INDEX(販管費予算!$E$19:$I$19,MATCH(BK$3,販管費予算!$E$4:$I$4,0))-12*ROUND(INDEX(販管費予算!$E$19:$I$19,MATCH(BK$3,販管費予算!$E$4:$I$4,0))/12,0),0)</f>
        <v>66663.0</v>
      </c>
      <c r="BL62" s="408">
        <f>ROUND(INDEX(販管費予算!$E$19:$I$19,MATCH(BL$3,販管費予算!$E$4:$I$4,0))/12,0)+IF(COUNTIF($AB$3:BL$3,BL$3)=12,INDEX(販管費予算!$E$19:$I$19,MATCH(BL$3,販管費予算!$E$4:$I$4,0))-12*ROUND(INDEX(販管費予算!$E$19:$I$19,MATCH(BL$3,販管費予算!$E$4:$I$4,0))/12,0),0)</f>
        <v>100000.0</v>
      </c>
      <c r="BM62" s="409">
        <f>ROUND(INDEX(販管費予算!$E$19:$I$19,MATCH(BM$3,販管費予算!$E$4:$I$4,0))/12,0)+IF(COUNTIF($AB$3:BM$3,BM$3)=12,INDEX(販管費予算!$E$19:$I$19,MATCH(BM$3,販管費予算!$E$4:$I$4,0))-12*ROUND(INDEX(販管費予算!$E$19:$I$19,MATCH(BM$3,販管費予算!$E$4:$I$4,0))/12,0),0)</f>
        <v>100000.0</v>
      </c>
      <c r="BN62" s="409">
        <f>ROUND(INDEX(販管費予算!$E$19:$I$19,MATCH(BN$3,販管費予算!$E$4:$I$4,0))/12,0)+IF(COUNTIF($AB$3:BN$3,BN$3)=12,INDEX(販管費予算!$E$19:$I$19,MATCH(BN$3,販管費予算!$E$4:$I$4,0))-12*ROUND(INDEX(販管費予算!$E$19:$I$19,MATCH(BN$3,販管費予算!$E$4:$I$4,0))/12,0),0)</f>
        <v>100000.0</v>
      </c>
      <c r="BO62" s="409">
        <f>ROUND(INDEX(販管費予算!$E$19:$I$19,MATCH(BO$3,販管費予算!$E$4:$I$4,0))/12,0)+IF(COUNTIF($AB$3:BO$3,BO$3)=12,INDEX(販管費予算!$E$19:$I$19,MATCH(BO$3,販管費予算!$E$4:$I$4,0))-12*ROUND(INDEX(販管費予算!$E$19:$I$19,MATCH(BO$3,販管費予算!$E$4:$I$4,0))/12,0),0)</f>
        <v>100000.0</v>
      </c>
      <c r="BP62" s="409">
        <f>ROUND(INDEX(販管費予算!$E$19:$I$19,MATCH(BP$3,販管費予算!$E$4:$I$4,0))/12,0)+IF(COUNTIF($AB$3:BP$3,BP$3)=12,INDEX(販管費予算!$E$19:$I$19,MATCH(BP$3,販管費予算!$E$4:$I$4,0))-12*ROUND(INDEX(販管費予算!$E$19:$I$19,MATCH(BP$3,販管費予算!$E$4:$I$4,0))/12,0),0)</f>
        <v>100000.0</v>
      </c>
      <c r="BQ62" s="409">
        <f>ROUND(INDEX(販管費予算!$E$19:$I$19,MATCH(BQ$3,販管費予算!$E$4:$I$4,0))/12,0)+IF(COUNTIF($AB$3:BQ$3,BQ$3)=12,INDEX(販管費予算!$E$19:$I$19,MATCH(BQ$3,販管費予算!$E$4:$I$4,0))-12*ROUND(INDEX(販管費予算!$E$19:$I$19,MATCH(BQ$3,販管費予算!$E$4:$I$4,0))/12,0),0)</f>
        <v>100000.0</v>
      </c>
      <c r="BR62" s="409">
        <f>ROUND(INDEX(販管費予算!$E$19:$I$19,MATCH(BR$3,販管費予算!$E$4:$I$4,0))/12,0)+IF(COUNTIF($AB$3:BR$3,BR$3)=12,INDEX(販管費予算!$E$19:$I$19,MATCH(BR$3,販管費予算!$E$4:$I$4,0))-12*ROUND(INDEX(販管費予算!$E$19:$I$19,MATCH(BR$3,販管費予算!$E$4:$I$4,0))/12,0),0)</f>
        <v>100000.0</v>
      </c>
      <c r="BS62" s="409">
        <f>ROUND(INDEX(販管費予算!$E$19:$I$19,MATCH(BS$3,販管費予算!$E$4:$I$4,0))/12,0)+IF(COUNTIF($AB$3:BS$3,BS$3)=12,INDEX(販管費予算!$E$19:$I$19,MATCH(BS$3,販管費予算!$E$4:$I$4,0))-12*ROUND(INDEX(販管費予算!$E$19:$I$19,MATCH(BS$3,販管費予算!$E$4:$I$4,0))/12,0),0)</f>
        <v>100000.0</v>
      </c>
      <c r="BT62" s="409">
        <f>ROUND(INDEX(販管費予算!$E$19:$I$19,MATCH(BT$3,販管費予算!$E$4:$I$4,0))/12,0)+IF(COUNTIF($AB$3:BT$3,BT$3)=12,INDEX(販管費予算!$E$19:$I$19,MATCH(BT$3,販管費予算!$E$4:$I$4,0))-12*ROUND(INDEX(販管費予算!$E$19:$I$19,MATCH(BT$3,販管費予算!$E$4:$I$4,0))/12,0),0)</f>
        <v>100000.0</v>
      </c>
      <c r="BU62" s="409">
        <f>ROUND(INDEX(販管費予算!$E$19:$I$19,MATCH(BU$3,販管費予算!$E$4:$I$4,0))/12,0)+IF(COUNTIF($AB$3:BU$3,BU$3)=12,INDEX(販管費予算!$E$19:$I$19,MATCH(BU$3,販管費予算!$E$4:$I$4,0))-12*ROUND(INDEX(販管費予算!$E$19:$I$19,MATCH(BU$3,販管費予算!$E$4:$I$4,0))/12,0),0)</f>
        <v>100000.0</v>
      </c>
      <c r="BV62" s="409">
        <f>ROUND(INDEX(販管費予算!$E$19:$I$19,MATCH(BV$3,販管費予算!$E$4:$I$4,0))/12,0)+IF(COUNTIF($AB$3:BV$3,BV$3)=12,INDEX(販管費予算!$E$19:$I$19,MATCH(BV$3,販管費予算!$E$4:$I$4,0))-12*ROUND(INDEX(販管費予算!$E$19:$I$19,MATCH(BV$3,販管費予算!$E$4:$I$4,0))/12,0),0)</f>
        <v>100000.0</v>
      </c>
      <c r="BW62" s="412">
        <f>ROUND(INDEX(販管費予算!$E$19:$I$19,MATCH(BW$3,販管費予算!$E$4:$I$4,0))/12,0)+IF(COUNTIF($AB$3:BW$3,BW$3)=12,INDEX(販管費予算!$E$19:$I$19,MATCH(BW$3,販管費予算!$E$4:$I$4,0))-12*ROUND(INDEX(販管費予算!$E$19:$I$19,MATCH(BW$3,販管費予算!$E$4:$I$4,0))/12,0),0)</f>
        <v>100000.0</v>
      </c>
      <c r="BX62" s="408">
        <f>ROUND(INDEX(販管費予算!$E$19:$I$19,MATCH(BX$3,販管費予算!$E$4:$I$4,0))/12,0)+IF(COUNTIF($AB$3:BX$3,BX$3)=12,INDEX(販管費予算!$E$19:$I$19,MATCH(BX$3,販管費予算!$E$4:$I$4,0))-12*ROUND(INDEX(販管費予算!$E$19:$I$19,MATCH(BX$3,販管費予算!$E$4:$I$4,0))/12,0),0)</f>
        <v>166667.0</v>
      </c>
      <c r="BY62" s="409">
        <f>ROUND(INDEX(販管費予算!$E$19:$I$19,MATCH(BY$3,販管費予算!$E$4:$I$4,0))/12,0)+IF(COUNTIF($AB$3:BY$3,BY$3)=12,INDEX(販管費予算!$E$19:$I$19,MATCH(BY$3,販管費予算!$E$4:$I$4,0))-12*ROUND(INDEX(販管費予算!$E$19:$I$19,MATCH(BY$3,販管費予算!$E$4:$I$4,0))/12,0),0)</f>
        <v>166667.0</v>
      </c>
      <c r="BZ62" s="409">
        <f>ROUND(INDEX(販管費予算!$E$19:$I$19,MATCH(BZ$3,販管費予算!$E$4:$I$4,0))/12,0)+IF(COUNTIF($AB$3:BZ$3,BZ$3)=12,INDEX(販管費予算!$E$19:$I$19,MATCH(BZ$3,販管費予算!$E$4:$I$4,0))-12*ROUND(INDEX(販管費予算!$E$19:$I$19,MATCH(BZ$3,販管費予算!$E$4:$I$4,0))/12,0),0)</f>
        <v>166667.0</v>
      </c>
      <c r="CA62" s="409">
        <f>ROUND(INDEX(販管費予算!$E$19:$I$19,MATCH(CA$3,販管費予算!$E$4:$I$4,0))/12,0)+IF(COUNTIF($AB$3:CA$3,CA$3)=12,INDEX(販管費予算!$E$19:$I$19,MATCH(CA$3,販管費予算!$E$4:$I$4,0))-12*ROUND(INDEX(販管費予算!$E$19:$I$19,MATCH(CA$3,販管費予算!$E$4:$I$4,0))/12,0),0)</f>
        <v>166667.0</v>
      </c>
      <c r="CB62" s="409">
        <f>ROUND(INDEX(販管費予算!$E$19:$I$19,MATCH(CB$3,販管費予算!$E$4:$I$4,0))/12,0)+IF(COUNTIF($AB$3:CB$3,CB$3)=12,INDEX(販管費予算!$E$19:$I$19,MATCH(CB$3,販管費予算!$E$4:$I$4,0))-12*ROUND(INDEX(販管費予算!$E$19:$I$19,MATCH(CB$3,販管費予算!$E$4:$I$4,0))/12,0),0)</f>
        <v>166667.0</v>
      </c>
      <c r="CC62" s="409">
        <f>ROUND(INDEX(販管費予算!$E$19:$I$19,MATCH(CC$3,販管費予算!$E$4:$I$4,0))/12,0)+IF(COUNTIF($AB$3:CC$3,CC$3)=12,INDEX(販管費予算!$E$19:$I$19,MATCH(CC$3,販管費予算!$E$4:$I$4,0))-12*ROUND(INDEX(販管費予算!$E$19:$I$19,MATCH(CC$3,販管費予算!$E$4:$I$4,0))/12,0),0)</f>
        <v>166667.0</v>
      </c>
      <c r="CD62" s="409">
        <f>ROUND(INDEX(販管費予算!$E$19:$I$19,MATCH(CD$3,販管費予算!$E$4:$I$4,0))/12,0)+IF(COUNTIF($AB$3:CD$3,CD$3)=12,INDEX(販管費予算!$E$19:$I$19,MATCH(CD$3,販管費予算!$E$4:$I$4,0))-12*ROUND(INDEX(販管費予算!$E$19:$I$19,MATCH(CD$3,販管費予算!$E$4:$I$4,0))/12,0),0)</f>
        <v>166667.0</v>
      </c>
      <c r="CE62" s="409">
        <f>ROUND(INDEX(販管費予算!$E$19:$I$19,MATCH(CE$3,販管費予算!$E$4:$I$4,0))/12,0)+IF(COUNTIF($AB$3:CE$3,CE$3)=12,INDEX(販管費予算!$E$19:$I$19,MATCH(CE$3,販管費予算!$E$4:$I$4,0))-12*ROUND(INDEX(販管費予算!$E$19:$I$19,MATCH(CE$3,販管費予算!$E$4:$I$4,0))/12,0),0)</f>
        <v>166667.0</v>
      </c>
      <c r="CF62" s="409">
        <f>ROUND(INDEX(販管費予算!$E$19:$I$19,MATCH(CF$3,販管費予算!$E$4:$I$4,0))/12,0)+IF(COUNTIF($AB$3:CF$3,CF$3)=12,INDEX(販管費予算!$E$19:$I$19,MATCH(CF$3,販管費予算!$E$4:$I$4,0))-12*ROUND(INDEX(販管費予算!$E$19:$I$19,MATCH(CF$3,販管費予算!$E$4:$I$4,0))/12,0),0)</f>
        <v>166667.0</v>
      </c>
      <c r="CG62" s="409">
        <f>ROUND(INDEX(販管費予算!$E$19:$I$19,MATCH(CG$3,販管費予算!$E$4:$I$4,0))/12,0)+IF(COUNTIF($AB$3:CG$3,CG$3)=12,INDEX(販管費予算!$E$19:$I$19,MATCH(CG$3,販管費予算!$E$4:$I$4,0))-12*ROUND(INDEX(販管費予算!$E$19:$I$19,MATCH(CG$3,販管費予算!$E$4:$I$4,0))/12,0),0)</f>
        <v>166667.0</v>
      </c>
      <c r="CH62" s="409">
        <f>ROUND(INDEX(販管費予算!$E$19:$I$19,MATCH(CH$3,販管費予算!$E$4:$I$4,0))/12,0)+IF(COUNTIF($AB$3:CH$3,CH$3)=12,INDEX(販管費予算!$E$19:$I$19,MATCH(CH$3,販管費予算!$E$4:$I$4,0))-12*ROUND(INDEX(販管費予算!$E$19:$I$19,MATCH(CH$3,販管費予算!$E$4:$I$4,0))/12,0),0)</f>
        <v>166667.0</v>
      </c>
      <c r="CI62" s="412">
        <f>ROUND(INDEX(販管費予算!$E$19:$I$19,MATCH(CI$3,販管費予算!$E$4:$I$4,0))/12,0)+IF(COUNTIF($AB$3:CI$3,CI$3)=12,INDEX(販管費予算!$E$19:$I$19,MATCH(CI$3,販管費予算!$E$4:$I$4,0))-12*ROUND(INDEX(販管費予算!$E$19:$I$19,MATCH(CI$3,販管費予算!$E$4:$I$4,0))/12,0),0)</f>
        <v>166663.0</v>
      </c>
    </row>
    <row r="63" ht="18" customHeight="1" s="145">
      <c r="A63" s="233" t="n"/>
      <c r="B63" s="233" t="inlineStr">
        <is>
          <t>保険料</t>
        </is>
      </c>
      <c r="C63" s="233" t="inlineStr">
        <is>
          <t>全社</t>
        </is>
      </c>
      <c r="D63" s="234" t="n"/>
      <c r="E63" s="408">
        <f>SUMIF($AB$3:$CI$3,E$4,$AB63:$CI63)</f>
        <v>500000.0</v>
      </c>
      <c r="F63" s="409">
        <f>SUMIF($AB$3:$CI$3,F$4,$AB63:$CI63)</f>
        <v>700000.0</v>
      </c>
      <c r="G63" s="409">
        <f>SUMIF($AB$3:$CI$3,G$4,$AB63:$CI63)</f>
        <v>1000000.0</v>
      </c>
      <c r="H63" s="409">
        <f>SUMIF($AB$3:$CI$3,H$4,$AB63:$CI63)</f>
        <v>1500000.0</v>
      </c>
      <c r="I63" s="409">
        <f>SUMIF($AB$3:$CI$3,I$4,$AB63:$CI63)</f>
        <v>2500000.0</v>
      </c>
      <c r="J63" s="407">
        <f>SUM(E63:I63)</f>
        <v>6200000.0</v>
      </c>
      <c r="K63" s="407">
        <f>SUMIF($Q$3:$CN$3,K$4,$Q63:$CN63)</f>
        <v>0.0</v>
      </c>
      <c r="L63" s="407">
        <f>SUMIF($Q$3:$CN$3,L$4,$Q63:$CN63)</f>
        <v>0.0</v>
      </c>
      <c r="M63" s="407">
        <f>SUMIF($Q$3:$CN$3,M$4,$Q63:$CN63)</f>
        <v>0.0</v>
      </c>
      <c r="N63" s="407">
        <f>SUMIF($Q$3:$CN$3,N$4,$Q63:$CN63)</f>
        <v>0.0</v>
      </c>
      <c r="O63" s="235" t="n"/>
      <c r="P63" s="408" t="n"/>
      <c r="Q63" s="409" t="n"/>
      <c r="R63" s="409" t="n"/>
      <c r="S63" s="409" t="n"/>
      <c r="T63" s="409" t="n"/>
      <c r="U63" s="409" t="n"/>
      <c r="V63" s="409" t="n"/>
      <c r="W63" s="409" t="n"/>
      <c r="X63" s="409" t="n"/>
      <c r="Y63" s="409" t="n"/>
      <c r="Z63" s="409" t="n"/>
      <c r="AA63" s="412" t="n"/>
      <c r="AB63" s="476">
        <f>ROUND(INDEX(販管費予算!$E$20:$I$20,MATCH(AB$3,販管費予算!$E$4:$I$4,0))/12,0)+IF(COUNTIF($AB$3:AB$3,AB$3)=12,INDEX(販管費予算!$E$20:$I$20,MATCH(AB$3,販管費予算!$E$4:$I$4,0))-12*ROUND(INDEX(販管費予算!$E$20:$I$20,MATCH(AB$3,販管費予算!$E$4:$I$4,0))/12,0),0)</f>
        <v>41667.0</v>
      </c>
      <c r="AC63" s="477">
        <f>ROUND(INDEX(販管費予算!$E$20:$I$20,MATCH(AC$3,販管費予算!$E$4:$I$4,0))/12,0)+IF(COUNTIF($AB$3:AC$3,AC$3)=12,INDEX(販管費予算!$E$20:$I$20,MATCH(AC$3,販管費予算!$E$4:$I$4,0))-12*ROUND(INDEX(販管費予算!$E$20:$I$20,MATCH(AC$3,販管費予算!$E$4:$I$4,0))/12,0),0)</f>
        <v>41667.0</v>
      </c>
      <c r="AD63" s="477">
        <f>ROUND(INDEX(販管費予算!$E$20:$I$20,MATCH(AD$3,販管費予算!$E$4:$I$4,0))/12,0)+IF(COUNTIF($AB$3:AD$3,AD$3)=12,INDEX(販管費予算!$E$20:$I$20,MATCH(AD$3,販管費予算!$E$4:$I$4,0))-12*ROUND(INDEX(販管費予算!$E$20:$I$20,MATCH(AD$3,販管費予算!$E$4:$I$4,0))/12,0),0)</f>
        <v>41667.0</v>
      </c>
      <c r="AE63" s="477">
        <f>ROUND(INDEX(販管費予算!$E$20:$I$20,MATCH(AE$3,販管費予算!$E$4:$I$4,0))/12,0)+IF(COUNTIF($AB$3:AE$3,AE$3)=12,INDEX(販管費予算!$E$20:$I$20,MATCH(AE$3,販管費予算!$E$4:$I$4,0))-12*ROUND(INDEX(販管費予算!$E$20:$I$20,MATCH(AE$3,販管費予算!$E$4:$I$4,0))/12,0),0)</f>
        <v>41667.0</v>
      </c>
      <c r="AF63" s="477">
        <f>ROUND(INDEX(販管費予算!$E$20:$I$20,MATCH(AF$3,販管費予算!$E$4:$I$4,0))/12,0)+IF(COUNTIF($AB$3:AF$3,AF$3)=12,INDEX(販管費予算!$E$20:$I$20,MATCH(AF$3,販管費予算!$E$4:$I$4,0))-12*ROUND(INDEX(販管費予算!$E$20:$I$20,MATCH(AF$3,販管費予算!$E$4:$I$4,0))/12,0),0)</f>
        <v>41667.0</v>
      </c>
      <c r="AG63" s="409">
        <f>ROUND(INDEX(販管費予算!$E$20:$I$20,MATCH(AG$3,販管費予算!$E$4:$I$4,0))/12,0)+IF(COUNTIF($AB$3:AG$3,AG$3)=12,INDEX(販管費予算!$E$20:$I$20,MATCH(AG$3,販管費予算!$E$4:$I$4,0))-12*ROUND(INDEX(販管費予算!$E$20:$I$20,MATCH(AG$3,販管費予算!$E$4:$I$4,0))/12,0),0)</f>
        <v>41667.0</v>
      </c>
      <c r="AH63" s="409">
        <f>ROUND(INDEX(販管費予算!$E$20:$I$20,MATCH(AH$3,販管費予算!$E$4:$I$4,0))/12,0)+IF(COUNTIF($AB$3:AH$3,AH$3)=12,INDEX(販管費予算!$E$20:$I$20,MATCH(AH$3,販管費予算!$E$4:$I$4,0))-12*ROUND(INDEX(販管費予算!$E$20:$I$20,MATCH(AH$3,販管費予算!$E$4:$I$4,0))/12,0),0)</f>
        <v>41667.0</v>
      </c>
      <c r="AI63" s="409">
        <f>ROUND(INDEX(販管費予算!$E$20:$I$20,MATCH(AI$3,販管費予算!$E$4:$I$4,0))/12,0)+IF(COUNTIF($AB$3:AI$3,AI$3)=12,INDEX(販管費予算!$E$20:$I$20,MATCH(AI$3,販管費予算!$E$4:$I$4,0))-12*ROUND(INDEX(販管費予算!$E$20:$I$20,MATCH(AI$3,販管費予算!$E$4:$I$4,0))/12,0),0)</f>
        <v>41667.0</v>
      </c>
      <c r="AJ63" s="409">
        <f>ROUND(INDEX(販管費予算!$E$20:$I$20,MATCH(AJ$3,販管費予算!$E$4:$I$4,0))/12,0)+IF(COUNTIF($AB$3:AJ$3,AJ$3)=12,INDEX(販管費予算!$E$20:$I$20,MATCH(AJ$3,販管費予算!$E$4:$I$4,0))-12*ROUND(INDEX(販管費予算!$E$20:$I$20,MATCH(AJ$3,販管費予算!$E$4:$I$4,0))/12,0),0)</f>
        <v>41667.0</v>
      </c>
      <c r="AK63" s="409">
        <f>ROUND(INDEX(販管費予算!$E$20:$I$20,MATCH(AK$3,販管費予算!$E$4:$I$4,0))/12,0)+IF(COUNTIF($AB$3:AK$3,AK$3)=12,INDEX(販管費予算!$E$20:$I$20,MATCH(AK$3,販管費予算!$E$4:$I$4,0))-12*ROUND(INDEX(販管費予算!$E$20:$I$20,MATCH(AK$3,販管費予算!$E$4:$I$4,0))/12,0),0)</f>
        <v>41667.0</v>
      </c>
      <c r="AL63" s="409">
        <f>ROUND(INDEX(販管費予算!$E$20:$I$20,MATCH(AL$3,販管費予算!$E$4:$I$4,0))/12,0)+IF(COUNTIF($AB$3:AL$3,AL$3)=12,INDEX(販管費予算!$E$20:$I$20,MATCH(AL$3,販管費予算!$E$4:$I$4,0))-12*ROUND(INDEX(販管費予算!$E$20:$I$20,MATCH(AL$3,販管費予算!$E$4:$I$4,0))/12,0),0)</f>
        <v>41667.0</v>
      </c>
      <c r="AM63" s="412">
        <f>ROUND(INDEX(販管費予算!$E$20:$I$20,MATCH(AM$3,販管費予算!$E$4:$I$4,0))/12,0)+IF(COUNTIF($AB$3:AM$3,AM$3)=12,INDEX(販管費予算!$E$20:$I$20,MATCH(AM$3,販管費予算!$E$4:$I$4,0))-12*ROUND(INDEX(販管費予算!$E$20:$I$20,MATCH(AM$3,販管費予算!$E$4:$I$4,0))/12,0),0)</f>
        <v>41663.0</v>
      </c>
      <c r="AN63" s="408">
        <f>ROUND(INDEX(販管費予算!$E$20:$I$20,MATCH(AN$3,販管費予算!$E$4:$I$4,0))/12,0)+IF(COUNTIF($AB$3:AN$3,AN$3)=12,INDEX(販管費予算!$E$20:$I$20,MATCH(AN$3,販管費予算!$E$4:$I$4,0))-12*ROUND(INDEX(販管費予算!$E$20:$I$20,MATCH(AN$3,販管費予算!$E$4:$I$4,0))/12,0),0)</f>
        <v>58333.0</v>
      </c>
      <c r="AO63" s="409">
        <f>ROUND(INDEX(販管費予算!$E$20:$I$20,MATCH(AO$3,販管費予算!$E$4:$I$4,0))/12,0)+IF(COUNTIF($AB$3:AO$3,AO$3)=12,INDEX(販管費予算!$E$20:$I$20,MATCH(AO$3,販管費予算!$E$4:$I$4,0))-12*ROUND(INDEX(販管費予算!$E$20:$I$20,MATCH(AO$3,販管費予算!$E$4:$I$4,0))/12,0),0)</f>
        <v>58333.0</v>
      </c>
      <c r="AP63" s="409">
        <f>ROUND(INDEX(販管費予算!$E$20:$I$20,MATCH(AP$3,販管費予算!$E$4:$I$4,0))/12,0)+IF(COUNTIF($AB$3:AP$3,AP$3)=12,INDEX(販管費予算!$E$20:$I$20,MATCH(AP$3,販管費予算!$E$4:$I$4,0))-12*ROUND(INDEX(販管費予算!$E$20:$I$20,MATCH(AP$3,販管費予算!$E$4:$I$4,0))/12,0),0)</f>
        <v>58333.0</v>
      </c>
      <c r="AQ63" s="409">
        <f>ROUND(INDEX(販管費予算!$E$20:$I$20,MATCH(AQ$3,販管費予算!$E$4:$I$4,0))/12,0)+IF(COUNTIF($AB$3:AQ$3,AQ$3)=12,INDEX(販管費予算!$E$20:$I$20,MATCH(AQ$3,販管費予算!$E$4:$I$4,0))-12*ROUND(INDEX(販管費予算!$E$20:$I$20,MATCH(AQ$3,販管費予算!$E$4:$I$4,0))/12,0),0)</f>
        <v>58333.0</v>
      </c>
      <c r="AR63" s="409">
        <f>ROUND(INDEX(販管費予算!$E$20:$I$20,MATCH(AR$3,販管費予算!$E$4:$I$4,0))/12,0)+IF(COUNTIF($AB$3:AR$3,AR$3)=12,INDEX(販管費予算!$E$20:$I$20,MATCH(AR$3,販管費予算!$E$4:$I$4,0))-12*ROUND(INDEX(販管費予算!$E$20:$I$20,MATCH(AR$3,販管費予算!$E$4:$I$4,0))/12,0),0)</f>
        <v>58333.0</v>
      </c>
      <c r="AS63" s="409">
        <f>ROUND(INDEX(販管費予算!$E$20:$I$20,MATCH(AS$3,販管費予算!$E$4:$I$4,0))/12,0)+IF(COUNTIF($AB$3:AS$3,AS$3)=12,INDEX(販管費予算!$E$20:$I$20,MATCH(AS$3,販管費予算!$E$4:$I$4,0))-12*ROUND(INDEX(販管費予算!$E$20:$I$20,MATCH(AS$3,販管費予算!$E$4:$I$4,0))/12,0),0)</f>
        <v>58333.0</v>
      </c>
      <c r="AT63" s="409">
        <f>ROUND(INDEX(販管費予算!$E$20:$I$20,MATCH(AT$3,販管費予算!$E$4:$I$4,0))/12,0)+IF(COUNTIF($AB$3:AT$3,AT$3)=12,INDEX(販管費予算!$E$20:$I$20,MATCH(AT$3,販管費予算!$E$4:$I$4,0))-12*ROUND(INDEX(販管費予算!$E$20:$I$20,MATCH(AT$3,販管費予算!$E$4:$I$4,0))/12,0),0)</f>
        <v>58333.0</v>
      </c>
      <c r="AU63" s="409">
        <f>ROUND(INDEX(販管費予算!$E$20:$I$20,MATCH(AU$3,販管費予算!$E$4:$I$4,0))/12,0)+IF(COUNTIF($AB$3:AU$3,AU$3)=12,INDEX(販管費予算!$E$20:$I$20,MATCH(AU$3,販管費予算!$E$4:$I$4,0))-12*ROUND(INDEX(販管費予算!$E$20:$I$20,MATCH(AU$3,販管費予算!$E$4:$I$4,0))/12,0),0)</f>
        <v>58333.0</v>
      </c>
      <c r="AV63" s="409">
        <f>ROUND(INDEX(販管費予算!$E$20:$I$20,MATCH(AV$3,販管費予算!$E$4:$I$4,0))/12,0)+IF(COUNTIF($AB$3:AV$3,AV$3)=12,INDEX(販管費予算!$E$20:$I$20,MATCH(AV$3,販管費予算!$E$4:$I$4,0))-12*ROUND(INDEX(販管費予算!$E$20:$I$20,MATCH(AV$3,販管費予算!$E$4:$I$4,0))/12,0),0)</f>
        <v>58333.0</v>
      </c>
      <c r="AW63" s="409">
        <f>ROUND(INDEX(販管費予算!$E$20:$I$20,MATCH(AW$3,販管費予算!$E$4:$I$4,0))/12,0)+IF(COUNTIF($AB$3:AW$3,AW$3)=12,INDEX(販管費予算!$E$20:$I$20,MATCH(AW$3,販管費予算!$E$4:$I$4,0))-12*ROUND(INDEX(販管費予算!$E$20:$I$20,MATCH(AW$3,販管費予算!$E$4:$I$4,0))/12,0),0)</f>
        <v>58333.0</v>
      </c>
      <c r="AX63" s="409">
        <f>ROUND(INDEX(販管費予算!$E$20:$I$20,MATCH(AX$3,販管費予算!$E$4:$I$4,0))/12,0)+IF(COUNTIF($AB$3:AX$3,AX$3)=12,INDEX(販管費予算!$E$20:$I$20,MATCH(AX$3,販管費予算!$E$4:$I$4,0))-12*ROUND(INDEX(販管費予算!$E$20:$I$20,MATCH(AX$3,販管費予算!$E$4:$I$4,0))/12,0),0)</f>
        <v>58333.0</v>
      </c>
      <c r="AY63" s="412">
        <f>ROUND(INDEX(販管費予算!$E$20:$I$20,MATCH(AY$3,販管費予算!$E$4:$I$4,0))/12,0)+IF(COUNTIF($AB$3:AY$3,AY$3)=12,INDEX(販管費予算!$E$20:$I$20,MATCH(AY$3,販管費予算!$E$4:$I$4,0))-12*ROUND(INDEX(販管費予算!$E$20:$I$20,MATCH(AY$3,販管費予算!$E$4:$I$4,0))/12,0),0)</f>
        <v>58337.0</v>
      </c>
      <c r="AZ63" s="408">
        <f>ROUND(INDEX(販管費予算!$E$20:$I$20,MATCH(AZ$3,販管費予算!$E$4:$I$4,0))/12,0)+IF(COUNTIF($AB$3:AZ$3,AZ$3)=12,INDEX(販管費予算!$E$20:$I$20,MATCH(AZ$3,販管費予算!$E$4:$I$4,0))-12*ROUND(INDEX(販管費予算!$E$20:$I$20,MATCH(AZ$3,販管費予算!$E$4:$I$4,0))/12,0),0)</f>
        <v>83333.0</v>
      </c>
      <c r="BA63" s="409">
        <f>ROUND(INDEX(販管費予算!$E$20:$I$20,MATCH(BA$3,販管費予算!$E$4:$I$4,0))/12,0)+IF(COUNTIF($AB$3:BA$3,BA$3)=12,INDEX(販管費予算!$E$20:$I$20,MATCH(BA$3,販管費予算!$E$4:$I$4,0))-12*ROUND(INDEX(販管費予算!$E$20:$I$20,MATCH(BA$3,販管費予算!$E$4:$I$4,0))/12,0),0)</f>
        <v>83333.0</v>
      </c>
      <c r="BB63" s="409">
        <f>ROUND(INDEX(販管費予算!$E$20:$I$20,MATCH(BB$3,販管費予算!$E$4:$I$4,0))/12,0)+IF(COUNTIF($AB$3:BB$3,BB$3)=12,INDEX(販管費予算!$E$20:$I$20,MATCH(BB$3,販管費予算!$E$4:$I$4,0))-12*ROUND(INDEX(販管費予算!$E$20:$I$20,MATCH(BB$3,販管費予算!$E$4:$I$4,0))/12,0),0)</f>
        <v>83333.0</v>
      </c>
      <c r="BC63" s="409">
        <f>ROUND(INDEX(販管費予算!$E$20:$I$20,MATCH(BC$3,販管費予算!$E$4:$I$4,0))/12,0)+IF(COUNTIF($AB$3:BC$3,BC$3)=12,INDEX(販管費予算!$E$20:$I$20,MATCH(BC$3,販管費予算!$E$4:$I$4,0))-12*ROUND(INDEX(販管費予算!$E$20:$I$20,MATCH(BC$3,販管費予算!$E$4:$I$4,0))/12,0),0)</f>
        <v>83333.0</v>
      </c>
      <c r="BD63" s="409">
        <f>ROUND(INDEX(販管費予算!$E$20:$I$20,MATCH(BD$3,販管費予算!$E$4:$I$4,0))/12,0)+IF(COUNTIF($AB$3:BD$3,BD$3)=12,INDEX(販管費予算!$E$20:$I$20,MATCH(BD$3,販管費予算!$E$4:$I$4,0))-12*ROUND(INDEX(販管費予算!$E$20:$I$20,MATCH(BD$3,販管費予算!$E$4:$I$4,0))/12,0),0)</f>
        <v>83333.0</v>
      </c>
      <c r="BE63" s="409">
        <f>ROUND(INDEX(販管費予算!$E$20:$I$20,MATCH(BE$3,販管費予算!$E$4:$I$4,0))/12,0)+IF(COUNTIF($AB$3:BE$3,BE$3)=12,INDEX(販管費予算!$E$20:$I$20,MATCH(BE$3,販管費予算!$E$4:$I$4,0))-12*ROUND(INDEX(販管費予算!$E$20:$I$20,MATCH(BE$3,販管費予算!$E$4:$I$4,0))/12,0),0)</f>
        <v>83333.0</v>
      </c>
      <c r="BF63" s="409">
        <f>ROUND(INDEX(販管費予算!$E$20:$I$20,MATCH(BF$3,販管費予算!$E$4:$I$4,0))/12,0)+IF(COUNTIF($AB$3:BF$3,BF$3)=12,INDEX(販管費予算!$E$20:$I$20,MATCH(BF$3,販管費予算!$E$4:$I$4,0))-12*ROUND(INDEX(販管費予算!$E$20:$I$20,MATCH(BF$3,販管費予算!$E$4:$I$4,0))/12,0),0)</f>
        <v>83333.0</v>
      </c>
      <c r="BG63" s="409">
        <f>ROUND(INDEX(販管費予算!$E$20:$I$20,MATCH(BG$3,販管費予算!$E$4:$I$4,0))/12,0)+IF(COUNTIF($AB$3:BG$3,BG$3)=12,INDEX(販管費予算!$E$20:$I$20,MATCH(BG$3,販管費予算!$E$4:$I$4,0))-12*ROUND(INDEX(販管費予算!$E$20:$I$20,MATCH(BG$3,販管費予算!$E$4:$I$4,0))/12,0),0)</f>
        <v>83333.0</v>
      </c>
      <c r="BH63" s="409">
        <f>ROUND(INDEX(販管費予算!$E$20:$I$20,MATCH(BH$3,販管費予算!$E$4:$I$4,0))/12,0)+IF(COUNTIF($AB$3:BH$3,BH$3)=12,INDEX(販管費予算!$E$20:$I$20,MATCH(BH$3,販管費予算!$E$4:$I$4,0))-12*ROUND(INDEX(販管費予算!$E$20:$I$20,MATCH(BH$3,販管費予算!$E$4:$I$4,0))/12,0),0)</f>
        <v>83333.0</v>
      </c>
      <c r="BI63" s="409">
        <f>ROUND(INDEX(販管費予算!$E$20:$I$20,MATCH(BI$3,販管費予算!$E$4:$I$4,0))/12,0)+IF(COUNTIF($AB$3:BI$3,BI$3)=12,INDEX(販管費予算!$E$20:$I$20,MATCH(BI$3,販管費予算!$E$4:$I$4,0))-12*ROUND(INDEX(販管費予算!$E$20:$I$20,MATCH(BI$3,販管費予算!$E$4:$I$4,0))/12,0),0)</f>
        <v>83333.0</v>
      </c>
      <c r="BJ63" s="409">
        <f>ROUND(INDEX(販管費予算!$E$20:$I$20,MATCH(BJ$3,販管費予算!$E$4:$I$4,0))/12,0)+IF(COUNTIF($AB$3:BJ$3,BJ$3)=12,INDEX(販管費予算!$E$20:$I$20,MATCH(BJ$3,販管費予算!$E$4:$I$4,0))-12*ROUND(INDEX(販管費予算!$E$20:$I$20,MATCH(BJ$3,販管費予算!$E$4:$I$4,0))/12,0),0)</f>
        <v>83333.0</v>
      </c>
      <c r="BK63" s="412">
        <f>ROUND(INDEX(販管費予算!$E$20:$I$20,MATCH(BK$3,販管費予算!$E$4:$I$4,0))/12,0)+IF(COUNTIF($AB$3:BK$3,BK$3)=12,INDEX(販管費予算!$E$20:$I$20,MATCH(BK$3,販管費予算!$E$4:$I$4,0))-12*ROUND(INDEX(販管費予算!$E$20:$I$20,MATCH(BK$3,販管費予算!$E$4:$I$4,0))/12,0),0)</f>
        <v>83337.0</v>
      </c>
      <c r="BL63" s="408">
        <f>ROUND(INDEX(販管費予算!$E$20:$I$20,MATCH(BL$3,販管費予算!$E$4:$I$4,0))/12,0)+IF(COUNTIF($AB$3:BL$3,BL$3)=12,INDEX(販管費予算!$E$20:$I$20,MATCH(BL$3,販管費予算!$E$4:$I$4,0))-12*ROUND(INDEX(販管費予算!$E$20:$I$20,MATCH(BL$3,販管費予算!$E$4:$I$4,0))/12,0),0)</f>
        <v>125000.0</v>
      </c>
      <c r="BM63" s="409">
        <f>ROUND(INDEX(販管費予算!$E$20:$I$20,MATCH(BM$3,販管費予算!$E$4:$I$4,0))/12,0)+IF(COUNTIF($AB$3:BM$3,BM$3)=12,INDEX(販管費予算!$E$20:$I$20,MATCH(BM$3,販管費予算!$E$4:$I$4,0))-12*ROUND(INDEX(販管費予算!$E$20:$I$20,MATCH(BM$3,販管費予算!$E$4:$I$4,0))/12,0),0)</f>
        <v>125000.0</v>
      </c>
      <c r="BN63" s="409">
        <f>ROUND(INDEX(販管費予算!$E$20:$I$20,MATCH(BN$3,販管費予算!$E$4:$I$4,0))/12,0)+IF(COUNTIF($AB$3:BN$3,BN$3)=12,INDEX(販管費予算!$E$20:$I$20,MATCH(BN$3,販管費予算!$E$4:$I$4,0))-12*ROUND(INDEX(販管費予算!$E$20:$I$20,MATCH(BN$3,販管費予算!$E$4:$I$4,0))/12,0),0)</f>
        <v>125000.0</v>
      </c>
      <c r="BO63" s="409">
        <f>ROUND(INDEX(販管費予算!$E$20:$I$20,MATCH(BO$3,販管費予算!$E$4:$I$4,0))/12,0)+IF(COUNTIF($AB$3:BO$3,BO$3)=12,INDEX(販管費予算!$E$20:$I$20,MATCH(BO$3,販管費予算!$E$4:$I$4,0))-12*ROUND(INDEX(販管費予算!$E$20:$I$20,MATCH(BO$3,販管費予算!$E$4:$I$4,0))/12,0),0)</f>
        <v>125000.0</v>
      </c>
      <c r="BP63" s="409">
        <f>ROUND(INDEX(販管費予算!$E$20:$I$20,MATCH(BP$3,販管費予算!$E$4:$I$4,0))/12,0)+IF(COUNTIF($AB$3:BP$3,BP$3)=12,INDEX(販管費予算!$E$20:$I$20,MATCH(BP$3,販管費予算!$E$4:$I$4,0))-12*ROUND(INDEX(販管費予算!$E$20:$I$20,MATCH(BP$3,販管費予算!$E$4:$I$4,0))/12,0),0)</f>
        <v>125000.0</v>
      </c>
      <c r="BQ63" s="409">
        <f>ROUND(INDEX(販管費予算!$E$20:$I$20,MATCH(BQ$3,販管費予算!$E$4:$I$4,0))/12,0)+IF(COUNTIF($AB$3:BQ$3,BQ$3)=12,INDEX(販管費予算!$E$20:$I$20,MATCH(BQ$3,販管費予算!$E$4:$I$4,0))-12*ROUND(INDEX(販管費予算!$E$20:$I$20,MATCH(BQ$3,販管費予算!$E$4:$I$4,0))/12,0),0)</f>
        <v>125000.0</v>
      </c>
      <c r="BR63" s="409">
        <f>ROUND(INDEX(販管費予算!$E$20:$I$20,MATCH(BR$3,販管費予算!$E$4:$I$4,0))/12,0)+IF(COUNTIF($AB$3:BR$3,BR$3)=12,INDEX(販管費予算!$E$20:$I$20,MATCH(BR$3,販管費予算!$E$4:$I$4,0))-12*ROUND(INDEX(販管費予算!$E$20:$I$20,MATCH(BR$3,販管費予算!$E$4:$I$4,0))/12,0),0)</f>
        <v>125000.0</v>
      </c>
      <c r="BS63" s="409">
        <f>ROUND(INDEX(販管費予算!$E$20:$I$20,MATCH(BS$3,販管費予算!$E$4:$I$4,0))/12,0)+IF(COUNTIF($AB$3:BS$3,BS$3)=12,INDEX(販管費予算!$E$20:$I$20,MATCH(BS$3,販管費予算!$E$4:$I$4,0))-12*ROUND(INDEX(販管費予算!$E$20:$I$20,MATCH(BS$3,販管費予算!$E$4:$I$4,0))/12,0),0)</f>
        <v>125000.0</v>
      </c>
      <c r="BT63" s="409">
        <f>ROUND(INDEX(販管費予算!$E$20:$I$20,MATCH(BT$3,販管費予算!$E$4:$I$4,0))/12,0)+IF(COUNTIF($AB$3:BT$3,BT$3)=12,INDEX(販管費予算!$E$20:$I$20,MATCH(BT$3,販管費予算!$E$4:$I$4,0))-12*ROUND(INDEX(販管費予算!$E$20:$I$20,MATCH(BT$3,販管費予算!$E$4:$I$4,0))/12,0),0)</f>
        <v>125000.0</v>
      </c>
      <c r="BU63" s="409">
        <f>ROUND(INDEX(販管費予算!$E$20:$I$20,MATCH(BU$3,販管費予算!$E$4:$I$4,0))/12,0)+IF(COUNTIF($AB$3:BU$3,BU$3)=12,INDEX(販管費予算!$E$20:$I$20,MATCH(BU$3,販管費予算!$E$4:$I$4,0))-12*ROUND(INDEX(販管費予算!$E$20:$I$20,MATCH(BU$3,販管費予算!$E$4:$I$4,0))/12,0),0)</f>
        <v>125000.0</v>
      </c>
      <c r="BV63" s="409">
        <f>ROUND(INDEX(販管費予算!$E$20:$I$20,MATCH(BV$3,販管費予算!$E$4:$I$4,0))/12,0)+IF(COUNTIF($AB$3:BV$3,BV$3)=12,INDEX(販管費予算!$E$20:$I$20,MATCH(BV$3,販管費予算!$E$4:$I$4,0))-12*ROUND(INDEX(販管費予算!$E$20:$I$20,MATCH(BV$3,販管費予算!$E$4:$I$4,0))/12,0),0)</f>
        <v>125000.0</v>
      </c>
      <c r="BW63" s="412">
        <f>ROUND(INDEX(販管費予算!$E$20:$I$20,MATCH(BW$3,販管費予算!$E$4:$I$4,0))/12,0)+IF(COUNTIF($AB$3:BW$3,BW$3)=12,INDEX(販管費予算!$E$20:$I$20,MATCH(BW$3,販管費予算!$E$4:$I$4,0))-12*ROUND(INDEX(販管費予算!$E$20:$I$20,MATCH(BW$3,販管費予算!$E$4:$I$4,0))/12,0),0)</f>
        <v>125000.0</v>
      </c>
      <c r="BX63" s="408">
        <f>ROUND(INDEX(販管費予算!$E$20:$I$20,MATCH(BX$3,販管費予算!$E$4:$I$4,0))/12,0)+IF(COUNTIF($AB$3:BX$3,BX$3)=12,INDEX(販管費予算!$E$20:$I$20,MATCH(BX$3,販管費予算!$E$4:$I$4,0))-12*ROUND(INDEX(販管費予算!$E$20:$I$20,MATCH(BX$3,販管費予算!$E$4:$I$4,0))/12,0),0)</f>
        <v>208333.0</v>
      </c>
      <c r="BY63" s="409">
        <f>ROUND(INDEX(販管費予算!$E$20:$I$20,MATCH(BY$3,販管費予算!$E$4:$I$4,0))/12,0)+IF(COUNTIF($AB$3:BY$3,BY$3)=12,INDEX(販管費予算!$E$20:$I$20,MATCH(BY$3,販管費予算!$E$4:$I$4,0))-12*ROUND(INDEX(販管費予算!$E$20:$I$20,MATCH(BY$3,販管費予算!$E$4:$I$4,0))/12,0),0)</f>
        <v>208333.0</v>
      </c>
      <c r="BZ63" s="409">
        <f>ROUND(INDEX(販管費予算!$E$20:$I$20,MATCH(BZ$3,販管費予算!$E$4:$I$4,0))/12,0)+IF(COUNTIF($AB$3:BZ$3,BZ$3)=12,INDEX(販管費予算!$E$20:$I$20,MATCH(BZ$3,販管費予算!$E$4:$I$4,0))-12*ROUND(INDEX(販管費予算!$E$20:$I$20,MATCH(BZ$3,販管費予算!$E$4:$I$4,0))/12,0),0)</f>
        <v>208333.0</v>
      </c>
      <c r="CA63" s="409">
        <f>ROUND(INDEX(販管費予算!$E$20:$I$20,MATCH(CA$3,販管費予算!$E$4:$I$4,0))/12,0)+IF(COUNTIF($AB$3:CA$3,CA$3)=12,INDEX(販管費予算!$E$20:$I$20,MATCH(CA$3,販管費予算!$E$4:$I$4,0))-12*ROUND(INDEX(販管費予算!$E$20:$I$20,MATCH(CA$3,販管費予算!$E$4:$I$4,0))/12,0),0)</f>
        <v>208333.0</v>
      </c>
      <c r="CB63" s="409">
        <f>ROUND(INDEX(販管費予算!$E$20:$I$20,MATCH(CB$3,販管費予算!$E$4:$I$4,0))/12,0)+IF(COUNTIF($AB$3:CB$3,CB$3)=12,INDEX(販管費予算!$E$20:$I$20,MATCH(CB$3,販管費予算!$E$4:$I$4,0))-12*ROUND(INDEX(販管費予算!$E$20:$I$20,MATCH(CB$3,販管費予算!$E$4:$I$4,0))/12,0),0)</f>
        <v>208333.0</v>
      </c>
      <c r="CC63" s="409">
        <f>ROUND(INDEX(販管費予算!$E$20:$I$20,MATCH(CC$3,販管費予算!$E$4:$I$4,0))/12,0)+IF(COUNTIF($AB$3:CC$3,CC$3)=12,INDEX(販管費予算!$E$20:$I$20,MATCH(CC$3,販管費予算!$E$4:$I$4,0))-12*ROUND(INDEX(販管費予算!$E$20:$I$20,MATCH(CC$3,販管費予算!$E$4:$I$4,0))/12,0),0)</f>
        <v>208333.0</v>
      </c>
      <c r="CD63" s="409">
        <f>ROUND(INDEX(販管費予算!$E$20:$I$20,MATCH(CD$3,販管費予算!$E$4:$I$4,0))/12,0)+IF(COUNTIF($AB$3:CD$3,CD$3)=12,INDEX(販管費予算!$E$20:$I$20,MATCH(CD$3,販管費予算!$E$4:$I$4,0))-12*ROUND(INDEX(販管費予算!$E$20:$I$20,MATCH(CD$3,販管費予算!$E$4:$I$4,0))/12,0),0)</f>
        <v>208333.0</v>
      </c>
      <c r="CE63" s="409">
        <f>ROUND(INDEX(販管費予算!$E$20:$I$20,MATCH(CE$3,販管費予算!$E$4:$I$4,0))/12,0)+IF(COUNTIF($AB$3:CE$3,CE$3)=12,INDEX(販管費予算!$E$20:$I$20,MATCH(CE$3,販管費予算!$E$4:$I$4,0))-12*ROUND(INDEX(販管費予算!$E$20:$I$20,MATCH(CE$3,販管費予算!$E$4:$I$4,0))/12,0),0)</f>
        <v>208333.0</v>
      </c>
      <c r="CF63" s="409">
        <f>ROUND(INDEX(販管費予算!$E$20:$I$20,MATCH(CF$3,販管費予算!$E$4:$I$4,0))/12,0)+IF(COUNTIF($AB$3:CF$3,CF$3)=12,INDEX(販管費予算!$E$20:$I$20,MATCH(CF$3,販管費予算!$E$4:$I$4,0))-12*ROUND(INDEX(販管費予算!$E$20:$I$20,MATCH(CF$3,販管費予算!$E$4:$I$4,0))/12,0),0)</f>
        <v>208333.0</v>
      </c>
      <c r="CG63" s="409">
        <f>ROUND(INDEX(販管費予算!$E$20:$I$20,MATCH(CG$3,販管費予算!$E$4:$I$4,0))/12,0)+IF(COUNTIF($AB$3:CG$3,CG$3)=12,INDEX(販管費予算!$E$20:$I$20,MATCH(CG$3,販管費予算!$E$4:$I$4,0))-12*ROUND(INDEX(販管費予算!$E$20:$I$20,MATCH(CG$3,販管費予算!$E$4:$I$4,0))/12,0),0)</f>
        <v>208333.0</v>
      </c>
      <c r="CH63" s="409">
        <f>ROUND(INDEX(販管費予算!$E$20:$I$20,MATCH(CH$3,販管費予算!$E$4:$I$4,0))/12,0)+IF(COUNTIF($AB$3:CH$3,CH$3)=12,INDEX(販管費予算!$E$20:$I$20,MATCH(CH$3,販管費予算!$E$4:$I$4,0))-12*ROUND(INDEX(販管費予算!$E$20:$I$20,MATCH(CH$3,販管費予算!$E$4:$I$4,0))/12,0),0)</f>
        <v>208333.0</v>
      </c>
      <c r="CI63" s="412">
        <f>ROUND(INDEX(販管費予算!$E$20:$I$20,MATCH(CI$3,販管費予算!$E$4:$I$4,0))/12,0)+IF(COUNTIF($AB$3:CI$3,CI$3)=12,INDEX(販管費予算!$E$20:$I$20,MATCH(CI$3,販管費予算!$E$4:$I$4,0))-12*ROUND(INDEX(販管費予算!$E$20:$I$20,MATCH(CI$3,販管費予算!$E$4:$I$4,0))/12,0),0)</f>
        <v>208337.0</v>
      </c>
    </row>
    <row r="64" ht="18" customHeight="1" s="145">
      <c r="A64" s="233" t="n"/>
      <c r="B64" s="233" t="inlineStr">
        <is>
          <t>支払リース料</t>
        </is>
      </c>
      <c r="C64" s="233" t="inlineStr">
        <is>
          <t>全社</t>
        </is>
      </c>
      <c r="D64" s="234" t="n"/>
      <c r="E64" s="408">
        <f>SUMIF($AB$3:$CI$3,E$4,$AB64:$CI64)</f>
        <v>0.0</v>
      </c>
      <c r="F64" s="409">
        <f>SUMIF($AB$3:$CI$3,F$4,$AB64:$CI64)</f>
        <v>300000.0</v>
      </c>
      <c r="G64" s="409">
        <f>SUMIF($AB$3:$CI$3,G$4,$AB64:$CI64)</f>
        <v>600000.0</v>
      </c>
      <c r="H64" s="409">
        <f>SUMIF($AB$3:$CI$3,H$4,$AB64:$CI64)</f>
        <v>1000000.0</v>
      </c>
      <c r="I64" s="409">
        <f>SUMIF($AB$3:$CI$3,I$4,$AB64:$CI64)</f>
        <v>2000000.0</v>
      </c>
      <c r="J64" s="407">
        <f>SUM(E64:I64)</f>
        <v>3900000.0</v>
      </c>
      <c r="K64" s="407">
        <f>SUMIF($Q$3:$CN$3,K$4,$Q64:$CN64)</f>
        <v>0.0</v>
      </c>
      <c r="L64" s="407">
        <f>SUMIF($Q$3:$CN$3,L$4,$Q64:$CN64)</f>
        <v>0.0</v>
      </c>
      <c r="M64" s="407">
        <f>SUMIF($Q$3:$CN$3,M$4,$Q64:$CN64)</f>
        <v>0.0</v>
      </c>
      <c r="N64" s="407">
        <f>SUMIF($Q$3:$CN$3,N$4,$Q64:$CN64)</f>
        <v>0.0</v>
      </c>
      <c r="O64" s="235" t="n"/>
      <c r="P64" s="408" t="n"/>
      <c r="Q64" s="409" t="n"/>
      <c r="R64" s="409" t="n"/>
      <c r="S64" s="409" t="n"/>
      <c r="T64" s="409" t="n"/>
      <c r="U64" s="409" t="n"/>
      <c r="V64" s="409" t="n"/>
      <c r="W64" s="409" t="n"/>
      <c r="X64" s="409" t="n"/>
      <c r="Y64" s="409" t="n"/>
      <c r="Z64" s="409" t="n"/>
      <c r="AA64" s="412" t="n"/>
      <c r="AB64" s="476">
        <f>ROUND(INDEX(販管費予算!$E$21:$I$21,MATCH(AB$3,販管費予算!$E$4:$I$4,0))/12,0)+IF(COUNTIF($AB$3:AB$3,AB$3)=12,INDEX(販管費予算!$E$21:$I$21,MATCH(AB$3,販管費予算!$E$4:$I$4,0))-12*ROUND(INDEX(販管費予算!$E$21:$I$21,MATCH(AB$3,販管費予算!$E$4:$I$4,0))/12,0),0)</f>
        <v>0.0</v>
      </c>
      <c r="AC64" s="477">
        <f>ROUND(INDEX(販管費予算!$E$21:$I$21,MATCH(AC$3,販管費予算!$E$4:$I$4,0))/12,0)+IF(COUNTIF($AB$3:AC$3,AC$3)=12,INDEX(販管費予算!$E$21:$I$21,MATCH(AC$3,販管費予算!$E$4:$I$4,0))-12*ROUND(INDEX(販管費予算!$E$21:$I$21,MATCH(AC$3,販管費予算!$E$4:$I$4,0))/12,0),0)</f>
        <v>0.0</v>
      </c>
      <c r="AD64" s="477">
        <f>ROUND(INDEX(販管費予算!$E$21:$I$21,MATCH(AD$3,販管費予算!$E$4:$I$4,0))/12,0)+IF(COUNTIF($AB$3:AD$3,AD$3)=12,INDEX(販管費予算!$E$21:$I$21,MATCH(AD$3,販管費予算!$E$4:$I$4,0))-12*ROUND(INDEX(販管費予算!$E$21:$I$21,MATCH(AD$3,販管費予算!$E$4:$I$4,0))/12,0),0)</f>
        <v>0.0</v>
      </c>
      <c r="AE64" s="477">
        <f>ROUND(INDEX(販管費予算!$E$21:$I$21,MATCH(AE$3,販管費予算!$E$4:$I$4,0))/12,0)+IF(COUNTIF($AB$3:AE$3,AE$3)=12,INDEX(販管費予算!$E$21:$I$21,MATCH(AE$3,販管費予算!$E$4:$I$4,0))-12*ROUND(INDEX(販管費予算!$E$21:$I$21,MATCH(AE$3,販管費予算!$E$4:$I$4,0))/12,0),0)</f>
        <v>0.0</v>
      </c>
      <c r="AF64" s="477">
        <f>ROUND(INDEX(販管費予算!$E$21:$I$21,MATCH(AF$3,販管費予算!$E$4:$I$4,0))/12,0)+IF(COUNTIF($AB$3:AF$3,AF$3)=12,INDEX(販管費予算!$E$21:$I$21,MATCH(AF$3,販管費予算!$E$4:$I$4,0))-12*ROUND(INDEX(販管費予算!$E$21:$I$21,MATCH(AF$3,販管費予算!$E$4:$I$4,0))/12,0),0)</f>
        <v>0.0</v>
      </c>
      <c r="AG64" s="409">
        <f>ROUND(INDEX(販管費予算!$E$21:$I$21,MATCH(AG$3,販管費予算!$E$4:$I$4,0))/12,0)+IF(COUNTIF($AB$3:AG$3,AG$3)=12,INDEX(販管費予算!$E$21:$I$21,MATCH(AG$3,販管費予算!$E$4:$I$4,0))-12*ROUND(INDEX(販管費予算!$E$21:$I$21,MATCH(AG$3,販管費予算!$E$4:$I$4,0))/12,0),0)</f>
        <v>0.0</v>
      </c>
      <c r="AH64" s="409">
        <f>ROUND(INDEX(販管費予算!$E$21:$I$21,MATCH(AH$3,販管費予算!$E$4:$I$4,0))/12,0)+IF(COUNTIF($AB$3:AH$3,AH$3)=12,INDEX(販管費予算!$E$21:$I$21,MATCH(AH$3,販管費予算!$E$4:$I$4,0))-12*ROUND(INDEX(販管費予算!$E$21:$I$21,MATCH(AH$3,販管費予算!$E$4:$I$4,0))/12,0),0)</f>
        <v>0.0</v>
      </c>
      <c r="AI64" s="409">
        <f>ROUND(INDEX(販管費予算!$E$21:$I$21,MATCH(AI$3,販管費予算!$E$4:$I$4,0))/12,0)+IF(COUNTIF($AB$3:AI$3,AI$3)=12,INDEX(販管費予算!$E$21:$I$21,MATCH(AI$3,販管費予算!$E$4:$I$4,0))-12*ROUND(INDEX(販管費予算!$E$21:$I$21,MATCH(AI$3,販管費予算!$E$4:$I$4,0))/12,0),0)</f>
        <v>0.0</v>
      </c>
      <c r="AJ64" s="409">
        <f>ROUND(INDEX(販管費予算!$E$21:$I$21,MATCH(AJ$3,販管費予算!$E$4:$I$4,0))/12,0)+IF(COUNTIF($AB$3:AJ$3,AJ$3)=12,INDEX(販管費予算!$E$21:$I$21,MATCH(AJ$3,販管費予算!$E$4:$I$4,0))-12*ROUND(INDEX(販管費予算!$E$21:$I$21,MATCH(AJ$3,販管費予算!$E$4:$I$4,0))/12,0),0)</f>
        <v>0.0</v>
      </c>
      <c r="AK64" s="409">
        <f>ROUND(INDEX(販管費予算!$E$21:$I$21,MATCH(AK$3,販管費予算!$E$4:$I$4,0))/12,0)+IF(COUNTIF($AB$3:AK$3,AK$3)=12,INDEX(販管費予算!$E$21:$I$21,MATCH(AK$3,販管費予算!$E$4:$I$4,0))-12*ROUND(INDEX(販管費予算!$E$21:$I$21,MATCH(AK$3,販管費予算!$E$4:$I$4,0))/12,0),0)</f>
        <v>0.0</v>
      </c>
      <c r="AL64" s="409">
        <f>ROUND(INDEX(販管費予算!$E$21:$I$21,MATCH(AL$3,販管費予算!$E$4:$I$4,0))/12,0)+IF(COUNTIF($AB$3:AL$3,AL$3)=12,INDEX(販管費予算!$E$21:$I$21,MATCH(AL$3,販管費予算!$E$4:$I$4,0))-12*ROUND(INDEX(販管費予算!$E$21:$I$21,MATCH(AL$3,販管費予算!$E$4:$I$4,0))/12,0),0)</f>
        <v>0.0</v>
      </c>
      <c r="AM64" s="412">
        <f>ROUND(INDEX(販管費予算!$E$21:$I$21,MATCH(AM$3,販管費予算!$E$4:$I$4,0))/12,0)+IF(COUNTIF($AB$3:AM$3,AM$3)=12,INDEX(販管費予算!$E$21:$I$21,MATCH(AM$3,販管費予算!$E$4:$I$4,0))-12*ROUND(INDEX(販管費予算!$E$21:$I$21,MATCH(AM$3,販管費予算!$E$4:$I$4,0))/12,0),0)</f>
        <v>0.0</v>
      </c>
      <c r="AN64" s="408">
        <f>ROUND(INDEX(販管費予算!$E$21:$I$21,MATCH(AN$3,販管費予算!$E$4:$I$4,0))/12,0)+IF(COUNTIF($AB$3:AN$3,AN$3)=12,INDEX(販管費予算!$E$21:$I$21,MATCH(AN$3,販管費予算!$E$4:$I$4,0))-12*ROUND(INDEX(販管費予算!$E$21:$I$21,MATCH(AN$3,販管費予算!$E$4:$I$4,0))/12,0),0)</f>
        <v>25000.0</v>
      </c>
      <c r="AO64" s="409">
        <f>ROUND(INDEX(販管費予算!$E$21:$I$21,MATCH(AO$3,販管費予算!$E$4:$I$4,0))/12,0)+IF(COUNTIF($AB$3:AO$3,AO$3)=12,INDEX(販管費予算!$E$21:$I$21,MATCH(AO$3,販管費予算!$E$4:$I$4,0))-12*ROUND(INDEX(販管費予算!$E$21:$I$21,MATCH(AO$3,販管費予算!$E$4:$I$4,0))/12,0),0)</f>
        <v>25000.0</v>
      </c>
      <c r="AP64" s="409">
        <f>ROUND(INDEX(販管費予算!$E$21:$I$21,MATCH(AP$3,販管費予算!$E$4:$I$4,0))/12,0)+IF(COUNTIF($AB$3:AP$3,AP$3)=12,INDEX(販管費予算!$E$21:$I$21,MATCH(AP$3,販管費予算!$E$4:$I$4,0))-12*ROUND(INDEX(販管費予算!$E$21:$I$21,MATCH(AP$3,販管費予算!$E$4:$I$4,0))/12,0),0)</f>
        <v>25000.0</v>
      </c>
      <c r="AQ64" s="409">
        <f>ROUND(INDEX(販管費予算!$E$21:$I$21,MATCH(AQ$3,販管費予算!$E$4:$I$4,0))/12,0)+IF(COUNTIF($AB$3:AQ$3,AQ$3)=12,INDEX(販管費予算!$E$21:$I$21,MATCH(AQ$3,販管費予算!$E$4:$I$4,0))-12*ROUND(INDEX(販管費予算!$E$21:$I$21,MATCH(AQ$3,販管費予算!$E$4:$I$4,0))/12,0),0)</f>
        <v>25000.0</v>
      </c>
      <c r="AR64" s="409">
        <f>ROUND(INDEX(販管費予算!$E$21:$I$21,MATCH(AR$3,販管費予算!$E$4:$I$4,0))/12,0)+IF(COUNTIF($AB$3:AR$3,AR$3)=12,INDEX(販管費予算!$E$21:$I$21,MATCH(AR$3,販管費予算!$E$4:$I$4,0))-12*ROUND(INDEX(販管費予算!$E$21:$I$21,MATCH(AR$3,販管費予算!$E$4:$I$4,0))/12,0),0)</f>
        <v>25000.0</v>
      </c>
      <c r="AS64" s="409">
        <f>ROUND(INDEX(販管費予算!$E$21:$I$21,MATCH(AS$3,販管費予算!$E$4:$I$4,0))/12,0)+IF(COUNTIF($AB$3:AS$3,AS$3)=12,INDEX(販管費予算!$E$21:$I$21,MATCH(AS$3,販管費予算!$E$4:$I$4,0))-12*ROUND(INDEX(販管費予算!$E$21:$I$21,MATCH(AS$3,販管費予算!$E$4:$I$4,0))/12,0),0)</f>
        <v>25000.0</v>
      </c>
      <c r="AT64" s="409">
        <f>ROUND(INDEX(販管費予算!$E$21:$I$21,MATCH(AT$3,販管費予算!$E$4:$I$4,0))/12,0)+IF(COUNTIF($AB$3:AT$3,AT$3)=12,INDEX(販管費予算!$E$21:$I$21,MATCH(AT$3,販管費予算!$E$4:$I$4,0))-12*ROUND(INDEX(販管費予算!$E$21:$I$21,MATCH(AT$3,販管費予算!$E$4:$I$4,0))/12,0),0)</f>
        <v>25000.0</v>
      </c>
      <c r="AU64" s="409">
        <f>ROUND(INDEX(販管費予算!$E$21:$I$21,MATCH(AU$3,販管費予算!$E$4:$I$4,0))/12,0)+IF(COUNTIF($AB$3:AU$3,AU$3)=12,INDEX(販管費予算!$E$21:$I$21,MATCH(AU$3,販管費予算!$E$4:$I$4,0))-12*ROUND(INDEX(販管費予算!$E$21:$I$21,MATCH(AU$3,販管費予算!$E$4:$I$4,0))/12,0),0)</f>
        <v>25000.0</v>
      </c>
      <c r="AV64" s="409">
        <f>ROUND(INDEX(販管費予算!$E$21:$I$21,MATCH(AV$3,販管費予算!$E$4:$I$4,0))/12,0)+IF(COUNTIF($AB$3:AV$3,AV$3)=12,INDEX(販管費予算!$E$21:$I$21,MATCH(AV$3,販管費予算!$E$4:$I$4,0))-12*ROUND(INDEX(販管費予算!$E$21:$I$21,MATCH(AV$3,販管費予算!$E$4:$I$4,0))/12,0),0)</f>
        <v>25000.0</v>
      </c>
      <c r="AW64" s="409">
        <f>ROUND(INDEX(販管費予算!$E$21:$I$21,MATCH(AW$3,販管費予算!$E$4:$I$4,0))/12,0)+IF(COUNTIF($AB$3:AW$3,AW$3)=12,INDEX(販管費予算!$E$21:$I$21,MATCH(AW$3,販管費予算!$E$4:$I$4,0))-12*ROUND(INDEX(販管費予算!$E$21:$I$21,MATCH(AW$3,販管費予算!$E$4:$I$4,0))/12,0),0)</f>
        <v>25000.0</v>
      </c>
      <c r="AX64" s="409">
        <f>ROUND(INDEX(販管費予算!$E$21:$I$21,MATCH(AX$3,販管費予算!$E$4:$I$4,0))/12,0)+IF(COUNTIF($AB$3:AX$3,AX$3)=12,INDEX(販管費予算!$E$21:$I$21,MATCH(AX$3,販管費予算!$E$4:$I$4,0))-12*ROUND(INDEX(販管費予算!$E$21:$I$21,MATCH(AX$3,販管費予算!$E$4:$I$4,0))/12,0),0)</f>
        <v>25000.0</v>
      </c>
      <c r="AY64" s="412">
        <f>ROUND(INDEX(販管費予算!$E$21:$I$21,MATCH(AY$3,販管費予算!$E$4:$I$4,0))/12,0)+IF(COUNTIF($AB$3:AY$3,AY$3)=12,INDEX(販管費予算!$E$21:$I$21,MATCH(AY$3,販管費予算!$E$4:$I$4,0))-12*ROUND(INDEX(販管費予算!$E$21:$I$21,MATCH(AY$3,販管費予算!$E$4:$I$4,0))/12,0),0)</f>
        <v>25000.0</v>
      </c>
      <c r="AZ64" s="408">
        <f>ROUND(INDEX(販管費予算!$E$21:$I$21,MATCH(AZ$3,販管費予算!$E$4:$I$4,0))/12,0)+IF(COUNTIF($AB$3:AZ$3,AZ$3)=12,INDEX(販管費予算!$E$21:$I$21,MATCH(AZ$3,販管費予算!$E$4:$I$4,0))-12*ROUND(INDEX(販管費予算!$E$21:$I$21,MATCH(AZ$3,販管費予算!$E$4:$I$4,0))/12,0),0)</f>
        <v>50000.0</v>
      </c>
      <c r="BA64" s="409">
        <f>ROUND(INDEX(販管費予算!$E$21:$I$21,MATCH(BA$3,販管費予算!$E$4:$I$4,0))/12,0)+IF(COUNTIF($AB$3:BA$3,BA$3)=12,INDEX(販管費予算!$E$21:$I$21,MATCH(BA$3,販管費予算!$E$4:$I$4,0))-12*ROUND(INDEX(販管費予算!$E$21:$I$21,MATCH(BA$3,販管費予算!$E$4:$I$4,0))/12,0),0)</f>
        <v>50000.0</v>
      </c>
      <c r="BB64" s="409">
        <f>ROUND(INDEX(販管費予算!$E$21:$I$21,MATCH(BB$3,販管費予算!$E$4:$I$4,0))/12,0)+IF(COUNTIF($AB$3:BB$3,BB$3)=12,INDEX(販管費予算!$E$21:$I$21,MATCH(BB$3,販管費予算!$E$4:$I$4,0))-12*ROUND(INDEX(販管費予算!$E$21:$I$21,MATCH(BB$3,販管費予算!$E$4:$I$4,0))/12,0),0)</f>
        <v>50000.0</v>
      </c>
      <c r="BC64" s="409">
        <f>ROUND(INDEX(販管費予算!$E$21:$I$21,MATCH(BC$3,販管費予算!$E$4:$I$4,0))/12,0)+IF(COUNTIF($AB$3:BC$3,BC$3)=12,INDEX(販管費予算!$E$21:$I$21,MATCH(BC$3,販管費予算!$E$4:$I$4,0))-12*ROUND(INDEX(販管費予算!$E$21:$I$21,MATCH(BC$3,販管費予算!$E$4:$I$4,0))/12,0),0)</f>
        <v>50000.0</v>
      </c>
      <c r="BD64" s="409">
        <f>ROUND(INDEX(販管費予算!$E$21:$I$21,MATCH(BD$3,販管費予算!$E$4:$I$4,0))/12,0)+IF(COUNTIF($AB$3:BD$3,BD$3)=12,INDEX(販管費予算!$E$21:$I$21,MATCH(BD$3,販管費予算!$E$4:$I$4,0))-12*ROUND(INDEX(販管費予算!$E$21:$I$21,MATCH(BD$3,販管費予算!$E$4:$I$4,0))/12,0),0)</f>
        <v>50000.0</v>
      </c>
      <c r="BE64" s="409">
        <f>ROUND(INDEX(販管費予算!$E$21:$I$21,MATCH(BE$3,販管費予算!$E$4:$I$4,0))/12,0)+IF(COUNTIF($AB$3:BE$3,BE$3)=12,INDEX(販管費予算!$E$21:$I$21,MATCH(BE$3,販管費予算!$E$4:$I$4,0))-12*ROUND(INDEX(販管費予算!$E$21:$I$21,MATCH(BE$3,販管費予算!$E$4:$I$4,0))/12,0),0)</f>
        <v>50000.0</v>
      </c>
      <c r="BF64" s="409">
        <f>ROUND(INDEX(販管費予算!$E$21:$I$21,MATCH(BF$3,販管費予算!$E$4:$I$4,0))/12,0)+IF(COUNTIF($AB$3:BF$3,BF$3)=12,INDEX(販管費予算!$E$21:$I$21,MATCH(BF$3,販管費予算!$E$4:$I$4,0))-12*ROUND(INDEX(販管費予算!$E$21:$I$21,MATCH(BF$3,販管費予算!$E$4:$I$4,0))/12,0),0)</f>
        <v>50000.0</v>
      </c>
      <c r="BG64" s="409">
        <f>ROUND(INDEX(販管費予算!$E$21:$I$21,MATCH(BG$3,販管費予算!$E$4:$I$4,0))/12,0)+IF(COUNTIF($AB$3:BG$3,BG$3)=12,INDEX(販管費予算!$E$21:$I$21,MATCH(BG$3,販管費予算!$E$4:$I$4,0))-12*ROUND(INDEX(販管費予算!$E$21:$I$21,MATCH(BG$3,販管費予算!$E$4:$I$4,0))/12,0),0)</f>
        <v>50000.0</v>
      </c>
      <c r="BH64" s="409">
        <f>ROUND(INDEX(販管費予算!$E$21:$I$21,MATCH(BH$3,販管費予算!$E$4:$I$4,0))/12,0)+IF(COUNTIF($AB$3:BH$3,BH$3)=12,INDEX(販管費予算!$E$21:$I$21,MATCH(BH$3,販管費予算!$E$4:$I$4,0))-12*ROUND(INDEX(販管費予算!$E$21:$I$21,MATCH(BH$3,販管費予算!$E$4:$I$4,0))/12,0),0)</f>
        <v>50000.0</v>
      </c>
      <c r="BI64" s="409">
        <f>ROUND(INDEX(販管費予算!$E$21:$I$21,MATCH(BI$3,販管費予算!$E$4:$I$4,0))/12,0)+IF(COUNTIF($AB$3:BI$3,BI$3)=12,INDEX(販管費予算!$E$21:$I$21,MATCH(BI$3,販管費予算!$E$4:$I$4,0))-12*ROUND(INDEX(販管費予算!$E$21:$I$21,MATCH(BI$3,販管費予算!$E$4:$I$4,0))/12,0),0)</f>
        <v>50000.0</v>
      </c>
      <c r="BJ64" s="409">
        <f>ROUND(INDEX(販管費予算!$E$21:$I$21,MATCH(BJ$3,販管費予算!$E$4:$I$4,0))/12,0)+IF(COUNTIF($AB$3:BJ$3,BJ$3)=12,INDEX(販管費予算!$E$21:$I$21,MATCH(BJ$3,販管費予算!$E$4:$I$4,0))-12*ROUND(INDEX(販管費予算!$E$21:$I$21,MATCH(BJ$3,販管費予算!$E$4:$I$4,0))/12,0),0)</f>
        <v>50000.0</v>
      </c>
      <c r="BK64" s="412">
        <f>ROUND(INDEX(販管費予算!$E$21:$I$21,MATCH(BK$3,販管費予算!$E$4:$I$4,0))/12,0)+IF(COUNTIF($AB$3:BK$3,BK$3)=12,INDEX(販管費予算!$E$21:$I$21,MATCH(BK$3,販管費予算!$E$4:$I$4,0))-12*ROUND(INDEX(販管費予算!$E$21:$I$21,MATCH(BK$3,販管費予算!$E$4:$I$4,0))/12,0),0)</f>
        <v>50000.0</v>
      </c>
      <c r="BL64" s="408">
        <f>ROUND(INDEX(販管費予算!$E$21:$I$21,MATCH(BL$3,販管費予算!$E$4:$I$4,0))/12,0)+IF(COUNTIF($AB$3:BL$3,BL$3)=12,INDEX(販管費予算!$E$21:$I$21,MATCH(BL$3,販管費予算!$E$4:$I$4,0))-12*ROUND(INDEX(販管費予算!$E$21:$I$21,MATCH(BL$3,販管費予算!$E$4:$I$4,0))/12,0),0)</f>
        <v>83333.0</v>
      </c>
      <c r="BM64" s="409">
        <f>ROUND(INDEX(販管費予算!$E$21:$I$21,MATCH(BM$3,販管費予算!$E$4:$I$4,0))/12,0)+IF(COUNTIF($AB$3:BM$3,BM$3)=12,INDEX(販管費予算!$E$21:$I$21,MATCH(BM$3,販管費予算!$E$4:$I$4,0))-12*ROUND(INDEX(販管費予算!$E$21:$I$21,MATCH(BM$3,販管費予算!$E$4:$I$4,0))/12,0),0)</f>
        <v>83333.0</v>
      </c>
      <c r="BN64" s="409">
        <f>ROUND(INDEX(販管費予算!$E$21:$I$21,MATCH(BN$3,販管費予算!$E$4:$I$4,0))/12,0)+IF(COUNTIF($AB$3:BN$3,BN$3)=12,INDEX(販管費予算!$E$21:$I$21,MATCH(BN$3,販管費予算!$E$4:$I$4,0))-12*ROUND(INDEX(販管費予算!$E$21:$I$21,MATCH(BN$3,販管費予算!$E$4:$I$4,0))/12,0),0)</f>
        <v>83333.0</v>
      </c>
      <c r="BO64" s="409">
        <f>ROUND(INDEX(販管費予算!$E$21:$I$21,MATCH(BO$3,販管費予算!$E$4:$I$4,0))/12,0)+IF(COUNTIF($AB$3:BO$3,BO$3)=12,INDEX(販管費予算!$E$21:$I$21,MATCH(BO$3,販管費予算!$E$4:$I$4,0))-12*ROUND(INDEX(販管費予算!$E$21:$I$21,MATCH(BO$3,販管費予算!$E$4:$I$4,0))/12,0),0)</f>
        <v>83333.0</v>
      </c>
      <c r="BP64" s="409">
        <f>ROUND(INDEX(販管費予算!$E$21:$I$21,MATCH(BP$3,販管費予算!$E$4:$I$4,0))/12,0)+IF(COUNTIF($AB$3:BP$3,BP$3)=12,INDEX(販管費予算!$E$21:$I$21,MATCH(BP$3,販管費予算!$E$4:$I$4,0))-12*ROUND(INDEX(販管費予算!$E$21:$I$21,MATCH(BP$3,販管費予算!$E$4:$I$4,0))/12,0),0)</f>
        <v>83333.0</v>
      </c>
      <c r="BQ64" s="409">
        <f>ROUND(INDEX(販管費予算!$E$21:$I$21,MATCH(BQ$3,販管費予算!$E$4:$I$4,0))/12,0)+IF(COUNTIF($AB$3:BQ$3,BQ$3)=12,INDEX(販管費予算!$E$21:$I$21,MATCH(BQ$3,販管費予算!$E$4:$I$4,0))-12*ROUND(INDEX(販管費予算!$E$21:$I$21,MATCH(BQ$3,販管費予算!$E$4:$I$4,0))/12,0),0)</f>
        <v>83333.0</v>
      </c>
      <c r="BR64" s="409">
        <f>ROUND(INDEX(販管費予算!$E$21:$I$21,MATCH(BR$3,販管費予算!$E$4:$I$4,0))/12,0)+IF(COUNTIF($AB$3:BR$3,BR$3)=12,INDEX(販管費予算!$E$21:$I$21,MATCH(BR$3,販管費予算!$E$4:$I$4,0))-12*ROUND(INDEX(販管費予算!$E$21:$I$21,MATCH(BR$3,販管費予算!$E$4:$I$4,0))/12,0),0)</f>
        <v>83333.0</v>
      </c>
      <c r="BS64" s="409">
        <f>ROUND(INDEX(販管費予算!$E$21:$I$21,MATCH(BS$3,販管費予算!$E$4:$I$4,0))/12,0)+IF(COUNTIF($AB$3:BS$3,BS$3)=12,INDEX(販管費予算!$E$21:$I$21,MATCH(BS$3,販管費予算!$E$4:$I$4,0))-12*ROUND(INDEX(販管費予算!$E$21:$I$21,MATCH(BS$3,販管費予算!$E$4:$I$4,0))/12,0),0)</f>
        <v>83333.0</v>
      </c>
      <c r="BT64" s="409">
        <f>ROUND(INDEX(販管費予算!$E$21:$I$21,MATCH(BT$3,販管費予算!$E$4:$I$4,0))/12,0)+IF(COUNTIF($AB$3:BT$3,BT$3)=12,INDEX(販管費予算!$E$21:$I$21,MATCH(BT$3,販管費予算!$E$4:$I$4,0))-12*ROUND(INDEX(販管費予算!$E$21:$I$21,MATCH(BT$3,販管費予算!$E$4:$I$4,0))/12,0),0)</f>
        <v>83333.0</v>
      </c>
      <c r="BU64" s="409">
        <f>ROUND(INDEX(販管費予算!$E$21:$I$21,MATCH(BU$3,販管費予算!$E$4:$I$4,0))/12,0)+IF(COUNTIF($AB$3:BU$3,BU$3)=12,INDEX(販管費予算!$E$21:$I$21,MATCH(BU$3,販管費予算!$E$4:$I$4,0))-12*ROUND(INDEX(販管費予算!$E$21:$I$21,MATCH(BU$3,販管費予算!$E$4:$I$4,0))/12,0),0)</f>
        <v>83333.0</v>
      </c>
      <c r="BV64" s="409">
        <f>ROUND(INDEX(販管費予算!$E$21:$I$21,MATCH(BV$3,販管費予算!$E$4:$I$4,0))/12,0)+IF(COUNTIF($AB$3:BV$3,BV$3)=12,INDEX(販管費予算!$E$21:$I$21,MATCH(BV$3,販管費予算!$E$4:$I$4,0))-12*ROUND(INDEX(販管費予算!$E$21:$I$21,MATCH(BV$3,販管費予算!$E$4:$I$4,0))/12,0),0)</f>
        <v>83333.0</v>
      </c>
      <c r="BW64" s="412">
        <f>ROUND(INDEX(販管費予算!$E$21:$I$21,MATCH(BW$3,販管費予算!$E$4:$I$4,0))/12,0)+IF(COUNTIF($AB$3:BW$3,BW$3)=12,INDEX(販管費予算!$E$21:$I$21,MATCH(BW$3,販管費予算!$E$4:$I$4,0))-12*ROUND(INDEX(販管費予算!$E$21:$I$21,MATCH(BW$3,販管費予算!$E$4:$I$4,0))/12,0),0)</f>
        <v>83337.0</v>
      </c>
      <c r="BX64" s="408">
        <f>ROUND(INDEX(販管費予算!$E$21:$I$21,MATCH(BX$3,販管費予算!$E$4:$I$4,0))/12,0)+IF(COUNTIF($AB$3:BX$3,BX$3)=12,INDEX(販管費予算!$E$21:$I$21,MATCH(BX$3,販管費予算!$E$4:$I$4,0))-12*ROUND(INDEX(販管費予算!$E$21:$I$21,MATCH(BX$3,販管費予算!$E$4:$I$4,0))/12,0),0)</f>
        <v>166667.0</v>
      </c>
      <c r="BY64" s="409">
        <f>ROUND(INDEX(販管費予算!$E$21:$I$21,MATCH(BY$3,販管費予算!$E$4:$I$4,0))/12,0)+IF(COUNTIF($AB$3:BY$3,BY$3)=12,INDEX(販管費予算!$E$21:$I$21,MATCH(BY$3,販管費予算!$E$4:$I$4,0))-12*ROUND(INDEX(販管費予算!$E$21:$I$21,MATCH(BY$3,販管費予算!$E$4:$I$4,0))/12,0),0)</f>
        <v>166667.0</v>
      </c>
      <c r="BZ64" s="409">
        <f>ROUND(INDEX(販管費予算!$E$21:$I$21,MATCH(BZ$3,販管費予算!$E$4:$I$4,0))/12,0)+IF(COUNTIF($AB$3:BZ$3,BZ$3)=12,INDEX(販管費予算!$E$21:$I$21,MATCH(BZ$3,販管費予算!$E$4:$I$4,0))-12*ROUND(INDEX(販管費予算!$E$21:$I$21,MATCH(BZ$3,販管費予算!$E$4:$I$4,0))/12,0),0)</f>
        <v>166667.0</v>
      </c>
      <c r="CA64" s="409">
        <f>ROUND(INDEX(販管費予算!$E$21:$I$21,MATCH(CA$3,販管費予算!$E$4:$I$4,0))/12,0)+IF(COUNTIF($AB$3:CA$3,CA$3)=12,INDEX(販管費予算!$E$21:$I$21,MATCH(CA$3,販管費予算!$E$4:$I$4,0))-12*ROUND(INDEX(販管費予算!$E$21:$I$21,MATCH(CA$3,販管費予算!$E$4:$I$4,0))/12,0),0)</f>
        <v>166667.0</v>
      </c>
      <c r="CB64" s="409">
        <f>ROUND(INDEX(販管費予算!$E$21:$I$21,MATCH(CB$3,販管費予算!$E$4:$I$4,0))/12,0)+IF(COUNTIF($AB$3:CB$3,CB$3)=12,INDEX(販管費予算!$E$21:$I$21,MATCH(CB$3,販管費予算!$E$4:$I$4,0))-12*ROUND(INDEX(販管費予算!$E$21:$I$21,MATCH(CB$3,販管費予算!$E$4:$I$4,0))/12,0),0)</f>
        <v>166667.0</v>
      </c>
      <c r="CC64" s="409">
        <f>ROUND(INDEX(販管費予算!$E$21:$I$21,MATCH(CC$3,販管費予算!$E$4:$I$4,0))/12,0)+IF(COUNTIF($AB$3:CC$3,CC$3)=12,INDEX(販管費予算!$E$21:$I$21,MATCH(CC$3,販管費予算!$E$4:$I$4,0))-12*ROUND(INDEX(販管費予算!$E$21:$I$21,MATCH(CC$3,販管費予算!$E$4:$I$4,0))/12,0),0)</f>
        <v>166667.0</v>
      </c>
      <c r="CD64" s="409">
        <f>ROUND(INDEX(販管費予算!$E$21:$I$21,MATCH(CD$3,販管費予算!$E$4:$I$4,0))/12,0)+IF(COUNTIF($AB$3:CD$3,CD$3)=12,INDEX(販管費予算!$E$21:$I$21,MATCH(CD$3,販管費予算!$E$4:$I$4,0))-12*ROUND(INDEX(販管費予算!$E$21:$I$21,MATCH(CD$3,販管費予算!$E$4:$I$4,0))/12,0),0)</f>
        <v>166667.0</v>
      </c>
      <c r="CE64" s="409">
        <f>ROUND(INDEX(販管費予算!$E$21:$I$21,MATCH(CE$3,販管費予算!$E$4:$I$4,0))/12,0)+IF(COUNTIF($AB$3:CE$3,CE$3)=12,INDEX(販管費予算!$E$21:$I$21,MATCH(CE$3,販管費予算!$E$4:$I$4,0))-12*ROUND(INDEX(販管費予算!$E$21:$I$21,MATCH(CE$3,販管費予算!$E$4:$I$4,0))/12,0),0)</f>
        <v>166667.0</v>
      </c>
      <c r="CF64" s="409">
        <f>ROUND(INDEX(販管費予算!$E$21:$I$21,MATCH(CF$3,販管費予算!$E$4:$I$4,0))/12,0)+IF(COUNTIF($AB$3:CF$3,CF$3)=12,INDEX(販管費予算!$E$21:$I$21,MATCH(CF$3,販管費予算!$E$4:$I$4,0))-12*ROUND(INDEX(販管費予算!$E$21:$I$21,MATCH(CF$3,販管費予算!$E$4:$I$4,0))/12,0),0)</f>
        <v>166667.0</v>
      </c>
      <c r="CG64" s="409">
        <f>ROUND(INDEX(販管費予算!$E$21:$I$21,MATCH(CG$3,販管費予算!$E$4:$I$4,0))/12,0)+IF(COUNTIF($AB$3:CG$3,CG$3)=12,INDEX(販管費予算!$E$21:$I$21,MATCH(CG$3,販管費予算!$E$4:$I$4,0))-12*ROUND(INDEX(販管費予算!$E$21:$I$21,MATCH(CG$3,販管費予算!$E$4:$I$4,0))/12,0),0)</f>
        <v>166667.0</v>
      </c>
      <c r="CH64" s="409">
        <f>ROUND(INDEX(販管費予算!$E$21:$I$21,MATCH(CH$3,販管費予算!$E$4:$I$4,0))/12,0)+IF(COUNTIF($AB$3:CH$3,CH$3)=12,INDEX(販管費予算!$E$21:$I$21,MATCH(CH$3,販管費予算!$E$4:$I$4,0))-12*ROUND(INDEX(販管費予算!$E$21:$I$21,MATCH(CH$3,販管費予算!$E$4:$I$4,0))/12,0),0)</f>
        <v>166667.0</v>
      </c>
      <c r="CI64" s="412">
        <f>ROUND(INDEX(販管費予算!$E$21:$I$21,MATCH(CI$3,販管費予算!$E$4:$I$4,0))/12,0)+IF(COUNTIF($AB$3:CI$3,CI$3)=12,INDEX(販管費予算!$E$21:$I$21,MATCH(CI$3,販管費予算!$E$4:$I$4,0))-12*ROUND(INDEX(販管費予算!$E$21:$I$21,MATCH(CI$3,販管費予算!$E$4:$I$4,0))/12,0),0)</f>
        <v>166663.0</v>
      </c>
    </row>
    <row r="65" ht="18" customHeight="1" s="145">
      <c r="A65" s="233" t="n"/>
      <c r="B65" s="233" t="inlineStr">
        <is>
          <t>修繕費</t>
        </is>
      </c>
      <c r="C65" s="233" t="inlineStr">
        <is>
          <t>全社</t>
        </is>
      </c>
      <c r="D65" s="234" t="n"/>
      <c r="E65" s="408">
        <f>SUMIF($AB$3:$CI$3,E$4,$AB65:$CI65)</f>
        <v>0.0</v>
      </c>
      <c r="F65" s="409">
        <f>SUMIF($AB$3:$CI$3,F$4,$AB65:$CI65)</f>
        <v>0.0</v>
      </c>
      <c r="G65" s="409">
        <f>SUMIF($AB$3:$CI$3,G$4,$AB65:$CI65)</f>
        <v>100000.0</v>
      </c>
      <c r="H65" s="409">
        <f>SUMIF($AB$3:$CI$3,H$4,$AB65:$CI65)</f>
        <v>200000.0</v>
      </c>
      <c r="I65" s="409">
        <f>SUMIF($AB$3:$CI$3,I$4,$AB65:$CI65)</f>
        <v>500000.0</v>
      </c>
      <c r="J65" s="407">
        <f>SUM(E65:I65)</f>
        <v>800000.0</v>
      </c>
      <c r="K65" s="407">
        <f>SUMIF($Q$3:$CN$3,K$4,$Q65:$CN65)</f>
        <v>0.0</v>
      </c>
      <c r="L65" s="407">
        <f>SUMIF($Q$3:$CN$3,L$4,$Q65:$CN65)</f>
        <v>0.0</v>
      </c>
      <c r="M65" s="407">
        <f>SUMIF($Q$3:$CN$3,M$4,$Q65:$CN65)</f>
        <v>0.0</v>
      </c>
      <c r="N65" s="407">
        <f>SUMIF($Q$3:$CN$3,N$4,$Q65:$CN65)</f>
        <v>0.0</v>
      </c>
      <c r="O65" s="235" t="n"/>
      <c r="P65" s="408" t="n"/>
      <c r="Q65" s="409" t="n"/>
      <c r="R65" s="409" t="n"/>
      <c r="S65" s="409" t="n"/>
      <c r="T65" s="409" t="n"/>
      <c r="U65" s="409" t="n"/>
      <c r="V65" s="409" t="n"/>
      <c r="W65" s="409" t="n"/>
      <c r="X65" s="409" t="n"/>
      <c r="Y65" s="409" t="n"/>
      <c r="Z65" s="409" t="n"/>
      <c r="AA65" s="412" t="n"/>
      <c r="AB65" s="476">
        <f>ROUND(INDEX(販管費予算!$E$22:$I$22,MATCH(AB$3,販管費予算!$E$4:$I$4,0))/12,0)+IF(COUNTIF($AB$3:AB$3,AB$3)=12,INDEX(販管費予算!$E$22:$I$22,MATCH(AB$3,販管費予算!$E$4:$I$4,0))-12*ROUND(INDEX(販管費予算!$E$22:$I$22,MATCH(AB$3,販管費予算!$E$4:$I$4,0))/12,0),0)</f>
        <v>0.0</v>
      </c>
      <c r="AC65" s="477">
        <f>ROUND(INDEX(販管費予算!$E$22:$I$22,MATCH(AC$3,販管費予算!$E$4:$I$4,0))/12,0)+IF(COUNTIF($AB$3:AC$3,AC$3)=12,INDEX(販管費予算!$E$22:$I$22,MATCH(AC$3,販管費予算!$E$4:$I$4,0))-12*ROUND(INDEX(販管費予算!$E$22:$I$22,MATCH(AC$3,販管費予算!$E$4:$I$4,0))/12,0),0)</f>
        <v>0.0</v>
      </c>
      <c r="AD65" s="477">
        <f>ROUND(INDEX(販管費予算!$E$22:$I$22,MATCH(AD$3,販管費予算!$E$4:$I$4,0))/12,0)+IF(COUNTIF($AB$3:AD$3,AD$3)=12,INDEX(販管費予算!$E$22:$I$22,MATCH(AD$3,販管費予算!$E$4:$I$4,0))-12*ROUND(INDEX(販管費予算!$E$22:$I$22,MATCH(AD$3,販管費予算!$E$4:$I$4,0))/12,0),0)</f>
        <v>0.0</v>
      </c>
      <c r="AE65" s="477">
        <f>ROUND(INDEX(販管費予算!$E$22:$I$22,MATCH(AE$3,販管費予算!$E$4:$I$4,0))/12,0)+IF(COUNTIF($AB$3:AE$3,AE$3)=12,INDEX(販管費予算!$E$22:$I$22,MATCH(AE$3,販管費予算!$E$4:$I$4,0))-12*ROUND(INDEX(販管費予算!$E$22:$I$22,MATCH(AE$3,販管費予算!$E$4:$I$4,0))/12,0),0)</f>
        <v>0.0</v>
      </c>
      <c r="AF65" s="477">
        <f>ROUND(INDEX(販管費予算!$E$22:$I$22,MATCH(AF$3,販管費予算!$E$4:$I$4,0))/12,0)+IF(COUNTIF($AB$3:AF$3,AF$3)=12,INDEX(販管費予算!$E$22:$I$22,MATCH(AF$3,販管費予算!$E$4:$I$4,0))-12*ROUND(INDEX(販管費予算!$E$22:$I$22,MATCH(AF$3,販管費予算!$E$4:$I$4,0))/12,0),0)</f>
        <v>0.0</v>
      </c>
      <c r="AG65" s="409">
        <f>ROUND(INDEX(販管費予算!$E$22:$I$22,MATCH(AG$3,販管費予算!$E$4:$I$4,0))/12,0)+IF(COUNTIF($AB$3:AG$3,AG$3)=12,INDEX(販管費予算!$E$22:$I$22,MATCH(AG$3,販管費予算!$E$4:$I$4,0))-12*ROUND(INDEX(販管費予算!$E$22:$I$22,MATCH(AG$3,販管費予算!$E$4:$I$4,0))/12,0),0)</f>
        <v>0.0</v>
      </c>
      <c r="AH65" s="409">
        <f>ROUND(INDEX(販管費予算!$E$22:$I$22,MATCH(AH$3,販管費予算!$E$4:$I$4,0))/12,0)+IF(COUNTIF($AB$3:AH$3,AH$3)=12,INDEX(販管費予算!$E$22:$I$22,MATCH(AH$3,販管費予算!$E$4:$I$4,0))-12*ROUND(INDEX(販管費予算!$E$22:$I$22,MATCH(AH$3,販管費予算!$E$4:$I$4,0))/12,0),0)</f>
        <v>0.0</v>
      </c>
      <c r="AI65" s="409">
        <f>ROUND(INDEX(販管費予算!$E$22:$I$22,MATCH(AI$3,販管費予算!$E$4:$I$4,0))/12,0)+IF(COUNTIF($AB$3:AI$3,AI$3)=12,INDEX(販管費予算!$E$22:$I$22,MATCH(AI$3,販管費予算!$E$4:$I$4,0))-12*ROUND(INDEX(販管費予算!$E$22:$I$22,MATCH(AI$3,販管費予算!$E$4:$I$4,0))/12,0),0)</f>
        <v>0.0</v>
      </c>
      <c r="AJ65" s="409">
        <f>ROUND(INDEX(販管費予算!$E$22:$I$22,MATCH(AJ$3,販管費予算!$E$4:$I$4,0))/12,0)+IF(COUNTIF($AB$3:AJ$3,AJ$3)=12,INDEX(販管費予算!$E$22:$I$22,MATCH(AJ$3,販管費予算!$E$4:$I$4,0))-12*ROUND(INDEX(販管費予算!$E$22:$I$22,MATCH(AJ$3,販管費予算!$E$4:$I$4,0))/12,0),0)</f>
        <v>0.0</v>
      </c>
      <c r="AK65" s="409">
        <f>ROUND(INDEX(販管費予算!$E$22:$I$22,MATCH(AK$3,販管費予算!$E$4:$I$4,0))/12,0)+IF(COUNTIF($AB$3:AK$3,AK$3)=12,INDEX(販管費予算!$E$22:$I$22,MATCH(AK$3,販管費予算!$E$4:$I$4,0))-12*ROUND(INDEX(販管費予算!$E$22:$I$22,MATCH(AK$3,販管費予算!$E$4:$I$4,0))/12,0),0)</f>
        <v>0.0</v>
      </c>
      <c r="AL65" s="409">
        <f>ROUND(INDEX(販管費予算!$E$22:$I$22,MATCH(AL$3,販管費予算!$E$4:$I$4,0))/12,0)+IF(COUNTIF($AB$3:AL$3,AL$3)=12,INDEX(販管費予算!$E$22:$I$22,MATCH(AL$3,販管費予算!$E$4:$I$4,0))-12*ROUND(INDEX(販管費予算!$E$22:$I$22,MATCH(AL$3,販管費予算!$E$4:$I$4,0))/12,0),0)</f>
        <v>0.0</v>
      </c>
      <c r="AM65" s="412">
        <f>ROUND(INDEX(販管費予算!$E$22:$I$22,MATCH(AM$3,販管費予算!$E$4:$I$4,0))/12,0)+IF(COUNTIF($AB$3:AM$3,AM$3)=12,INDEX(販管費予算!$E$22:$I$22,MATCH(AM$3,販管費予算!$E$4:$I$4,0))-12*ROUND(INDEX(販管費予算!$E$22:$I$22,MATCH(AM$3,販管費予算!$E$4:$I$4,0))/12,0),0)</f>
        <v>0.0</v>
      </c>
      <c r="AN65" s="408">
        <f>ROUND(INDEX(販管費予算!$E$22:$I$22,MATCH(AN$3,販管費予算!$E$4:$I$4,0))/12,0)+IF(COUNTIF($AB$3:AN$3,AN$3)=12,INDEX(販管費予算!$E$22:$I$22,MATCH(AN$3,販管費予算!$E$4:$I$4,0))-12*ROUND(INDEX(販管費予算!$E$22:$I$22,MATCH(AN$3,販管費予算!$E$4:$I$4,0))/12,0),0)</f>
        <v>0.0</v>
      </c>
      <c r="AO65" s="409">
        <f>ROUND(INDEX(販管費予算!$E$22:$I$22,MATCH(AO$3,販管費予算!$E$4:$I$4,0))/12,0)+IF(COUNTIF($AB$3:AO$3,AO$3)=12,INDEX(販管費予算!$E$22:$I$22,MATCH(AO$3,販管費予算!$E$4:$I$4,0))-12*ROUND(INDEX(販管費予算!$E$22:$I$22,MATCH(AO$3,販管費予算!$E$4:$I$4,0))/12,0),0)</f>
        <v>0.0</v>
      </c>
      <c r="AP65" s="409">
        <f>ROUND(INDEX(販管費予算!$E$22:$I$22,MATCH(AP$3,販管費予算!$E$4:$I$4,0))/12,0)+IF(COUNTIF($AB$3:AP$3,AP$3)=12,INDEX(販管費予算!$E$22:$I$22,MATCH(AP$3,販管費予算!$E$4:$I$4,0))-12*ROUND(INDEX(販管費予算!$E$22:$I$22,MATCH(AP$3,販管費予算!$E$4:$I$4,0))/12,0),0)</f>
        <v>0.0</v>
      </c>
      <c r="AQ65" s="409">
        <f>ROUND(INDEX(販管費予算!$E$22:$I$22,MATCH(AQ$3,販管費予算!$E$4:$I$4,0))/12,0)+IF(COUNTIF($AB$3:AQ$3,AQ$3)=12,INDEX(販管費予算!$E$22:$I$22,MATCH(AQ$3,販管費予算!$E$4:$I$4,0))-12*ROUND(INDEX(販管費予算!$E$22:$I$22,MATCH(AQ$3,販管費予算!$E$4:$I$4,0))/12,0),0)</f>
        <v>0.0</v>
      </c>
      <c r="AR65" s="409">
        <f>ROUND(INDEX(販管費予算!$E$22:$I$22,MATCH(AR$3,販管費予算!$E$4:$I$4,0))/12,0)+IF(COUNTIF($AB$3:AR$3,AR$3)=12,INDEX(販管費予算!$E$22:$I$22,MATCH(AR$3,販管費予算!$E$4:$I$4,0))-12*ROUND(INDEX(販管費予算!$E$22:$I$22,MATCH(AR$3,販管費予算!$E$4:$I$4,0))/12,0),0)</f>
        <v>0.0</v>
      </c>
      <c r="AS65" s="409">
        <f>ROUND(INDEX(販管費予算!$E$22:$I$22,MATCH(AS$3,販管費予算!$E$4:$I$4,0))/12,0)+IF(COUNTIF($AB$3:AS$3,AS$3)=12,INDEX(販管費予算!$E$22:$I$22,MATCH(AS$3,販管費予算!$E$4:$I$4,0))-12*ROUND(INDEX(販管費予算!$E$22:$I$22,MATCH(AS$3,販管費予算!$E$4:$I$4,0))/12,0),0)</f>
        <v>0.0</v>
      </c>
      <c r="AT65" s="409">
        <f>ROUND(INDEX(販管費予算!$E$22:$I$22,MATCH(AT$3,販管費予算!$E$4:$I$4,0))/12,0)+IF(COUNTIF($AB$3:AT$3,AT$3)=12,INDEX(販管費予算!$E$22:$I$22,MATCH(AT$3,販管費予算!$E$4:$I$4,0))-12*ROUND(INDEX(販管費予算!$E$22:$I$22,MATCH(AT$3,販管費予算!$E$4:$I$4,0))/12,0),0)</f>
        <v>0.0</v>
      </c>
      <c r="AU65" s="409">
        <f>ROUND(INDEX(販管費予算!$E$22:$I$22,MATCH(AU$3,販管費予算!$E$4:$I$4,0))/12,0)+IF(COUNTIF($AB$3:AU$3,AU$3)=12,INDEX(販管費予算!$E$22:$I$22,MATCH(AU$3,販管費予算!$E$4:$I$4,0))-12*ROUND(INDEX(販管費予算!$E$22:$I$22,MATCH(AU$3,販管費予算!$E$4:$I$4,0))/12,0),0)</f>
        <v>0.0</v>
      </c>
      <c r="AV65" s="409">
        <f>ROUND(INDEX(販管費予算!$E$22:$I$22,MATCH(AV$3,販管費予算!$E$4:$I$4,0))/12,0)+IF(COUNTIF($AB$3:AV$3,AV$3)=12,INDEX(販管費予算!$E$22:$I$22,MATCH(AV$3,販管費予算!$E$4:$I$4,0))-12*ROUND(INDEX(販管費予算!$E$22:$I$22,MATCH(AV$3,販管費予算!$E$4:$I$4,0))/12,0),0)</f>
        <v>0.0</v>
      </c>
      <c r="AW65" s="409">
        <f>ROUND(INDEX(販管費予算!$E$22:$I$22,MATCH(AW$3,販管費予算!$E$4:$I$4,0))/12,0)+IF(COUNTIF($AB$3:AW$3,AW$3)=12,INDEX(販管費予算!$E$22:$I$22,MATCH(AW$3,販管費予算!$E$4:$I$4,0))-12*ROUND(INDEX(販管費予算!$E$22:$I$22,MATCH(AW$3,販管費予算!$E$4:$I$4,0))/12,0),0)</f>
        <v>0.0</v>
      </c>
      <c r="AX65" s="409">
        <f>ROUND(INDEX(販管費予算!$E$22:$I$22,MATCH(AX$3,販管費予算!$E$4:$I$4,0))/12,0)+IF(COUNTIF($AB$3:AX$3,AX$3)=12,INDEX(販管費予算!$E$22:$I$22,MATCH(AX$3,販管費予算!$E$4:$I$4,0))-12*ROUND(INDEX(販管費予算!$E$22:$I$22,MATCH(AX$3,販管費予算!$E$4:$I$4,0))/12,0),0)</f>
        <v>0.0</v>
      </c>
      <c r="AY65" s="412">
        <f>ROUND(INDEX(販管費予算!$E$22:$I$22,MATCH(AY$3,販管費予算!$E$4:$I$4,0))/12,0)+IF(COUNTIF($AB$3:AY$3,AY$3)=12,INDEX(販管費予算!$E$22:$I$22,MATCH(AY$3,販管費予算!$E$4:$I$4,0))-12*ROUND(INDEX(販管費予算!$E$22:$I$22,MATCH(AY$3,販管費予算!$E$4:$I$4,0))/12,0),0)</f>
        <v>0.0</v>
      </c>
      <c r="AZ65" s="408">
        <f>ROUND(INDEX(販管費予算!$E$22:$I$22,MATCH(AZ$3,販管費予算!$E$4:$I$4,0))/12,0)+IF(COUNTIF($AB$3:AZ$3,AZ$3)=12,INDEX(販管費予算!$E$22:$I$22,MATCH(AZ$3,販管費予算!$E$4:$I$4,0))-12*ROUND(INDEX(販管費予算!$E$22:$I$22,MATCH(AZ$3,販管費予算!$E$4:$I$4,0))/12,0),0)</f>
        <v>8333.0</v>
      </c>
      <c r="BA65" s="409">
        <f>ROUND(INDEX(販管費予算!$E$22:$I$22,MATCH(BA$3,販管費予算!$E$4:$I$4,0))/12,0)+IF(COUNTIF($AB$3:BA$3,BA$3)=12,INDEX(販管費予算!$E$22:$I$22,MATCH(BA$3,販管費予算!$E$4:$I$4,0))-12*ROUND(INDEX(販管費予算!$E$22:$I$22,MATCH(BA$3,販管費予算!$E$4:$I$4,0))/12,0),0)</f>
        <v>8333.0</v>
      </c>
      <c r="BB65" s="409">
        <f>ROUND(INDEX(販管費予算!$E$22:$I$22,MATCH(BB$3,販管費予算!$E$4:$I$4,0))/12,0)+IF(COUNTIF($AB$3:BB$3,BB$3)=12,INDEX(販管費予算!$E$22:$I$22,MATCH(BB$3,販管費予算!$E$4:$I$4,0))-12*ROUND(INDEX(販管費予算!$E$22:$I$22,MATCH(BB$3,販管費予算!$E$4:$I$4,0))/12,0),0)</f>
        <v>8333.0</v>
      </c>
      <c r="BC65" s="409">
        <f>ROUND(INDEX(販管費予算!$E$22:$I$22,MATCH(BC$3,販管費予算!$E$4:$I$4,0))/12,0)+IF(COUNTIF($AB$3:BC$3,BC$3)=12,INDEX(販管費予算!$E$22:$I$22,MATCH(BC$3,販管費予算!$E$4:$I$4,0))-12*ROUND(INDEX(販管費予算!$E$22:$I$22,MATCH(BC$3,販管費予算!$E$4:$I$4,0))/12,0),0)</f>
        <v>8333.0</v>
      </c>
      <c r="BD65" s="409">
        <f>ROUND(INDEX(販管費予算!$E$22:$I$22,MATCH(BD$3,販管費予算!$E$4:$I$4,0))/12,0)+IF(COUNTIF($AB$3:BD$3,BD$3)=12,INDEX(販管費予算!$E$22:$I$22,MATCH(BD$3,販管費予算!$E$4:$I$4,0))-12*ROUND(INDEX(販管費予算!$E$22:$I$22,MATCH(BD$3,販管費予算!$E$4:$I$4,0))/12,0),0)</f>
        <v>8333.0</v>
      </c>
      <c r="BE65" s="409">
        <f>ROUND(INDEX(販管費予算!$E$22:$I$22,MATCH(BE$3,販管費予算!$E$4:$I$4,0))/12,0)+IF(COUNTIF($AB$3:BE$3,BE$3)=12,INDEX(販管費予算!$E$22:$I$22,MATCH(BE$3,販管費予算!$E$4:$I$4,0))-12*ROUND(INDEX(販管費予算!$E$22:$I$22,MATCH(BE$3,販管費予算!$E$4:$I$4,0))/12,0),0)</f>
        <v>8333.0</v>
      </c>
      <c r="BF65" s="409">
        <f>ROUND(INDEX(販管費予算!$E$22:$I$22,MATCH(BF$3,販管費予算!$E$4:$I$4,0))/12,0)+IF(COUNTIF($AB$3:BF$3,BF$3)=12,INDEX(販管費予算!$E$22:$I$22,MATCH(BF$3,販管費予算!$E$4:$I$4,0))-12*ROUND(INDEX(販管費予算!$E$22:$I$22,MATCH(BF$3,販管費予算!$E$4:$I$4,0))/12,0),0)</f>
        <v>8333.0</v>
      </c>
      <c r="BG65" s="409">
        <f>ROUND(INDEX(販管費予算!$E$22:$I$22,MATCH(BG$3,販管費予算!$E$4:$I$4,0))/12,0)+IF(COUNTIF($AB$3:BG$3,BG$3)=12,INDEX(販管費予算!$E$22:$I$22,MATCH(BG$3,販管費予算!$E$4:$I$4,0))-12*ROUND(INDEX(販管費予算!$E$22:$I$22,MATCH(BG$3,販管費予算!$E$4:$I$4,0))/12,0),0)</f>
        <v>8333.0</v>
      </c>
      <c r="BH65" s="409">
        <f>ROUND(INDEX(販管費予算!$E$22:$I$22,MATCH(BH$3,販管費予算!$E$4:$I$4,0))/12,0)+IF(COUNTIF($AB$3:BH$3,BH$3)=12,INDEX(販管費予算!$E$22:$I$22,MATCH(BH$3,販管費予算!$E$4:$I$4,0))-12*ROUND(INDEX(販管費予算!$E$22:$I$22,MATCH(BH$3,販管費予算!$E$4:$I$4,0))/12,0),0)</f>
        <v>8333.0</v>
      </c>
      <c r="BI65" s="409">
        <f>ROUND(INDEX(販管費予算!$E$22:$I$22,MATCH(BI$3,販管費予算!$E$4:$I$4,0))/12,0)+IF(COUNTIF($AB$3:BI$3,BI$3)=12,INDEX(販管費予算!$E$22:$I$22,MATCH(BI$3,販管費予算!$E$4:$I$4,0))-12*ROUND(INDEX(販管費予算!$E$22:$I$22,MATCH(BI$3,販管費予算!$E$4:$I$4,0))/12,0),0)</f>
        <v>8333.0</v>
      </c>
      <c r="BJ65" s="409">
        <f>ROUND(INDEX(販管費予算!$E$22:$I$22,MATCH(BJ$3,販管費予算!$E$4:$I$4,0))/12,0)+IF(COUNTIF($AB$3:BJ$3,BJ$3)=12,INDEX(販管費予算!$E$22:$I$22,MATCH(BJ$3,販管費予算!$E$4:$I$4,0))-12*ROUND(INDEX(販管費予算!$E$22:$I$22,MATCH(BJ$3,販管費予算!$E$4:$I$4,0))/12,0),0)</f>
        <v>8333.0</v>
      </c>
      <c r="BK65" s="412">
        <f>ROUND(INDEX(販管費予算!$E$22:$I$22,MATCH(BK$3,販管費予算!$E$4:$I$4,0))/12,0)+IF(COUNTIF($AB$3:BK$3,BK$3)=12,INDEX(販管費予算!$E$22:$I$22,MATCH(BK$3,販管費予算!$E$4:$I$4,0))-12*ROUND(INDEX(販管費予算!$E$22:$I$22,MATCH(BK$3,販管費予算!$E$4:$I$4,0))/12,0),0)</f>
        <v>8337.0</v>
      </c>
      <c r="BL65" s="408">
        <f>ROUND(INDEX(販管費予算!$E$22:$I$22,MATCH(BL$3,販管費予算!$E$4:$I$4,0))/12,0)+IF(COUNTIF($AB$3:BL$3,BL$3)=12,INDEX(販管費予算!$E$22:$I$22,MATCH(BL$3,販管費予算!$E$4:$I$4,0))-12*ROUND(INDEX(販管費予算!$E$22:$I$22,MATCH(BL$3,販管費予算!$E$4:$I$4,0))/12,0),0)</f>
        <v>16667.0</v>
      </c>
      <c r="BM65" s="409">
        <f>ROUND(INDEX(販管費予算!$E$22:$I$22,MATCH(BM$3,販管費予算!$E$4:$I$4,0))/12,0)+IF(COUNTIF($AB$3:BM$3,BM$3)=12,INDEX(販管費予算!$E$22:$I$22,MATCH(BM$3,販管費予算!$E$4:$I$4,0))-12*ROUND(INDEX(販管費予算!$E$22:$I$22,MATCH(BM$3,販管費予算!$E$4:$I$4,0))/12,0),0)</f>
        <v>16667.0</v>
      </c>
      <c r="BN65" s="409">
        <f>ROUND(INDEX(販管費予算!$E$22:$I$22,MATCH(BN$3,販管費予算!$E$4:$I$4,0))/12,0)+IF(COUNTIF($AB$3:BN$3,BN$3)=12,INDEX(販管費予算!$E$22:$I$22,MATCH(BN$3,販管費予算!$E$4:$I$4,0))-12*ROUND(INDEX(販管費予算!$E$22:$I$22,MATCH(BN$3,販管費予算!$E$4:$I$4,0))/12,0),0)</f>
        <v>16667.0</v>
      </c>
      <c r="BO65" s="409">
        <f>ROUND(INDEX(販管費予算!$E$22:$I$22,MATCH(BO$3,販管費予算!$E$4:$I$4,0))/12,0)+IF(COUNTIF($AB$3:BO$3,BO$3)=12,INDEX(販管費予算!$E$22:$I$22,MATCH(BO$3,販管費予算!$E$4:$I$4,0))-12*ROUND(INDEX(販管費予算!$E$22:$I$22,MATCH(BO$3,販管費予算!$E$4:$I$4,0))/12,0),0)</f>
        <v>16667.0</v>
      </c>
      <c r="BP65" s="409">
        <f>ROUND(INDEX(販管費予算!$E$22:$I$22,MATCH(BP$3,販管費予算!$E$4:$I$4,0))/12,0)+IF(COUNTIF($AB$3:BP$3,BP$3)=12,INDEX(販管費予算!$E$22:$I$22,MATCH(BP$3,販管費予算!$E$4:$I$4,0))-12*ROUND(INDEX(販管費予算!$E$22:$I$22,MATCH(BP$3,販管費予算!$E$4:$I$4,0))/12,0),0)</f>
        <v>16667.0</v>
      </c>
      <c r="BQ65" s="409">
        <f>ROUND(INDEX(販管費予算!$E$22:$I$22,MATCH(BQ$3,販管費予算!$E$4:$I$4,0))/12,0)+IF(COUNTIF($AB$3:BQ$3,BQ$3)=12,INDEX(販管費予算!$E$22:$I$22,MATCH(BQ$3,販管費予算!$E$4:$I$4,0))-12*ROUND(INDEX(販管費予算!$E$22:$I$22,MATCH(BQ$3,販管費予算!$E$4:$I$4,0))/12,0),0)</f>
        <v>16667.0</v>
      </c>
      <c r="BR65" s="409">
        <f>ROUND(INDEX(販管費予算!$E$22:$I$22,MATCH(BR$3,販管費予算!$E$4:$I$4,0))/12,0)+IF(COUNTIF($AB$3:BR$3,BR$3)=12,INDEX(販管費予算!$E$22:$I$22,MATCH(BR$3,販管費予算!$E$4:$I$4,0))-12*ROUND(INDEX(販管費予算!$E$22:$I$22,MATCH(BR$3,販管費予算!$E$4:$I$4,0))/12,0),0)</f>
        <v>16667.0</v>
      </c>
      <c r="BS65" s="409">
        <f>ROUND(INDEX(販管費予算!$E$22:$I$22,MATCH(BS$3,販管費予算!$E$4:$I$4,0))/12,0)+IF(COUNTIF($AB$3:BS$3,BS$3)=12,INDEX(販管費予算!$E$22:$I$22,MATCH(BS$3,販管費予算!$E$4:$I$4,0))-12*ROUND(INDEX(販管費予算!$E$22:$I$22,MATCH(BS$3,販管費予算!$E$4:$I$4,0))/12,0),0)</f>
        <v>16667.0</v>
      </c>
      <c r="BT65" s="409">
        <f>ROUND(INDEX(販管費予算!$E$22:$I$22,MATCH(BT$3,販管費予算!$E$4:$I$4,0))/12,0)+IF(COUNTIF($AB$3:BT$3,BT$3)=12,INDEX(販管費予算!$E$22:$I$22,MATCH(BT$3,販管費予算!$E$4:$I$4,0))-12*ROUND(INDEX(販管費予算!$E$22:$I$22,MATCH(BT$3,販管費予算!$E$4:$I$4,0))/12,0),0)</f>
        <v>16667.0</v>
      </c>
      <c r="BU65" s="409">
        <f>ROUND(INDEX(販管費予算!$E$22:$I$22,MATCH(BU$3,販管費予算!$E$4:$I$4,0))/12,0)+IF(COUNTIF($AB$3:BU$3,BU$3)=12,INDEX(販管費予算!$E$22:$I$22,MATCH(BU$3,販管費予算!$E$4:$I$4,0))-12*ROUND(INDEX(販管費予算!$E$22:$I$22,MATCH(BU$3,販管費予算!$E$4:$I$4,0))/12,0),0)</f>
        <v>16667.0</v>
      </c>
      <c r="BV65" s="409">
        <f>ROUND(INDEX(販管費予算!$E$22:$I$22,MATCH(BV$3,販管費予算!$E$4:$I$4,0))/12,0)+IF(COUNTIF($AB$3:BV$3,BV$3)=12,INDEX(販管費予算!$E$22:$I$22,MATCH(BV$3,販管費予算!$E$4:$I$4,0))-12*ROUND(INDEX(販管費予算!$E$22:$I$22,MATCH(BV$3,販管費予算!$E$4:$I$4,0))/12,0),0)</f>
        <v>16667.0</v>
      </c>
      <c r="BW65" s="412">
        <f>ROUND(INDEX(販管費予算!$E$22:$I$22,MATCH(BW$3,販管費予算!$E$4:$I$4,0))/12,0)+IF(COUNTIF($AB$3:BW$3,BW$3)=12,INDEX(販管費予算!$E$22:$I$22,MATCH(BW$3,販管費予算!$E$4:$I$4,0))-12*ROUND(INDEX(販管費予算!$E$22:$I$22,MATCH(BW$3,販管費予算!$E$4:$I$4,0))/12,0),0)</f>
        <v>16663.0</v>
      </c>
      <c r="BX65" s="408">
        <f>ROUND(INDEX(販管費予算!$E$22:$I$22,MATCH(BX$3,販管費予算!$E$4:$I$4,0))/12,0)+IF(COUNTIF($AB$3:BX$3,BX$3)=12,INDEX(販管費予算!$E$22:$I$22,MATCH(BX$3,販管費予算!$E$4:$I$4,0))-12*ROUND(INDEX(販管費予算!$E$22:$I$22,MATCH(BX$3,販管費予算!$E$4:$I$4,0))/12,0),0)</f>
        <v>41667.0</v>
      </c>
      <c r="BY65" s="409">
        <f>ROUND(INDEX(販管費予算!$E$22:$I$22,MATCH(BY$3,販管費予算!$E$4:$I$4,0))/12,0)+IF(COUNTIF($AB$3:BY$3,BY$3)=12,INDEX(販管費予算!$E$22:$I$22,MATCH(BY$3,販管費予算!$E$4:$I$4,0))-12*ROUND(INDEX(販管費予算!$E$22:$I$22,MATCH(BY$3,販管費予算!$E$4:$I$4,0))/12,0),0)</f>
        <v>41667.0</v>
      </c>
      <c r="BZ65" s="409">
        <f>ROUND(INDEX(販管費予算!$E$22:$I$22,MATCH(BZ$3,販管費予算!$E$4:$I$4,0))/12,0)+IF(COUNTIF($AB$3:BZ$3,BZ$3)=12,INDEX(販管費予算!$E$22:$I$22,MATCH(BZ$3,販管費予算!$E$4:$I$4,0))-12*ROUND(INDEX(販管費予算!$E$22:$I$22,MATCH(BZ$3,販管費予算!$E$4:$I$4,0))/12,0),0)</f>
        <v>41667.0</v>
      </c>
      <c r="CA65" s="409">
        <f>ROUND(INDEX(販管費予算!$E$22:$I$22,MATCH(CA$3,販管費予算!$E$4:$I$4,0))/12,0)+IF(COUNTIF($AB$3:CA$3,CA$3)=12,INDEX(販管費予算!$E$22:$I$22,MATCH(CA$3,販管費予算!$E$4:$I$4,0))-12*ROUND(INDEX(販管費予算!$E$22:$I$22,MATCH(CA$3,販管費予算!$E$4:$I$4,0))/12,0),0)</f>
        <v>41667.0</v>
      </c>
      <c r="CB65" s="409">
        <f>ROUND(INDEX(販管費予算!$E$22:$I$22,MATCH(CB$3,販管費予算!$E$4:$I$4,0))/12,0)+IF(COUNTIF($AB$3:CB$3,CB$3)=12,INDEX(販管費予算!$E$22:$I$22,MATCH(CB$3,販管費予算!$E$4:$I$4,0))-12*ROUND(INDEX(販管費予算!$E$22:$I$22,MATCH(CB$3,販管費予算!$E$4:$I$4,0))/12,0),0)</f>
        <v>41667.0</v>
      </c>
      <c r="CC65" s="409">
        <f>ROUND(INDEX(販管費予算!$E$22:$I$22,MATCH(CC$3,販管費予算!$E$4:$I$4,0))/12,0)+IF(COUNTIF($AB$3:CC$3,CC$3)=12,INDEX(販管費予算!$E$22:$I$22,MATCH(CC$3,販管費予算!$E$4:$I$4,0))-12*ROUND(INDEX(販管費予算!$E$22:$I$22,MATCH(CC$3,販管費予算!$E$4:$I$4,0))/12,0),0)</f>
        <v>41667.0</v>
      </c>
      <c r="CD65" s="409">
        <f>ROUND(INDEX(販管費予算!$E$22:$I$22,MATCH(CD$3,販管費予算!$E$4:$I$4,0))/12,0)+IF(COUNTIF($AB$3:CD$3,CD$3)=12,INDEX(販管費予算!$E$22:$I$22,MATCH(CD$3,販管費予算!$E$4:$I$4,0))-12*ROUND(INDEX(販管費予算!$E$22:$I$22,MATCH(CD$3,販管費予算!$E$4:$I$4,0))/12,0),0)</f>
        <v>41667.0</v>
      </c>
      <c r="CE65" s="409">
        <f>ROUND(INDEX(販管費予算!$E$22:$I$22,MATCH(CE$3,販管費予算!$E$4:$I$4,0))/12,0)+IF(COUNTIF($AB$3:CE$3,CE$3)=12,INDEX(販管費予算!$E$22:$I$22,MATCH(CE$3,販管費予算!$E$4:$I$4,0))-12*ROUND(INDEX(販管費予算!$E$22:$I$22,MATCH(CE$3,販管費予算!$E$4:$I$4,0))/12,0),0)</f>
        <v>41667.0</v>
      </c>
      <c r="CF65" s="409">
        <f>ROUND(INDEX(販管費予算!$E$22:$I$22,MATCH(CF$3,販管費予算!$E$4:$I$4,0))/12,0)+IF(COUNTIF($AB$3:CF$3,CF$3)=12,INDEX(販管費予算!$E$22:$I$22,MATCH(CF$3,販管費予算!$E$4:$I$4,0))-12*ROUND(INDEX(販管費予算!$E$22:$I$22,MATCH(CF$3,販管費予算!$E$4:$I$4,0))/12,0),0)</f>
        <v>41667.0</v>
      </c>
      <c r="CG65" s="409">
        <f>ROUND(INDEX(販管費予算!$E$22:$I$22,MATCH(CG$3,販管費予算!$E$4:$I$4,0))/12,0)+IF(COUNTIF($AB$3:CG$3,CG$3)=12,INDEX(販管費予算!$E$22:$I$22,MATCH(CG$3,販管費予算!$E$4:$I$4,0))-12*ROUND(INDEX(販管費予算!$E$22:$I$22,MATCH(CG$3,販管費予算!$E$4:$I$4,0))/12,0),0)</f>
        <v>41667.0</v>
      </c>
      <c r="CH65" s="409">
        <f>ROUND(INDEX(販管費予算!$E$22:$I$22,MATCH(CH$3,販管費予算!$E$4:$I$4,0))/12,0)+IF(COUNTIF($AB$3:CH$3,CH$3)=12,INDEX(販管費予算!$E$22:$I$22,MATCH(CH$3,販管費予算!$E$4:$I$4,0))-12*ROUND(INDEX(販管費予算!$E$22:$I$22,MATCH(CH$3,販管費予算!$E$4:$I$4,0))/12,0),0)</f>
        <v>41667.0</v>
      </c>
      <c r="CI65" s="412">
        <f>ROUND(INDEX(販管費予算!$E$22:$I$22,MATCH(CI$3,販管費予算!$E$4:$I$4,0))/12,0)+IF(COUNTIF($AB$3:CI$3,CI$3)=12,INDEX(販管費予算!$E$22:$I$22,MATCH(CI$3,販管費予算!$E$4:$I$4,0))-12*ROUND(INDEX(販管費予算!$E$22:$I$22,MATCH(CI$3,販管費予算!$E$4:$I$4,0))/12,0),0)</f>
        <v>41663.0</v>
      </c>
    </row>
    <row r="66" ht="18" customHeight="1" s="145">
      <c r="A66" s="233" t="n"/>
      <c r="B66" s="233" t="inlineStr">
        <is>
          <t>新聞図書費</t>
        </is>
      </c>
      <c r="C66" s="233" t="inlineStr">
        <is>
          <t>全社</t>
        </is>
      </c>
      <c r="D66" s="234" t="n"/>
      <c r="E66" s="408">
        <f>SUMIF($AB$3:$CI$3,E$4,$AB66:$CI66)</f>
        <v>200000.0</v>
      </c>
      <c r="F66" s="409">
        <f>SUMIF($AB$3:$CI$3,F$4,$AB66:$CI66)</f>
        <v>300000.0</v>
      </c>
      <c r="G66" s="409">
        <f>SUMIF($AB$3:$CI$3,G$4,$AB66:$CI66)</f>
        <v>500000.0</v>
      </c>
      <c r="H66" s="409">
        <f>SUMIF($AB$3:$CI$3,H$4,$AB66:$CI66)</f>
        <v>700000.0</v>
      </c>
      <c r="I66" s="409">
        <f>SUMIF($AB$3:$CI$3,I$4,$AB66:$CI66)</f>
        <v>1000000.0</v>
      </c>
      <c r="J66" s="407">
        <f>SUM(E66:I66)</f>
        <v>2700000.0</v>
      </c>
      <c r="K66" s="407">
        <f>SUMIF($Q$3:$CN$3,K$4,$Q66:$CN66)</f>
        <v>0.0</v>
      </c>
      <c r="L66" s="407">
        <f>SUMIF($Q$3:$CN$3,L$4,$Q66:$CN66)</f>
        <v>0.0</v>
      </c>
      <c r="M66" s="407">
        <f>SUMIF($Q$3:$CN$3,M$4,$Q66:$CN66)</f>
        <v>0.0</v>
      </c>
      <c r="N66" s="407">
        <f>SUMIF($Q$3:$CN$3,N$4,$Q66:$CN66)</f>
        <v>0.0</v>
      </c>
      <c r="O66" s="235" t="n"/>
      <c r="P66" s="408" t="n"/>
      <c r="Q66" s="409" t="n"/>
      <c r="R66" s="409" t="n"/>
      <c r="S66" s="409" t="n"/>
      <c r="T66" s="409" t="n"/>
      <c r="U66" s="409" t="n"/>
      <c r="V66" s="409" t="n"/>
      <c r="W66" s="409" t="n"/>
      <c r="X66" s="409" t="n"/>
      <c r="Y66" s="409" t="n"/>
      <c r="Z66" s="409" t="n"/>
      <c r="AA66" s="412" t="n"/>
      <c r="AB66" s="476">
        <f>ROUND(INDEX(販管費予算!$E$23:$I$23,MATCH(AB$3,販管費予算!$E$4:$I$4,0))/12,0)+IF(COUNTIF($AB$3:AB$3,AB$3)=12,INDEX(販管費予算!$E$23:$I$23,MATCH(AB$3,販管費予算!$E$4:$I$4,0))-12*ROUND(INDEX(販管費予算!$E$23:$I$23,MATCH(AB$3,販管費予算!$E$4:$I$4,0))/12,0),0)</f>
        <v>16667.0</v>
      </c>
      <c r="AC66" s="477">
        <f>ROUND(INDEX(販管費予算!$E$23:$I$23,MATCH(AC$3,販管費予算!$E$4:$I$4,0))/12,0)+IF(COUNTIF($AB$3:AC$3,AC$3)=12,INDEX(販管費予算!$E$23:$I$23,MATCH(AC$3,販管費予算!$E$4:$I$4,0))-12*ROUND(INDEX(販管費予算!$E$23:$I$23,MATCH(AC$3,販管費予算!$E$4:$I$4,0))/12,0),0)</f>
        <v>16667.0</v>
      </c>
      <c r="AD66" s="477">
        <f>ROUND(INDEX(販管費予算!$E$23:$I$23,MATCH(AD$3,販管費予算!$E$4:$I$4,0))/12,0)+IF(COUNTIF($AB$3:AD$3,AD$3)=12,INDEX(販管費予算!$E$23:$I$23,MATCH(AD$3,販管費予算!$E$4:$I$4,0))-12*ROUND(INDEX(販管費予算!$E$23:$I$23,MATCH(AD$3,販管費予算!$E$4:$I$4,0))/12,0),0)</f>
        <v>16667.0</v>
      </c>
      <c r="AE66" s="477">
        <f>ROUND(INDEX(販管費予算!$E$23:$I$23,MATCH(AE$3,販管費予算!$E$4:$I$4,0))/12,0)+IF(COUNTIF($AB$3:AE$3,AE$3)=12,INDEX(販管費予算!$E$23:$I$23,MATCH(AE$3,販管費予算!$E$4:$I$4,0))-12*ROUND(INDEX(販管費予算!$E$23:$I$23,MATCH(AE$3,販管費予算!$E$4:$I$4,0))/12,0),0)</f>
        <v>16667.0</v>
      </c>
      <c r="AF66" s="477">
        <f>ROUND(INDEX(販管費予算!$E$23:$I$23,MATCH(AF$3,販管費予算!$E$4:$I$4,0))/12,0)+IF(COUNTIF($AB$3:AF$3,AF$3)=12,INDEX(販管費予算!$E$23:$I$23,MATCH(AF$3,販管費予算!$E$4:$I$4,0))-12*ROUND(INDEX(販管費予算!$E$23:$I$23,MATCH(AF$3,販管費予算!$E$4:$I$4,0))/12,0),0)</f>
        <v>16667.0</v>
      </c>
      <c r="AG66" s="409">
        <f>ROUND(INDEX(販管費予算!$E$23:$I$23,MATCH(AG$3,販管費予算!$E$4:$I$4,0))/12,0)+IF(COUNTIF($AB$3:AG$3,AG$3)=12,INDEX(販管費予算!$E$23:$I$23,MATCH(AG$3,販管費予算!$E$4:$I$4,0))-12*ROUND(INDEX(販管費予算!$E$23:$I$23,MATCH(AG$3,販管費予算!$E$4:$I$4,0))/12,0),0)</f>
        <v>16667.0</v>
      </c>
      <c r="AH66" s="409">
        <f>ROUND(INDEX(販管費予算!$E$23:$I$23,MATCH(AH$3,販管費予算!$E$4:$I$4,0))/12,0)+IF(COUNTIF($AB$3:AH$3,AH$3)=12,INDEX(販管費予算!$E$23:$I$23,MATCH(AH$3,販管費予算!$E$4:$I$4,0))-12*ROUND(INDEX(販管費予算!$E$23:$I$23,MATCH(AH$3,販管費予算!$E$4:$I$4,0))/12,0),0)</f>
        <v>16667.0</v>
      </c>
      <c r="AI66" s="409">
        <f>ROUND(INDEX(販管費予算!$E$23:$I$23,MATCH(AI$3,販管費予算!$E$4:$I$4,0))/12,0)+IF(COUNTIF($AB$3:AI$3,AI$3)=12,INDEX(販管費予算!$E$23:$I$23,MATCH(AI$3,販管費予算!$E$4:$I$4,0))-12*ROUND(INDEX(販管費予算!$E$23:$I$23,MATCH(AI$3,販管費予算!$E$4:$I$4,0))/12,0),0)</f>
        <v>16667.0</v>
      </c>
      <c r="AJ66" s="409">
        <f>ROUND(INDEX(販管費予算!$E$23:$I$23,MATCH(AJ$3,販管費予算!$E$4:$I$4,0))/12,0)+IF(COUNTIF($AB$3:AJ$3,AJ$3)=12,INDEX(販管費予算!$E$23:$I$23,MATCH(AJ$3,販管費予算!$E$4:$I$4,0))-12*ROUND(INDEX(販管費予算!$E$23:$I$23,MATCH(AJ$3,販管費予算!$E$4:$I$4,0))/12,0),0)</f>
        <v>16667.0</v>
      </c>
      <c r="AK66" s="409">
        <f>ROUND(INDEX(販管費予算!$E$23:$I$23,MATCH(AK$3,販管費予算!$E$4:$I$4,0))/12,0)+IF(COUNTIF($AB$3:AK$3,AK$3)=12,INDEX(販管費予算!$E$23:$I$23,MATCH(AK$3,販管費予算!$E$4:$I$4,0))-12*ROUND(INDEX(販管費予算!$E$23:$I$23,MATCH(AK$3,販管費予算!$E$4:$I$4,0))/12,0),0)</f>
        <v>16667.0</v>
      </c>
      <c r="AL66" s="409">
        <f>ROUND(INDEX(販管費予算!$E$23:$I$23,MATCH(AL$3,販管費予算!$E$4:$I$4,0))/12,0)+IF(COUNTIF($AB$3:AL$3,AL$3)=12,INDEX(販管費予算!$E$23:$I$23,MATCH(AL$3,販管費予算!$E$4:$I$4,0))-12*ROUND(INDEX(販管費予算!$E$23:$I$23,MATCH(AL$3,販管費予算!$E$4:$I$4,0))/12,0),0)</f>
        <v>16667.0</v>
      </c>
      <c r="AM66" s="412">
        <f>ROUND(INDEX(販管費予算!$E$23:$I$23,MATCH(AM$3,販管費予算!$E$4:$I$4,0))/12,0)+IF(COUNTIF($AB$3:AM$3,AM$3)=12,INDEX(販管費予算!$E$23:$I$23,MATCH(AM$3,販管費予算!$E$4:$I$4,0))-12*ROUND(INDEX(販管費予算!$E$23:$I$23,MATCH(AM$3,販管費予算!$E$4:$I$4,0))/12,0),0)</f>
        <v>16663.0</v>
      </c>
      <c r="AN66" s="408">
        <f>ROUND(INDEX(販管費予算!$E$23:$I$23,MATCH(AN$3,販管費予算!$E$4:$I$4,0))/12,0)+IF(COUNTIF($AB$3:AN$3,AN$3)=12,INDEX(販管費予算!$E$23:$I$23,MATCH(AN$3,販管費予算!$E$4:$I$4,0))-12*ROUND(INDEX(販管費予算!$E$23:$I$23,MATCH(AN$3,販管費予算!$E$4:$I$4,0))/12,0),0)</f>
        <v>25000.0</v>
      </c>
      <c r="AO66" s="409">
        <f>ROUND(INDEX(販管費予算!$E$23:$I$23,MATCH(AO$3,販管費予算!$E$4:$I$4,0))/12,0)+IF(COUNTIF($AB$3:AO$3,AO$3)=12,INDEX(販管費予算!$E$23:$I$23,MATCH(AO$3,販管費予算!$E$4:$I$4,0))-12*ROUND(INDEX(販管費予算!$E$23:$I$23,MATCH(AO$3,販管費予算!$E$4:$I$4,0))/12,0),0)</f>
        <v>25000.0</v>
      </c>
      <c r="AP66" s="409">
        <f>ROUND(INDEX(販管費予算!$E$23:$I$23,MATCH(AP$3,販管費予算!$E$4:$I$4,0))/12,0)+IF(COUNTIF($AB$3:AP$3,AP$3)=12,INDEX(販管費予算!$E$23:$I$23,MATCH(AP$3,販管費予算!$E$4:$I$4,0))-12*ROUND(INDEX(販管費予算!$E$23:$I$23,MATCH(AP$3,販管費予算!$E$4:$I$4,0))/12,0),0)</f>
        <v>25000.0</v>
      </c>
      <c r="AQ66" s="409">
        <f>ROUND(INDEX(販管費予算!$E$23:$I$23,MATCH(AQ$3,販管費予算!$E$4:$I$4,0))/12,0)+IF(COUNTIF($AB$3:AQ$3,AQ$3)=12,INDEX(販管費予算!$E$23:$I$23,MATCH(AQ$3,販管費予算!$E$4:$I$4,0))-12*ROUND(INDEX(販管費予算!$E$23:$I$23,MATCH(AQ$3,販管費予算!$E$4:$I$4,0))/12,0),0)</f>
        <v>25000.0</v>
      </c>
      <c r="AR66" s="409">
        <f>ROUND(INDEX(販管費予算!$E$23:$I$23,MATCH(AR$3,販管費予算!$E$4:$I$4,0))/12,0)+IF(COUNTIF($AB$3:AR$3,AR$3)=12,INDEX(販管費予算!$E$23:$I$23,MATCH(AR$3,販管費予算!$E$4:$I$4,0))-12*ROUND(INDEX(販管費予算!$E$23:$I$23,MATCH(AR$3,販管費予算!$E$4:$I$4,0))/12,0),0)</f>
        <v>25000.0</v>
      </c>
      <c r="AS66" s="409">
        <f>ROUND(INDEX(販管費予算!$E$23:$I$23,MATCH(AS$3,販管費予算!$E$4:$I$4,0))/12,0)+IF(COUNTIF($AB$3:AS$3,AS$3)=12,INDEX(販管費予算!$E$23:$I$23,MATCH(AS$3,販管費予算!$E$4:$I$4,0))-12*ROUND(INDEX(販管費予算!$E$23:$I$23,MATCH(AS$3,販管費予算!$E$4:$I$4,0))/12,0),0)</f>
        <v>25000.0</v>
      </c>
      <c r="AT66" s="409">
        <f>ROUND(INDEX(販管費予算!$E$23:$I$23,MATCH(AT$3,販管費予算!$E$4:$I$4,0))/12,0)+IF(COUNTIF($AB$3:AT$3,AT$3)=12,INDEX(販管費予算!$E$23:$I$23,MATCH(AT$3,販管費予算!$E$4:$I$4,0))-12*ROUND(INDEX(販管費予算!$E$23:$I$23,MATCH(AT$3,販管費予算!$E$4:$I$4,0))/12,0),0)</f>
        <v>25000.0</v>
      </c>
      <c r="AU66" s="409">
        <f>ROUND(INDEX(販管費予算!$E$23:$I$23,MATCH(AU$3,販管費予算!$E$4:$I$4,0))/12,0)+IF(COUNTIF($AB$3:AU$3,AU$3)=12,INDEX(販管費予算!$E$23:$I$23,MATCH(AU$3,販管費予算!$E$4:$I$4,0))-12*ROUND(INDEX(販管費予算!$E$23:$I$23,MATCH(AU$3,販管費予算!$E$4:$I$4,0))/12,0),0)</f>
        <v>25000.0</v>
      </c>
      <c r="AV66" s="409">
        <f>ROUND(INDEX(販管費予算!$E$23:$I$23,MATCH(AV$3,販管費予算!$E$4:$I$4,0))/12,0)+IF(COUNTIF($AB$3:AV$3,AV$3)=12,INDEX(販管費予算!$E$23:$I$23,MATCH(AV$3,販管費予算!$E$4:$I$4,0))-12*ROUND(INDEX(販管費予算!$E$23:$I$23,MATCH(AV$3,販管費予算!$E$4:$I$4,0))/12,0),0)</f>
        <v>25000.0</v>
      </c>
      <c r="AW66" s="409">
        <f>ROUND(INDEX(販管費予算!$E$23:$I$23,MATCH(AW$3,販管費予算!$E$4:$I$4,0))/12,0)+IF(COUNTIF($AB$3:AW$3,AW$3)=12,INDEX(販管費予算!$E$23:$I$23,MATCH(AW$3,販管費予算!$E$4:$I$4,0))-12*ROUND(INDEX(販管費予算!$E$23:$I$23,MATCH(AW$3,販管費予算!$E$4:$I$4,0))/12,0),0)</f>
        <v>25000.0</v>
      </c>
      <c r="AX66" s="409">
        <f>ROUND(INDEX(販管費予算!$E$23:$I$23,MATCH(AX$3,販管費予算!$E$4:$I$4,0))/12,0)+IF(COUNTIF($AB$3:AX$3,AX$3)=12,INDEX(販管費予算!$E$23:$I$23,MATCH(AX$3,販管費予算!$E$4:$I$4,0))-12*ROUND(INDEX(販管費予算!$E$23:$I$23,MATCH(AX$3,販管費予算!$E$4:$I$4,0))/12,0),0)</f>
        <v>25000.0</v>
      </c>
      <c r="AY66" s="412">
        <f>ROUND(INDEX(販管費予算!$E$23:$I$23,MATCH(AY$3,販管費予算!$E$4:$I$4,0))/12,0)+IF(COUNTIF($AB$3:AY$3,AY$3)=12,INDEX(販管費予算!$E$23:$I$23,MATCH(AY$3,販管費予算!$E$4:$I$4,0))-12*ROUND(INDEX(販管費予算!$E$23:$I$23,MATCH(AY$3,販管費予算!$E$4:$I$4,0))/12,0),0)</f>
        <v>25000.0</v>
      </c>
      <c r="AZ66" s="408">
        <f>ROUND(INDEX(販管費予算!$E$23:$I$23,MATCH(AZ$3,販管費予算!$E$4:$I$4,0))/12,0)+IF(COUNTIF($AB$3:AZ$3,AZ$3)=12,INDEX(販管費予算!$E$23:$I$23,MATCH(AZ$3,販管費予算!$E$4:$I$4,0))-12*ROUND(INDEX(販管費予算!$E$23:$I$23,MATCH(AZ$3,販管費予算!$E$4:$I$4,0))/12,0),0)</f>
        <v>41667.0</v>
      </c>
      <c r="BA66" s="409">
        <f>ROUND(INDEX(販管費予算!$E$23:$I$23,MATCH(BA$3,販管費予算!$E$4:$I$4,0))/12,0)+IF(COUNTIF($AB$3:BA$3,BA$3)=12,INDEX(販管費予算!$E$23:$I$23,MATCH(BA$3,販管費予算!$E$4:$I$4,0))-12*ROUND(INDEX(販管費予算!$E$23:$I$23,MATCH(BA$3,販管費予算!$E$4:$I$4,0))/12,0),0)</f>
        <v>41667.0</v>
      </c>
      <c r="BB66" s="409">
        <f>ROUND(INDEX(販管費予算!$E$23:$I$23,MATCH(BB$3,販管費予算!$E$4:$I$4,0))/12,0)+IF(COUNTIF($AB$3:BB$3,BB$3)=12,INDEX(販管費予算!$E$23:$I$23,MATCH(BB$3,販管費予算!$E$4:$I$4,0))-12*ROUND(INDEX(販管費予算!$E$23:$I$23,MATCH(BB$3,販管費予算!$E$4:$I$4,0))/12,0),0)</f>
        <v>41667.0</v>
      </c>
      <c r="BC66" s="409">
        <f>ROUND(INDEX(販管費予算!$E$23:$I$23,MATCH(BC$3,販管費予算!$E$4:$I$4,0))/12,0)+IF(COUNTIF($AB$3:BC$3,BC$3)=12,INDEX(販管費予算!$E$23:$I$23,MATCH(BC$3,販管費予算!$E$4:$I$4,0))-12*ROUND(INDEX(販管費予算!$E$23:$I$23,MATCH(BC$3,販管費予算!$E$4:$I$4,0))/12,0),0)</f>
        <v>41667.0</v>
      </c>
      <c r="BD66" s="409">
        <f>ROUND(INDEX(販管費予算!$E$23:$I$23,MATCH(BD$3,販管費予算!$E$4:$I$4,0))/12,0)+IF(COUNTIF($AB$3:BD$3,BD$3)=12,INDEX(販管費予算!$E$23:$I$23,MATCH(BD$3,販管費予算!$E$4:$I$4,0))-12*ROUND(INDEX(販管費予算!$E$23:$I$23,MATCH(BD$3,販管費予算!$E$4:$I$4,0))/12,0),0)</f>
        <v>41667.0</v>
      </c>
      <c r="BE66" s="409">
        <f>ROUND(INDEX(販管費予算!$E$23:$I$23,MATCH(BE$3,販管費予算!$E$4:$I$4,0))/12,0)+IF(COUNTIF($AB$3:BE$3,BE$3)=12,INDEX(販管費予算!$E$23:$I$23,MATCH(BE$3,販管費予算!$E$4:$I$4,0))-12*ROUND(INDEX(販管費予算!$E$23:$I$23,MATCH(BE$3,販管費予算!$E$4:$I$4,0))/12,0),0)</f>
        <v>41667.0</v>
      </c>
      <c r="BF66" s="409">
        <f>ROUND(INDEX(販管費予算!$E$23:$I$23,MATCH(BF$3,販管費予算!$E$4:$I$4,0))/12,0)+IF(COUNTIF($AB$3:BF$3,BF$3)=12,INDEX(販管費予算!$E$23:$I$23,MATCH(BF$3,販管費予算!$E$4:$I$4,0))-12*ROUND(INDEX(販管費予算!$E$23:$I$23,MATCH(BF$3,販管費予算!$E$4:$I$4,0))/12,0),0)</f>
        <v>41667.0</v>
      </c>
      <c r="BG66" s="409">
        <f>ROUND(INDEX(販管費予算!$E$23:$I$23,MATCH(BG$3,販管費予算!$E$4:$I$4,0))/12,0)+IF(COUNTIF($AB$3:BG$3,BG$3)=12,INDEX(販管費予算!$E$23:$I$23,MATCH(BG$3,販管費予算!$E$4:$I$4,0))-12*ROUND(INDEX(販管費予算!$E$23:$I$23,MATCH(BG$3,販管費予算!$E$4:$I$4,0))/12,0),0)</f>
        <v>41667.0</v>
      </c>
      <c r="BH66" s="409">
        <f>ROUND(INDEX(販管費予算!$E$23:$I$23,MATCH(BH$3,販管費予算!$E$4:$I$4,0))/12,0)+IF(COUNTIF($AB$3:BH$3,BH$3)=12,INDEX(販管費予算!$E$23:$I$23,MATCH(BH$3,販管費予算!$E$4:$I$4,0))-12*ROUND(INDEX(販管費予算!$E$23:$I$23,MATCH(BH$3,販管費予算!$E$4:$I$4,0))/12,0),0)</f>
        <v>41667.0</v>
      </c>
      <c r="BI66" s="409">
        <f>ROUND(INDEX(販管費予算!$E$23:$I$23,MATCH(BI$3,販管費予算!$E$4:$I$4,0))/12,0)+IF(COUNTIF($AB$3:BI$3,BI$3)=12,INDEX(販管費予算!$E$23:$I$23,MATCH(BI$3,販管費予算!$E$4:$I$4,0))-12*ROUND(INDEX(販管費予算!$E$23:$I$23,MATCH(BI$3,販管費予算!$E$4:$I$4,0))/12,0),0)</f>
        <v>41667.0</v>
      </c>
      <c r="BJ66" s="409">
        <f>ROUND(INDEX(販管費予算!$E$23:$I$23,MATCH(BJ$3,販管費予算!$E$4:$I$4,0))/12,0)+IF(COUNTIF($AB$3:BJ$3,BJ$3)=12,INDEX(販管費予算!$E$23:$I$23,MATCH(BJ$3,販管費予算!$E$4:$I$4,0))-12*ROUND(INDEX(販管費予算!$E$23:$I$23,MATCH(BJ$3,販管費予算!$E$4:$I$4,0))/12,0),0)</f>
        <v>41667.0</v>
      </c>
      <c r="BK66" s="412">
        <f>ROUND(INDEX(販管費予算!$E$23:$I$23,MATCH(BK$3,販管費予算!$E$4:$I$4,0))/12,0)+IF(COUNTIF($AB$3:BK$3,BK$3)=12,INDEX(販管費予算!$E$23:$I$23,MATCH(BK$3,販管費予算!$E$4:$I$4,0))-12*ROUND(INDEX(販管費予算!$E$23:$I$23,MATCH(BK$3,販管費予算!$E$4:$I$4,0))/12,0),0)</f>
        <v>41663.0</v>
      </c>
      <c r="BL66" s="408">
        <f>ROUND(INDEX(販管費予算!$E$23:$I$23,MATCH(BL$3,販管費予算!$E$4:$I$4,0))/12,0)+IF(COUNTIF($AB$3:BL$3,BL$3)=12,INDEX(販管費予算!$E$23:$I$23,MATCH(BL$3,販管費予算!$E$4:$I$4,0))-12*ROUND(INDEX(販管費予算!$E$23:$I$23,MATCH(BL$3,販管費予算!$E$4:$I$4,0))/12,0),0)</f>
        <v>58333.0</v>
      </c>
      <c r="BM66" s="409">
        <f>ROUND(INDEX(販管費予算!$E$23:$I$23,MATCH(BM$3,販管費予算!$E$4:$I$4,0))/12,0)+IF(COUNTIF($AB$3:BM$3,BM$3)=12,INDEX(販管費予算!$E$23:$I$23,MATCH(BM$3,販管費予算!$E$4:$I$4,0))-12*ROUND(INDEX(販管費予算!$E$23:$I$23,MATCH(BM$3,販管費予算!$E$4:$I$4,0))/12,0),0)</f>
        <v>58333.0</v>
      </c>
      <c r="BN66" s="409">
        <f>ROUND(INDEX(販管費予算!$E$23:$I$23,MATCH(BN$3,販管費予算!$E$4:$I$4,0))/12,0)+IF(COUNTIF($AB$3:BN$3,BN$3)=12,INDEX(販管費予算!$E$23:$I$23,MATCH(BN$3,販管費予算!$E$4:$I$4,0))-12*ROUND(INDEX(販管費予算!$E$23:$I$23,MATCH(BN$3,販管費予算!$E$4:$I$4,0))/12,0),0)</f>
        <v>58333.0</v>
      </c>
      <c r="BO66" s="409">
        <f>ROUND(INDEX(販管費予算!$E$23:$I$23,MATCH(BO$3,販管費予算!$E$4:$I$4,0))/12,0)+IF(COUNTIF($AB$3:BO$3,BO$3)=12,INDEX(販管費予算!$E$23:$I$23,MATCH(BO$3,販管費予算!$E$4:$I$4,0))-12*ROUND(INDEX(販管費予算!$E$23:$I$23,MATCH(BO$3,販管費予算!$E$4:$I$4,0))/12,0),0)</f>
        <v>58333.0</v>
      </c>
      <c r="BP66" s="409">
        <f>ROUND(INDEX(販管費予算!$E$23:$I$23,MATCH(BP$3,販管費予算!$E$4:$I$4,0))/12,0)+IF(COUNTIF($AB$3:BP$3,BP$3)=12,INDEX(販管費予算!$E$23:$I$23,MATCH(BP$3,販管費予算!$E$4:$I$4,0))-12*ROUND(INDEX(販管費予算!$E$23:$I$23,MATCH(BP$3,販管費予算!$E$4:$I$4,0))/12,0),0)</f>
        <v>58333.0</v>
      </c>
      <c r="BQ66" s="409">
        <f>ROUND(INDEX(販管費予算!$E$23:$I$23,MATCH(BQ$3,販管費予算!$E$4:$I$4,0))/12,0)+IF(COUNTIF($AB$3:BQ$3,BQ$3)=12,INDEX(販管費予算!$E$23:$I$23,MATCH(BQ$3,販管費予算!$E$4:$I$4,0))-12*ROUND(INDEX(販管費予算!$E$23:$I$23,MATCH(BQ$3,販管費予算!$E$4:$I$4,0))/12,0),0)</f>
        <v>58333.0</v>
      </c>
      <c r="BR66" s="409">
        <f>ROUND(INDEX(販管費予算!$E$23:$I$23,MATCH(BR$3,販管費予算!$E$4:$I$4,0))/12,0)+IF(COUNTIF($AB$3:BR$3,BR$3)=12,INDEX(販管費予算!$E$23:$I$23,MATCH(BR$3,販管費予算!$E$4:$I$4,0))-12*ROUND(INDEX(販管費予算!$E$23:$I$23,MATCH(BR$3,販管費予算!$E$4:$I$4,0))/12,0),0)</f>
        <v>58333.0</v>
      </c>
      <c r="BS66" s="409">
        <f>ROUND(INDEX(販管費予算!$E$23:$I$23,MATCH(BS$3,販管費予算!$E$4:$I$4,0))/12,0)+IF(COUNTIF($AB$3:BS$3,BS$3)=12,INDEX(販管費予算!$E$23:$I$23,MATCH(BS$3,販管費予算!$E$4:$I$4,0))-12*ROUND(INDEX(販管費予算!$E$23:$I$23,MATCH(BS$3,販管費予算!$E$4:$I$4,0))/12,0),0)</f>
        <v>58333.0</v>
      </c>
      <c r="BT66" s="409">
        <f>ROUND(INDEX(販管費予算!$E$23:$I$23,MATCH(BT$3,販管費予算!$E$4:$I$4,0))/12,0)+IF(COUNTIF($AB$3:BT$3,BT$3)=12,INDEX(販管費予算!$E$23:$I$23,MATCH(BT$3,販管費予算!$E$4:$I$4,0))-12*ROUND(INDEX(販管費予算!$E$23:$I$23,MATCH(BT$3,販管費予算!$E$4:$I$4,0))/12,0),0)</f>
        <v>58333.0</v>
      </c>
      <c r="BU66" s="409">
        <f>ROUND(INDEX(販管費予算!$E$23:$I$23,MATCH(BU$3,販管費予算!$E$4:$I$4,0))/12,0)+IF(COUNTIF($AB$3:BU$3,BU$3)=12,INDEX(販管費予算!$E$23:$I$23,MATCH(BU$3,販管費予算!$E$4:$I$4,0))-12*ROUND(INDEX(販管費予算!$E$23:$I$23,MATCH(BU$3,販管費予算!$E$4:$I$4,0))/12,0),0)</f>
        <v>58333.0</v>
      </c>
      <c r="BV66" s="409">
        <f>ROUND(INDEX(販管費予算!$E$23:$I$23,MATCH(BV$3,販管費予算!$E$4:$I$4,0))/12,0)+IF(COUNTIF($AB$3:BV$3,BV$3)=12,INDEX(販管費予算!$E$23:$I$23,MATCH(BV$3,販管費予算!$E$4:$I$4,0))-12*ROUND(INDEX(販管費予算!$E$23:$I$23,MATCH(BV$3,販管費予算!$E$4:$I$4,0))/12,0),0)</f>
        <v>58333.0</v>
      </c>
      <c r="BW66" s="412">
        <f>ROUND(INDEX(販管費予算!$E$23:$I$23,MATCH(BW$3,販管費予算!$E$4:$I$4,0))/12,0)+IF(COUNTIF($AB$3:BW$3,BW$3)=12,INDEX(販管費予算!$E$23:$I$23,MATCH(BW$3,販管費予算!$E$4:$I$4,0))-12*ROUND(INDEX(販管費予算!$E$23:$I$23,MATCH(BW$3,販管費予算!$E$4:$I$4,0))/12,0),0)</f>
        <v>58337.0</v>
      </c>
      <c r="BX66" s="408">
        <f>ROUND(INDEX(販管費予算!$E$23:$I$23,MATCH(BX$3,販管費予算!$E$4:$I$4,0))/12,0)+IF(COUNTIF($AB$3:BX$3,BX$3)=12,INDEX(販管費予算!$E$23:$I$23,MATCH(BX$3,販管費予算!$E$4:$I$4,0))-12*ROUND(INDEX(販管費予算!$E$23:$I$23,MATCH(BX$3,販管費予算!$E$4:$I$4,0))/12,0),0)</f>
        <v>83333.0</v>
      </c>
      <c r="BY66" s="409">
        <f>ROUND(INDEX(販管費予算!$E$23:$I$23,MATCH(BY$3,販管費予算!$E$4:$I$4,0))/12,0)+IF(COUNTIF($AB$3:BY$3,BY$3)=12,INDEX(販管費予算!$E$23:$I$23,MATCH(BY$3,販管費予算!$E$4:$I$4,0))-12*ROUND(INDEX(販管費予算!$E$23:$I$23,MATCH(BY$3,販管費予算!$E$4:$I$4,0))/12,0),0)</f>
        <v>83333.0</v>
      </c>
      <c r="BZ66" s="409">
        <f>ROUND(INDEX(販管費予算!$E$23:$I$23,MATCH(BZ$3,販管費予算!$E$4:$I$4,0))/12,0)+IF(COUNTIF($AB$3:BZ$3,BZ$3)=12,INDEX(販管費予算!$E$23:$I$23,MATCH(BZ$3,販管費予算!$E$4:$I$4,0))-12*ROUND(INDEX(販管費予算!$E$23:$I$23,MATCH(BZ$3,販管費予算!$E$4:$I$4,0))/12,0),0)</f>
        <v>83333.0</v>
      </c>
      <c r="CA66" s="409">
        <f>ROUND(INDEX(販管費予算!$E$23:$I$23,MATCH(CA$3,販管費予算!$E$4:$I$4,0))/12,0)+IF(COUNTIF($AB$3:CA$3,CA$3)=12,INDEX(販管費予算!$E$23:$I$23,MATCH(CA$3,販管費予算!$E$4:$I$4,0))-12*ROUND(INDEX(販管費予算!$E$23:$I$23,MATCH(CA$3,販管費予算!$E$4:$I$4,0))/12,0),0)</f>
        <v>83333.0</v>
      </c>
      <c r="CB66" s="409">
        <f>ROUND(INDEX(販管費予算!$E$23:$I$23,MATCH(CB$3,販管費予算!$E$4:$I$4,0))/12,0)+IF(COUNTIF($AB$3:CB$3,CB$3)=12,INDEX(販管費予算!$E$23:$I$23,MATCH(CB$3,販管費予算!$E$4:$I$4,0))-12*ROUND(INDEX(販管費予算!$E$23:$I$23,MATCH(CB$3,販管費予算!$E$4:$I$4,0))/12,0),0)</f>
        <v>83333.0</v>
      </c>
      <c r="CC66" s="409">
        <f>ROUND(INDEX(販管費予算!$E$23:$I$23,MATCH(CC$3,販管費予算!$E$4:$I$4,0))/12,0)+IF(COUNTIF($AB$3:CC$3,CC$3)=12,INDEX(販管費予算!$E$23:$I$23,MATCH(CC$3,販管費予算!$E$4:$I$4,0))-12*ROUND(INDEX(販管費予算!$E$23:$I$23,MATCH(CC$3,販管費予算!$E$4:$I$4,0))/12,0),0)</f>
        <v>83333.0</v>
      </c>
      <c r="CD66" s="409">
        <f>ROUND(INDEX(販管費予算!$E$23:$I$23,MATCH(CD$3,販管費予算!$E$4:$I$4,0))/12,0)+IF(COUNTIF($AB$3:CD$3,CD$3)=12,INDEX(販管費予算!$E$23:$I$23,MATCH(CD$3,販管費予算!$E$4:$I$4,0))-12*ROUND(INDEX(販管費予算!$E$23:$I$23,MATCH(CD$3,販管費予算!$E$4:$I$4,0))/12,0),0)</f>
        <v>83333.0</v>
      </c>
      <c r="CE66" s="409">
        <f>ROUND(INDEX(販管費予算!$E$23:$I$23,MATCH(CE$3,販管費予算!$E$4:$I$4,0))/12,0)+IF(COUNTIF($AB$3:CE$3,CE$3)=12,INDEX(販管費予算!$E$23:$I$23,MATCH(CE$3,販管費予算!$E$4:$I$4,0))-12*ROUND(INDEX(販管費予算!$E$23:$I$23,MATCH(CE$3,販管費予算!$E$4:$I$4,0))/12,0),0)</f>
        <v>83333.0</v>
      </c>
      <c r="CF66" s="409">
        <f>ROUND(INDEX(販管費予算!$E$23:$I$23,MATCH(CF$3,販管費予算!$E$4:$I$4,0))/12,0)+IF(COUNTIF($AB$3:CF$3,CF$3)=12,INDEX(販管費予算!$E$23:$I$23,MATCH(CF$3,販管費予算!$E$4:$I$4,0))-12*ROUND(INDEX(販管費予算!$E$23:$I$23,MATCH(CF$3,販管費予算!$E$4:$I$4,0))/12,0),0)</f>
        <v>83333.0</v>
      </c>
      <c r="CG66" s="409">
        <f>ROUND(INDEX(販管費予算!$E$23:$I$23,MATCH(CG$3,販管費予算!$E$4:$I$4,0))/12,0)+IF(COUNTIF($AB$3:CG$3,CG$3)=12,INDEX(販管費予算!$E$23:$I$23,MATCH(CG$3,販管費予算!$E$4:$I$4,0))-12*ROUND(INDEX(販管費予算!$E$23:$I$23,MATCH(CG$3,販管費予算!$E$4:$I$4,0))/12,0),0)</f>
        <v>83333.0</v>
      </c>
      <c r="CH66" s="409">
        <f>ROUND(INDEX(販管費予算!$E$23:$I$23,MATCH(CH$3,販管費予算!$E$4:$I$4,0))/12,0)+IF(COUNTIF($AB$3:CH$3,CH$3)=12,INDEX(販管費予算!$E$23:$I$23,MATCH(CH$3,販管費予算!$E$4:$I$4,0))-12*ROUND(INDEX(販管費予算!$E$23:$I$23,MATCH(CH$3,販管費予算!$E$4:$I$4,0))/12,0),0)</f>
        <v>83333.0</v>
      </c>
      <c r="CI66" s="412">
        <f>ROUND(INDEX(販管費予算!$E$23:$I$23,MATCH(CI$3,販管費予算!$E$4:$I$4,0))/12,0)+IF(COUNTIF($AB$3:CI$3,CI$3)=12,INDEX(販管費予算!$E$23:$I$23,MATCH(CI$3,販管費予算!$E$4:$I$4,0))-12*ROUND(INDEX(販管費予算!$E$23:$I$23,MATCH(CI$3,販管費予算!$E$4:$I$4,0))/12,0),0)</f>
        <v>83337.0</v>
      </c>
    </row>
    <row r="67" ht="18" customHeight="1" s="145">
      <c r="A67" s="233" t="n"/>
      <c r="B67" s="233" t="inlineStr">
        <is>
          <t>支払手数料</t>
        </is>
      </c>
      <c r="C67" s="233" t="inlineStr">
        <is>
          <t>全社</t>
        </is>
      </c>
      <c r="D67" s="234" t="n"/>
      <c r="E67" s="408">
        <f>SUMIF($AB$3:$CI$3,E$4,$AB67:$CI67)</f>
        <v>1000000.0</v>
      </c>
      <c r="F67" s="409">
        <f>SUMIF($AB$3:$CI$3,F$4,$AB67:$CI67)</f>
        <v>2000000.0</v>
      </c>
      <c r="G67" s="409">
        <f>SUMIF($AB$3:$CI$3,G$4,$AB67:$CI67)</f>
        <v>5000000.0</v>
      </c>
      <c r="H67" s="409">
        <f>SUMIF($AB$3:$CI$3,H$4,$AB67:$CI67)</f>
        <v>8000000.0</v>
      </c>
      <c r="I67" s="409">
        <f>SUMIF($AB$3:$CI$3,I$4,$AB67:$CI67)</f>
        <v>15000000.0</v>
      </c>
      <c r="J67" s="407">
        <f>SUM(E67:I67)</f>
        <v>31000000.0</v>
      </c>
      <c r="K67" s="407">
        <f>SUMIF($Q$3:$CN$3,K$4,$Q67:$CN67)</f>
        <v>0.0</v>
      </c>
      <c r="L67" s="407">
        <f>SUMIF($Q$3:$CN$3,L$4,$Q67:$CN67)</f>
        <v>0.0</v>
      </c>
      <c r="M67" s="407">
        <f>SUMIF($Q$3:$CN$3,M$4,$Q67:$CN67)</f>
        <v>0.0</v>
      </c>
      <c r="N67" s="407">
        <f>SUMIF($Q$3:$CN$3,N$4,$Q67:$CN67)</f>
        <v>0.0</v>
      </c>
      <c r="O67" s="235" t="n"/>
      <c r="P67" s="408" t="n"/>
      <c r="Q67" s="409" t="n"/>
      <c r="R67" s="409" t="n"/>
      <c r="S67" s="409" t="n"/>
      <c r="T67" s="409" t="n"/>
      <c r="U67" s="409" t="n"/>
      <c r="V67" s="409" t="n"/>
      <c r="W67" s="409" t="n"/>
      <c r="X67" s="409" t="n"/>
      <c r="Y67" s="409" t="n"/>
      <c r="Z67" s="409" t="n"/>
      <c r="AA67" s="412" t="n"/>
      <c r="AB67" s="476">
        <f>ROUND(INDEX(販管費予算!$E$24:$I$24,MATCH(AB$3,販管費予算!$E$4:$I$4,0))/12,0)+IF(COUNTIF($AB$3:AB$3,AB$3)=12,INDEX(販管費予算!$E$24:$I$24,MATCH(AB$3,販管費予算!$E$4:$I$4,0))-12*ROUND(INDEX(販管費予算!$E$24:$I$24,MATCH(AB$3,販管費予算!$E$4:$I$4,0))/12,0),0)</f>
        <v>83333.0</v>
      </c>
      <c r="AC67" s="477">
        <f>ROUND(INDEX(販管費予算!$E$24:$I$24,MATCH(AC$3,販管費予算!$E$4:$I$4,0))/12,0)+IF(COUNTIF($AB$3:AC$3,AC$3)=12,INDEX(販管費予算!$E$24:$I$24,MATCH(AC$3,販管費予算!$E$4:$I$4,0))-12*ROUND(INDEX(販管費予算!$E$24:$I$24,MATCH(AC$3,販管費予算!$E$4:$I$4,0))/12,0),0)</f>
        <v>83333.0</v>
      </c>
      <c r="AD67" s="477">
        <f>ROUND(INDEX(販管費予算!$E$24:$I$24,MATCH(AD$3,販管費予算!$E$4:$I$4,0))/12,0)+IF(COUNTIF($AB$3:AD$3,AD$3)=12,INDEX(販管費予算!$E$24:$I$24,MATCH(AD$3,販管費予算!$E$4:$I$4,0))-12*ROUND(INDEX(販管費予算!$E$24:$I$24,MATCH(AD$3,販管費予算!$E$4:$I$4,0))/12,0),0)</f>
        <v>83333.0</v>
      </c>
      <c r="AE67" s="477">
        <f>ROUND(INDEX(販管費予算!$E$24:$I$24,MATCH(AE$3,販管費予算!$E$4:$I$4,0))/12,0)+IF(COUNTIF($AB$3:AE$3,AE$3)=12,INDEX(販管費予算!$E$24:$I$24,MATCH(AE$3,販管費予算!$E$4:$I$4,0))-12*ROUND(INDEX(販管費予算!$E$24:$I$24,MATCH(AE$3,販管費予算!$E$4:$I$4,0))/12,0),0)</f>
        <v>83333.0</v>
      </c>
      <c r="AF67" s="477">
        <f>ROUND(INDEX(販管費予算!$E$24:$I$24,MATCH(AF$3,販管費予算!$E$4:$I$4,0))/12,0)+IF(COUNTIF($AB$3:AF$3,AF$3)=12,INDEX(販管費予算!$E$24:$I$24,MATCH(AF$3,販管費予算!$E$4:$I$4,0))-12*ROUND(INDEX(販管費予算!$E$24:$I$24,MATCH(AF$3,販管費予算!$E$4:$I$4,0))/12,0),0)</f>
        <v>83333.0</v>
      </c>
      <c r="AG67" s="409">
        <f>ROUND(INDEX(販管費予算!$E$24:$I$24,MATCH(AG$3,販管費予算!$E$4:$I$4,0))/12,0)+IF(COUNTIF($AB$3:AG$3,AG$3)=12,INDEX(販管費予算!$E$24:$I$24,MATCH(AG$3,販管費予算!$E$4:$I$4,0))-12*ROUND(INDEX(販管費予算!$E$24:$I$24,MATCH(AG$3,販管費予算!$E$4:$I$4,0))/12,0),0)</f>
        <v>83333.0</v>
      </c>
      <c r="AH67" s="409">
        <f>ROUND(INDEX(販管費予算!$E$24:$I$24,MATCH(AH$3,販管費予算!$E$4:$I$4,0))/12,0)+IF(COUNTIF($AB$3:AH$3,AH$3)=12,INDEX(販管費予算!$E$24:$I$24,MATCH(AH$3,販管費予算!$E$4:$I$4,0))-12*ROUND(INDEX(販管費予算!$E$24:$I$24,MATCH(AH$3,販管費予算!$E$4:$I$4,0))/12,0),0)</f>
        <v>83333.0</v>
      </c>
      <c r="AI67" s="409">
        <f>ROUND(INDEX(販管費予算!$E$24:$I$24,MATCH(AI$3,販管費予算!$E$4:$I$4,0))/12,0)+IF(COUNTIF($AB$3:AI$3,AI$3)=12,INDEX(販管費予算!$E$24:$I$24,MATCH(AI$3,販管費予算!$E$4:$I$4,0))-12*ROUND(INDEX(販管費予算!$E$24:$I$24,MATCH(AI$3,販管費予算!$E$4:$I$4,0))/12,0),0)</f>
        <v>83333.0</v>
      </c>
      <c r="AJ67" s="409">
        <f>ROUND(INDEX(販管費予算!$E$24:$I$24,MATCH(AJ$3,販管費予算!$E$4:$I$4,0))/12,0)+IF(COUNTIF($AB$3:AJ$3,AJ$3)=12,INDEX(販管費予算!$E$24:$I$24,MATCH(AJ$3,販管費予算!$E$4:$I$4,0))-12*ROUND(INDEX(販管費予算!$E$24:$I$24,MATCH(AJ$3,販管費予算!$E$4:$I$4,0))/12,0),0)</f>
        <v>83333.0</v>
      </c>
      <c r="AK67" s="409">
        <f>ROUND(INDEX(販管費予算!$E$24:$I$24,MATCH(AK$3,販管費予算!$E$4:$I$4,0))/12,0)+IF(COUNTIF($AB$3:AK$3,AK$3)=12,INDEX(販管費予算!$E$24:$I$24,MATCH(AK$3,販管費予算!$E$4:$I$4,0))-12*ROUND(INDEX(販管費予算!$E$24:$I$24,MATCH(AK$3,販管費予算!$E$4:$I$4,0))/12,0),0)</f>
        <v>83333.0</v>
      </c>
      <c r="AL67" s="409">
        <f>ROUND(INDEX(販管費予算!$E$24:$I$24,MATCH(AL$3,販管費予算!$E$4:$I$4,0))/12,0)+IF(COUNTIF($AB$3:AL$3,AL$3)=12,INDEX(販管費予算!$E$24:$I$24,MATCH(AL$3,販管費予算!$E$4:$I$4,0))-12*ROUND(INDEX(販管費予算!$E$24:$I$24,MATCH(AL$3,販管費予算!$E$4:$I$4,0))/12,0),0)</f>
        <v>83333.0</v>
      </c>
      <c r="AM67" s="412">
        <f>ROUND(INDEX(販管費予算!$E$24:$I$24,MATCH(AM$3,販管費予算!$E$4:$I$4,0))/12,0)+IF(COUNTIF($AB$3:AM$3,AM$3)=12,INDEX(販管費予算!$E$24:$I$24,MATCH(AM$3,販管費予算!$E$4:$I$4,0))-12*ROUND(INDEX(販管費予算!$E$24:$I$24,MATCH(AM$3,販管費予算!$E$4:$I$4,0))/12,0),0)</f>
        <v>83337.0</v>
      </c>
      <c r="AN67" s="408">
        <f>ROUND(INDEX(販管費予算!$E$24:$I$24,MATCH(AN$3,販管費予算!$E$4:$I$4,0))/12,0)+IF(COUNTIF($AB$3:AN$3,AN$3)=12,INDEX(販管費予算!$E$24:$I$24,MATCH(AN$3,販管費予算!$E$4:$I$4,0))-12*ROUND(INDEX(販管費予算!$E$24:$I$24,MATCH(AN$3,販管費予算!$E$4:$I$4,0))/12,0),0)</f>
        <v>166667.0</v>
      </c>
      <c r="AO67" s="409">
        <f>ROUND(INDEX(販管費予算!$E$24:$I$24,MATCH(AO$3,販管費予算!$E$4:$I$4,0))/12,0)+IF(COUNTIF($AB$3:AO$3,AO$3)=12,INDEX(販管費予算!$E$24:$I$24,MATCH(AO$3,販管費予算!$E$4:$I$4,0))-12*ROUND(INDEX(販管費予算!$E$24:$I$24,MATCH(AO$3,販管費予算!$E$4:$I$4,0))/12,0),0)</f>
        <v>166667.0</v>
      </c>
      <c r="AP67" s="409">
        <f>ROUND(INDEX(販管費予算!$E$24:$I$24,MATCH(AP$3,販管費予算!$E$4:$I$4,0))/12,0)+IF(COUNTIF($AB$3:AP$3,AP$3)=12,INDEX(販管費予算!$E$24:$I$24,MATCH(AP$3,販管費予算!$E$4:$I$4,0))-12*ROUND(INDEX(販管費予算!$E$24:$I$24,MATCH(AP$3,販管費予算!$E$4:$I$4,0))/12,0),0)</f>
        <v>166667.0</v>
      </c>
      <c r="AQ67" s="409">
        <f>ROUND(INDEX(販管費予算!$E$24:$I$24,MATCH(AQ$3,販管費予算!$E$4:$I$4,0))/12,0)+IF(COUNTIF($AB$3:AQ$3,AQ$3)=12,INDEX(販管費予算!$E$24:$I$24,MATCH(AQ$3,販管費予算!$E$4:$I$4,0))-12*ROUND(INDEX(販管費予算!$E$24:$I$24,MATCH(AQ$3,販管費予算!$E$4:$I$4,0))/12,0),0)</f>
        <v>166667.0</v>
      </c>
      <c r="AR67" s="409">
        <f>ROUND(INDEX(販管費予算!$E$24:$I$24,MATCH(AR$3,販管費予算!$E$4:$I$4,0))/12,0)+IF(COUNTIF($AB$3:AR$3,AR$3)=12,INDEX(販管費予算!$E$24:$I$24,MATCH(AR$3,販管費予算!$E$4:$I$4,0))-12*ROUND(INDEX(販管費予算!$E$24:$I$24,MATCH(AR$3,販管費予算!$E$4:$I$4,0))/12,0),0)</f>
        <v>166667.0</v>
      </c>
      <c r="AS67" s="409">
        <f>ROUND(INDEX(販管費予算!$E$24:$I$24,MATCH(AS$3,販管費予算!$E$4:$I$4,0))/12,0)+IF(COUNTIF($AB$3:AS$3,AS$3)=12,INDEX(販管費予算!$E$24:$I$24,MATCH(AS$3,販管費予算!$E$4:$I$4,0))-12*ROUND(INDEX(販管費予算!$E$24:$I$24,MATCH(AS$3,販管費予算!$E$4:$I$4,0))/12,0),0)</f>
        <v>166667.0</v>
      </c>
      <c r="AT67" s="409">
        <f>ROUND(INDEX(販管費予算!$E$24:$I$24,MATCH(AT$3,販管費予算!$E$4:$I$4,0))/12,0)+IF(COUNTIF($AB$3:AT$3,AT$3)=12,INDEX(販管費予算!$E$24:$I$24,MATCH(AT$3,販管費予算!$E$4:$I$4,0))-12*ROUND(INDEX(販管費予算!$E$24:$I$24,MATCH(AT$3,販管費予算!$E$4:$I$4,0))/12,0),0)</f>
        <v>166667.0</v>
      </c>
      <c r="AU67" s="409">
        <f>ROUND(INDEX(販管費予算!$E$24:$I$24,MATCH(AU$3,販管費予算!$E$4:$I$4,0))/12,0)+IF(COUNTIF($AB$3:AU$3,AU$3)=12,INDEX(販管費予算!$E$24:$I$24,MATCH(AU$3,販管費予算!$E$4:$I$4,0))-12*ROUND(INDEX(販管費予算!$E$24:$I$24,MATCH(AU$3,販管費予算!$E$4:$I$4,0))/12,0),0)</f>
        <v>166667.0</v>
      </c>
      <c r="AV67" s="409">
        <f>ROUND(INDEX(販管費予算!$E$24:$I$24,MATCH(AV$3,販管費予算!$E$4:$I$4,0))/12,0)+IF(COUNTIF($AB$3:AV$3,AV$3)=12,INDEX(販管費予算!$E$24:$I$24,MATCH(AV$3,販管費予算!$E$4:$I$4,0))-12*ROUND(INDEX(販管費予算!$E$24:$I$24,MATCH(AV$3,販管費予算!$E$4:$I$4,0))/12,0),0)</f>
        <v>166667.0</v>
      </c>
      <c r="AW67" s="409">
        <f>ROUND(INDEX(販管費予算!$E$24:$I$24,MATCH(AW$3,販管費予算!$E$4:$I$4,0))/12,0)+IF(COUNTIF($AB$3:AW$3,AW$3)=12,INDEX(販管費予算!$E$24:$I$24,MATCH(AW$3,販管費予算!$E$4:$I$4,0))-12*ROUND(INDEX(販管費予算!$E$24:$I$24,MATCH(AW$3,販管費予算!$E$4:$I$4,0))/12,0),0)</f>
        <v>166667.0</v>
      </c>
      <c r="AX67" s="409">
        <f>ROUND(INDEX(販管費予算!$E$24:$I$24,MATCH(AX$3,販管費予算!$E$4:$I$4,0))/12,0)+IF(COUNTIF($AB$3:AX$3,AX$3)=12,INDEX(販管費予算!$E$24:$I$24,MATCH(AX$3,販管費予算!$E$4:$I$4,0))-12*ROUND(INDEX(販管費予算!$E$24:$I$24,MATCH(AX$3,販管費予算!$E$4:$I$4,0))/12,0),0)</f>
        <v>166667.0</v>
      </c>
      <c r="AY67" s="412">
        <f>ROUND(INDEX(販管費予算!$E$24:$I$24,MATCH(AY$3,販管費予算!$E$4:$I$4,0))/12,0)+IF(COUNTIF($AB$3:AY$3,AY$3)=12,INDEX(販管費予算!$E$24:$I$24,MATCH(AY$3,販管費予算!$E$4:$I$4,0))-12*ROUND(INDEX(販管費予算!$E$24:$I$24,MATCH(AY$3,販管費予算!$E$4:$I$4,0))/12,0),0)</f>
        <v>166663.0</v>
      </c>
      <c r="AZ67" s="408">
        <f>ROUND(INDEX(販管費予算!$E$24:$I$24,MATCH(AZ$3,販管費予算!$E$4:$I$4,0))/12,0)+IF(COUNTIF($AB$3:AZ$3,AZ$3)=12,INDEX(販管費予算!$E$24:$I$24,MATCH(AZ$3,販管費予算!$E$4:$I$4,0))-12*ROUND(INDEX(販管費予算!$E$24:$I$24,MATCH(AZ$3,販管費予算!$E$4:$I$4,0))/12,0),0)</f>
        <v>416667.0</v>
      </c>
      <c r="BA67" s="409">
        <f>ROUND(INDEX(販管費予算!$E$24:$I$24,MATCH(BA$3,販管費予算!$E$4:$I$4,0))/12,0)+IF(COUNTIF($AB$3:BA$3,BA$3)=12,INDEX(販管費予算!$E$24:$I$24,MATCH(BA$3,販管費予算!$E$4:$I$4,0))-12*ROUND(INDEX(販管費予算!$E$24:$I$24,MATCH(BA$3,販管費予算!$E$4:$I$4,0))/12,0),0)</f>
        <v>416667.0</v>
      </c>
      <c r="BB67" s="409">
        <f>ROUND(INDEX(販管費予算!$E$24:$I$24,MATCH(BB$3,販管費予算!$E$4:$I$4,0))/12,0)+IF(COUNTIF($AB$3:BB$3,BB$3)=12,INDEX(販管費予算!$E$24:$I$24,MATCH(BB$3,販管費予算!$E$4:$I$4,0))-12*ROUND(INDEX(販管費予算!$E$24:$I$24,MATCH(BB$3,販管費予算!$E$4:$I$4,0))/12,0),0)</f>
        <v>416667.0</v>
      </c>
      <c r="BC67" s="409">
        <f>ROUND(INDEX(販管費予算!$E$24:$I$24,MATCH(BC$3,販管費予算!$E$4:$I$4,0))/12,0)+IF(COUNTIF($AB$3:BC$3,BC$3)=12,INDEX(販管費予算!$E$24:$I$24,MATCH(BC$3,販管費予算!$E$4:$I$4,0))-12*ROUND(INDEX(販管費予算!$E$24:$I$24,MATCH(BC$3,販管費予算!$E$4:$I$4,0))/12,0),0)</f>
        <v>416667.0</v>
      </c>
      <c r="BD67" s="409">
        <f>ROUND(INDEX(販管費予算!$E$24:$I$24,MATCH(BD$3,販管費予算!$E$4:$I$4,0))/12,0)+IF(COUNTIF($AB$3:BD$3,BD$3)=12,INDEX(販管費予算!$E$24:$I$24,MATCH(BD$3,販管費予算!$E$4:$I$4,0))-12*ROUND(INDEX(販管費予算!$E$24:$I$24,MATCH(BD$3,販管費予算!$E$4:$I$4,0))/12,0),0)</f>
        <v>416667.0</v>
      </c>
      <c r="BE67" s="409">
        <f>ROUND(INDEX(販管費予算!$E$24:$I$24,MATCH(BE$3,販管費予算!$E$4:$I$4,0))/12,0)+IF(COUNTIF($AB$3:BE$3,BE$3)=12,INDEX(販管費予算!$E$24:$I$24,MATCH(BE$3,販管費予算!$E$4:$I$4,0))-12*ROUND(INDEX(販管費予算!$E$24:$I$24,MATCH(BE$3,販管費予算!$E$4:$I$4,0))/12,0),0)</f>
        <v>416667.0</v>
      </c>
      <c r="BF67" s="409">
        <f>ROUND(INDEX(販管費予算!$E$24:$I$24,MATCH(BF$3,販管費予算!$E$4:$I$4,0))/12,0)+IF(COUNTIF($AB$3:BF$3,BF$3)=12,INDEX(販管費予算!$E$24:$I$24,MATCH(BF$3,販管費予算!$E$4:$I$4,0))-12*ROUND(INDEX(販管費予算!$E$24:$I$24,MATCH(BF$3,販管費予算!$E$4:$I$4,0))/12,0),0)</f>
        <v>416667.0</v>
      </c>
      <c r="BG67" s="409">
        <f>ROUND(INDEX(販管費予算!$E$24:$I$24,MATCH(BG$3,販管費予算!$E$4:$I$4,0))/12,0)+IF(COUNTIF($AB$3:BG$3,BG$3)=12,INDEX(販管費予算!$E$24:$I$24,MATCH(BG$3,販管費予算!$E$4:$I$4,0))-12*ROUND(INDEX(販管費予算!$E$24:$I$24,MATCH(BG$3,販管費予算!$E$4:$I$4,0))/12,0),0)</f>
        <v>416667.0</v>
      </c>
      <c r="BH67" s="409">
        <f>ROUND(INDEX(販管費予算!$E$24:$I$24,MATCH(BH$3,販管費予算!$E$4:$I$4,0))/12,0)+IF(COUNTIF($AB$3:BH$3,BH$3)=12,INDEX(販管費予算!$E$24:$I$24,MATCH(BH$3,販管費予算!$E$4:$I$4,0))-12*ROUND(INDEX(販管費予算!$E$24:$I$24,MATCH(BH$3,販管費予算!$E$4:$I$4,0))/12,0),0)</f>
        <v>416667.0</v>
      </c>
      <c r="BI67" s="409">
        <f>ROUND(INDEX(販管費予算!$E$24:$I$24,MATCH(BI$3,販管費予算!$E$4:$I$4,0))/12,0)+IF(COUNTIF($AB$3:BI$3,BI$3)=12,INDEX(販管費予算!$E$24:$I$24,MATCH(BI$3,販管費予算!$E$4:$I$4,0))-12*ROUND(INDEX(販管費予算!$E$24:$I$24,MATCH(BI$3,販管費予算!$E$4:$I$4,0))/12,0),0)</f>
        <v>416667.0</v>
      </c>
      <c r="BJ67" s="409">
        <f>ROUND(INDEX(販管費予算!$E$24:$I$24,MATCH(BJ$3,販管費予算!$E$4:$I$4,0))/12,0)+IF(COUNTIF($AB$3:BJ$3,BJ$3)=12,INDEX(販管費予算!$E$24:$I$24,MATCH(BJ$3,販管費予算!$E$4:$I$4,0))-12*ROUND(INDEX(販管費予算!$E$24:$I$24,MATCH(BJ$3,販管費予算!$E$4:$I$4,0))/12,0),0)</f>
        <v>416667.0</v>
      </c>
      <c r="BK67" s="412">
        <f>ROUND(INDEX(販管費予算!$E$24:$I$24,MATCH(BK$3,販管費予算!$E$4:$I$4,0))/12,0)+IF(COUNTIF($AB$3:BK$3,BK$3)=12,INDEX(販管費予算!$E$24:$I$24,MATCH(BK$3,販管費予算!$E$4:$I$4,0))-12*ROUND(INDEX(販管費予算!$E$24:$I$24,MATCH(BK$3,販管費予算!$E$4:$I$4,0))/12,0),0)</f>
        <v>416663.0</v>
      </c>
      <c r="BL67" s="408">
        <f>ROUND(INDEX(販管費予算!$E$24:$I$24,MATCH(BL$3,販管費予算!$E$4:$I$4,0))/12,0)+IF(COUNTIF($AB$3:BL$3,BL$3)=12,INDEX(販管費予算!$E$24:$I$24,MATCH(BL$3,販管費予算!$E$4:$I$4,0))-12*ROUND(INDEX(販管費予算!$E$24:$I$24,MATCH(BL$3,販管費予算!$E$4:$I$4,0))/12,0),0)</f>
        <v>666667.0</v>
      </c>
      <c r="BM67" s="409">
        <f>ROUND(INDEX(販管費予算!$E$24:$I$24,MATCH(BM$3,販管費予算!$E$4:$I$4,0))/12,0)+IF(COUNTIF($AB$3:BM$3,BM$3)=12,INDEX(販管費予算!$E$24:$I$24,MATCH(BM$3,販管費予算!$E$4:$I$4,0))-12*ROUND(INDEX(販管費予算!$E$24:$I$24,MATCH(BM$3,販管費予算!$E$4:$I$4,0))/12,0),0)</f>
        <v>666667.0</v>
      </c>
      <c r="BN67" s="409">
        <f>ROUND(INDEX(販管費予算!$E$24:$I$24,MATCH(BN$3,販管費予算!$E$4:$I$4,0))/12,0)+IF(COUNTIF($AB$3:BN$3,BN$3)=12,INDEX(販管費予算!$E$24:$I$24,MATCH(BN$3,販管費予算!$E$4:$I$4,0))-12*ROUND(INDEX(販管費予算!$E$24:$I$24,MATCH(BN$3,販管費予算!$E$4:$I$4,0))/12,0),0)</f>
        <v>666667.0</v>
      </c>
      <c r="BO67" s="409">
        <f>ROUND(INDEX(販管費予算!$E$24:$I$24,MATCH(BO$3,販管費予算!$E$4:$I$4,0))/12,0)+IF(COUNTIF($AB$3:BO$3,BO$3)=12,INDEX(販管費予算!$E$24:$I$24,MATCH(BO$3,販管費予算!$E$4:$I$4,0))-12*ROUND(INDEX(販管費予算!$E$24:$I$24,MATCH(BO$3,販管費予算!$E$4:$I$4,0))/12,0),0)</f>
        <v>666667.0</v>
      </c>
      <c r="BP67" s="409">
        <f>ROUND(INDEX(販管費予算!$E$24:$I$24,MATCH(BP$3,販管費予算!$E$4:$I$4,0))/12,0)+IF(COUNTIF($AB$3:BP$3,BP$3)=12,INDEX(販管費予算!$E$24:$I$24,MATCH(BP$3,販管費予算!$E$4:$I$4,0))-12*ROUND(INDEX(販管費予算!$E$24:$I$24,MATCH(BP$3,販管費予算!$E$4:$I$4,0))/12,0),0)</f>
        <v>666667.0</v>
      </c>
      <c r="BQ67" s="409">
        <f>ROUND(INDEX(販管費予算!$E$24:$I$24,MATCH(BQ$3,販管費予算!$E$4:$I$4,0))/12,0)+IF(COUNTIF($AB$3:BQ$3,BQ$3)=12,INDEX(販管費予算!$E$24:$I$24,MATCH(BQ$3,販管費予算!$E$4:$I$4,0))-12*ROUND(INDEX(販管費予算!$E$24:$I$24,MATCH(BQ$3,販管費予算!$E$4:$I$4,0))/12,0),0)</f>
        <v>666667.0</v>
      </c>
      <c r="BR67" s="409">
        <f>ROUND(INDEX(販管費予算!$E$24:$I$24,MATCH(BR$3,販管費予算!$E$4:$I$4,0))/12,0)+IF(COUNTIF($AB$3:BR$3,BR$3)=12,INDEX(販管費予算!$E$24:$I$24,MATCH(BR$3,販管費予算!$E$4:$I$4,0))-12*ROUND(INDEX(販管費予算!$E$24:$I$24,MATCH(BR$3,販管費予算!$E$4:$I$4,0))/12,0),0)</f>
        <v>666667.0</v>
      </c>
      <c r="BS67" s="409">
        <f>ROUND(INDEX(販管費予算!$E$24:$I$24,MATCH(BS$3,販管費予算!$E$4:$I$4,0))/12,0)+IF(COUNTIF($AB$3:BS$3,BS$3)=12,INDEX(販管費予算!$E$24:$I$24,MATCH(BS$3,販管費予算!$E$4:$I$4,0))-12*ROUND(INDEX(販管費予算!$E$24:$I$24,MATCH(BS$3,販管費予算!$E$4:$I$4,0))/12,0),0)</f>
        <v>666667.0</v>
      </c>
      <c r="BT67" s="409">
        <f>ROUND(INDEX(販管費予算!$E$24:$I$24,MATCH(BT$3,販管費予算!$E$4:$I$4,0))/12,0)+IF(COUNTIF($AB$3:BT$3,BT$3)=12,INDEX(販管費予算!$E$24:$I$24,MATCH(BT$3,販管費予算!$E$4:$I$4,0))-12*ROUND(INDEX(販管費予算!$E$24:$I$24,MATCH(BT$3,販管費予算!$E$4:$I$4,0))/12,0),0)</f>
        <v>666667.0</v>
      </c>
      <c r="BU67" s="409">
        <f>ROUND(INDEX(販管費予算!$E$24:$I$24,MATCH(BU$3,販管費予算!$E$4:$I$4,0))/12,0)+IF(COUNTIF($AB$3:BU$3,BU$3)=12,INDEX(販管費予算!$E$24:$I$24,MATCH(BU$3,販管費予算!$E$4:$I$4,0))-12*ROUND(INDEX(販管費予算!$E$24:$I$24,MATCH(BU$3,販管費予算!$E$4:$I$4,0))/12,0),0)</f>
        <v>666667.0</v>
      </c>
      <c r="BV67" s="409">
        <f>ROUND(INDEX(販管費予算!$E$24:$I$24,MATCH(BV$3,販管費予算!$E$4:$I$4,0))/12,0)+IF(COUNTIF($AB$3:BV$3,BV$3)=12,INDEX(販管費予算!$E$24:$I$24,MATCH(BV$3,販管費予算!$E$4:$I$4,0))-12*ROUND(INDEX(販管費予算!$E$24:$I$24,MATCH(BV$3,販管費予算!$E$4:$I$4,0))/12,0),0)</f>
        <v>666667.0</v>
      </c>
      <c r="BW67" s="412">
        <f>ROUND(INDEX(販管費予算!$E$24:$I$24,MATCH(BW$3,販管費予算!$E$4:$I$4,0))/12,0)+IF(COUNTIF($AB$3:BW$3,BW$3)=12,INDEX(販管費予算!$E$24:$I$24,MATCH(BW$3,販管費予算!$E$4:$I$4,0))-12*ROUND(INDEX(販管費予算!$E$24:$I$24,MATCH(BW$3,販管費予算!$E$4:$I$4,0))/12,0),0)</f>
        <v>666663.0</v>
      </c>
      <c r="BX67" s="408">
        <f>ROUND(INDEX(販管費予算!$E$24:$I$24,MATCH(BX$3,販管費予算!$E$4:$I$4,0))/12,0)+IF(COUNTIF($AB$3:BX$3,BX$3)=12,INDEX(販管費予算!$E$24:$I$24,MATCH(BX$3,販管費予算!$E$4:$I$4,0))-12*ROUND(INDEX(販管費予算!$E$24:$I$24,MATCH(BX$3,販管費予算!$E$4:$I$4,0))/12,0),0)</f>
        <v>1250000.0</v>
      </c>
      <c r="BY67" s="409">
        <f>ROUND(INDEX(販管費予算!$E$24:$I$24,MATCH(BY$3,販管費予算!$E$4:$I$4,0))/12,0)+IF(COUNTIF($AB$3:BY$3,BY$3)=12,INDEX(販管費予算!$E$24:$I$24,MATCH(BY$3,販管費予算!$E$4:$I$4,0))-12*ROUND(INDEX(販管費予算!$E$24:$I$24,MATCH(BY$3,販管費予算!$E$4:$I$4,0))/12,0),0)</f>
        <v>1250000.0</v>
      </c>
      <c r="BZ67" s="409">
        <f>ROUND(INDEX(販管費予算!$E$24:$I$24,MATCH(BZ$3,販管費予算!$E$4:$I$4,0))/12,0)+IF(COUNTIF($AB$3:BZ$3,BZ$3)=12,INDEX(販管費予算!$E$24:$I$24,MATCH(BZ$3,販管費予算!$E$4:$I$4,0))-12*ROUND(INDEX(販管費予算!$E$24:$I$24,MATCH(BZ$3,販管費予算!$E$4:$I$4,0))/12,0),0)</f>
        <v>1250000.0</v>
      </c>
      <c r="CA67" s="409">
        <f>ROUND(INDEX(販管費予算!$E$24:$I$24,MATCH(CA$3,販管費予算!$E$4:$I$4,0))/12,0)+IF(COUNTIF($AB$3:CA$3,CA$3)=12,INDEX(販管費予算!$E$24:$I$24,MATCH(CA$3,販管費予算!$E$4:$I$4,0))-12*ROUND(INDEX(販管費予算!$E$24:$I$24,MATCH(CA$3,販管費予算!$E$4:$I$4,0))/12,0),0)</f>
        <v>1250000.0</v>
      </c>
      <c r="CB67" s="409">
        <f>ROUND(INDEX(販管費予算!$E$24:$I$24,MATCH(CB$3,販管費予算!$E$4:$I$4,0))/12,0)+IF(COUNTIF($AB$3:CB$3,CB$3)=12,INDEX(販管費予算!$E$24:$I$24,MATCH(CB$3,販管費予算!$E$4:$I$4,0))-12*ROUND(INDEX(販管費予算!$E$24:$I$24,MATCH(CB$3,販管費予算!$E$4:$I$4,0))/12,0),0)</f>
        <v>1250000.0</v>
      </c>
      <c r="CC67" s="409">
        <f>ROUND(INDEX(販管費予算!$E$24:$I$24,MATCH(CC$3,販管費予算!$E$4:$I$4,0))/12,0)+IF(COUNTIF($AB$3:CC$3,CC$3)=12,INDEX(販管費予算!$E$24:$I$24,MATCH(CC$3,販管費予算!$E$4:$I$4,0))-12*ROUND(INDEX(販管費予算!$E$24:$I$24,MATCH(CC$3,販管費予算!$E$4:$I$4,0))/12,0),0)</f>
        <v>1250000.0</v>
      </c>
      <c r="CD67" s="409">
        <f>ROUND(INDEX(販管費予算!$E$24:$I$24,MATCH(CD$3,販管費予算!$E$4:$I$4,0))/12,0)+IF(COUNTIF($AB$3:CD$3,CD$3)=12,INDEX(販管費予算!$E$24:$I$24,MATCH(CD$3,販管費予算!$E$4:$I$4,0))-12*ROUND(INDEX(販管費予算!$E$24:$I$24,MATCH(CD$3,販管費予算!$E$4:$I$4,0))/12,0),0)</f>
        <v>1250000.0</v>
      </c>
      <c r="CE67" s="409">
        <f>ROUND(INDEX(販管費予算!$E$24:$I$24,MATCH(CE$3,販管費予算!$E$4:$I$4,0))/12,0)+IF(COUNTIF($AB$3:CE$3,CE$3)=12,INDEX(販管費予算!$E$24:$I$24,MATCH(CE$3,販管費予算!$E$4:$I$4,0))-12*ROUND(INDEX(販管費予算!$E$24:$I$24,MATCH(CE$3,販管費予算!$E$4:$I$4,0))/12,0),0)</f>
        <v>1250000.0</v>
      </c>
      <c r="CF67" s="409">
        <f>ROUND(INDEX(販管費予算!$E$24:$I$24,MATCH(CF$3,販管費予算!$E$4:$I$4,0))/12,0)+IF(COUNTIF($AB$3:CF$3,CF$3)=12,INDEX(販管費予算!$E$24:$I$24,MATCH(CF$3,販管費予算!$E$4:$I$4,0))-12*ROUND(INDEX(販管費予算!$E$24:$I$24,MATCH(CF$3,販管費予算!$E$4:$I$4,0))/12,0),0)</f>
        <v>1250000.0</v>
      </c>
      <c r="CG67" s="409">
        <f>ROUND(INDEX(販管費予算!$E$24:$I$24,MATCH(CG$3,販管費予算!$E$4:$I$4,0))/12,0)+IF(COUNTIF($AB$3:CG$3,CG$3)=12,INDEX(販管費予算!$E$24:$I$24,MATCH(CG$3,販管費予算!$E$4:$I$4,0))-12*ROUND(INDEX(販管費予算!$E$24:$I$24,MATCH(CG$3,販管費予算!$E$4:$I$4,0))/12,0),0)</f>
        <v>1250000.0</v>
      </c>
      <c r="CH67" s="409">
        <f>ROUND(INDEX(販管費予算!$E$24:$I$24,MATCH(CH$3,販管費予算!$E$4:$I$4,0))/12,0)+IF(COUNTIF($AB$3:CH$3,CH$3)=12,INDEX(販管費予算!$E$24:$I$24,MATCH(CH$3,販管費予算!$E$4:$I$4,0))-12*ROUND(INDEX(販管費予算!$E$24:$I$24,MATCH(CH$3,販管費予算!$E$4:$I$4,0))/12,0),0)</f>
        <v>1250000.0</v>
      </c>
      <c r="CI67" s="412">
        <f>ROUND(INDEX(販管費予算!$E$24:$I$24,MATCH(CI$3,販管費予算!$E$4:$I$4,0))/12,0)+IF(COUNTIF($AB$3:CI$3,CI$3)=12,INDEX(販管費予算!$E$24:$I$24,MATCH(CI$3,販管費予算!$E$4:$I$4,0))-12*ROUND(INDEX(販管費予算!$E$24:$I$24,MATCH(CI$3,販管費予算!$E$4:$I$4,0))/12,0),0)</f>
        <v>1250000.0</v>
      </c>
    </row>
    <row r="68" ht="18" customHeight="1" s="145">
      <c r="A68" s="233" t="n"/>
      <c r="B68" s="233" t="inlineStr">
        <is>
          <t>地代家賃</t>
        </is>
      </c>
      <c r="C68" s="233" t="inlineStr">
        <is>
          <t>全社</t>
        </is>
      </c>
      <c r="D68" s="234" t="n"/>
      <c r="E68" s="408">
        <f>SUMIF($AB$3:$CI$3,E$4,$AB68:$CI68)</f>
        <v>2400000.0</v>
      </c>
      <c r="F68" s="409">
        <f>SUMIF($AB$3:$CI$3,F$4,$AB68:$CI68)</f>
        <v>4800000.0</v>
      </c>
      <c r="G68" s="409">
        <f>SUMIF($AB$3:$CI$3,G$4,$AB68:$CI68)</f>
        <v>7200000.0</v>
      </c>
      <c r="H68" s="409">
        <f>SUMIF($AB$3:$CI$3,H$4,$AB68:$CI68)</f>
        <v>12000000.0</v>
      </c>
      <c r="I68" s="409">
        <f>SUMIF($AB$3:$CI$3,I$4,$AB68:$CI68)</f>
        <v>18000000.0</v>
      </c>
      <c r="J68" s="407">
        <f>SUM(E68:I68)</f>
        <v>44400000.0</v>
      </c>
      <c r="K68" s="407">
        <f>SUMIF($Q$3:$CN$3,K$4,$Q68:$CN68)</f>
        <v>0.0</v>
      </c>
      <c r="L68" s="407">
        <f>SUMIF($Q$3:$CN$3,L$4,$Q68:$CN68)</f>
        <v>0.0</v>
      </c>
      <c r="M68" s="407">
        <f>SUMIF($Q$3:$CN$3,M$4,$Q68:$CN68)</f>
        <v>0.0</v>
      </c>
      <c r="N68" s="407">
        <f>SUMIF($Q$3:$CN$3,N$4,$Q68:$CN68)</f>
        <v>0.0</v>
      </c>
      <c r="O68" s="235" t="n"/>
      <c r="P68" s="408" t="n"/>
      <c r="Q68" s="409" t="n"/>
      <c r="R68" s="409" t="n"/>
      <c r="S68" s="409" t="n"/>
      <c r="T68" s="409" t="n"/>
      <c r="U68" s="409" t="n"/>
      <c r="V68" s="409" t="n"/>
      <c r="W68" s="409" t="n"/>
      <c r="X68" s="409" t="n"/>
      <c r="Y68" s="409" t="n"/>
      <c r="Z68" s="409" t="n"/>
      <c r="AA68" s="412" t="n"/>
      <c r="AB68" s="476">
        <f>ROUND(INDEX(販管費予算!$E$25:$I$25,MATCH(AB$3,販管費予算!$E$4:$I$4,0))/12,0)+IF(COUNTIF($AB$3:AB$3,AB$3)=12,INDEX(販管費予算!$E$25:$I$25,MATCH(AB$3,販管費予算!$E$4:$I$4,0))-12*ROUND(INDEX(販管費予算!$E$25:$I$25,MATCH(AB$3,販管費予算!$E$4:$I$4,0))/12,0),0)</f>
        <v>200000.0</v>
      </c>
      <c r="AC68" s="477">
        <f>ROUND(INDEX(販管費予算!$E$25:$I$25,MATCH(AC$3,販管費予算!$E$4:$I$4,0))/12,0)+IF(COUNTIF($AB$3:AC$3,AC$3)=12,INDEX(販管費予算!$E$25:$I$25,MATCH(AC$3,販管費予算!$E$4:$I$4,0))-12*ROUND(INDEX(販管費予算!$E$25:$I$25,MATCH(AC$3,販管費予算!$E$4:$I$4,0))/12,0),0)</f>
        <v>200000.0</v>
      </c>
      <c r="AD68" s="477">
        <f>ROUND(INDEX(販管費予算!$E$25:$I$25,MATCH(AD$3,販管費予算!$E$4:$I$4,0))/12,0)+IF(COUNTIF($AB$3:AD$3,AD$3)=12,INDEX(販管費予算!$E$25:$I$25,MATCH(AD$3,販管費予算!$E$4:$I$4,0))-12*ROUND(INDEX(販管費予算!$E$25:$I$25,MATCH(AD$3,販管費予算!$E$4:$I$4,0))/12,0),0)</f>
        <v>200000.0</v>
      </c>
      <c r="AE68" s="477">
        <f>ROUND(INDEX(販管費予算!$E$25:$I$25,MATCH(AE$3,販管費予算!$E$4:$I$4,0))/12,0)+IF(COUNTIF($AB$3:AE$3,AE$3)=12,INDEX(販管費予算!$E$25:$I$25,MATCH(AE$3,販管費予算!$E$4:$I$4,0))-12*ROUND(INDEX(販管費予算!$E$25:$I$25,MATCH(AE$3,販管費予算!$E$4:$I$4,0))/12,0),0)</f>
        <v>200000.0</v>
      </c>
      <c r="AF68" s="477">
        <f>ROUND(INDEX(販管費予算!$E$25:$I$25,MATCH(AF$3,販管費予算!$E$4:$I$4,0))/12,0)+IF(COUNTIF($AB$3:AF$3,AF$3)=12,INDEX(販管費予算!$E$25:$I$25,MATCH(AF$3,販管費予算!$E$4:$I$4,0))-12*ROUND(INDEX(販管費予算!$E$25:$I$25,MATCH(AF$3,販管費予算!$E$4:$I$4,0))/12,0),0)</f>
        <v>200000.0</v>
      </c>
      <c r="AG68" s="409">
        <f>ROUND(INDEX(販管費予算!$E$25:$I$25,MATCH(AG$3,販管費予算!$E$4:$I$4,0))/12,0)+IF(COUNTIF($AB$3:AG$3,AG$3)=12,INDEX(販管費予算!$E$25:$I$25,MATCH(AG$3,販管費予算!$E$4:$I$4,0))-12*ROUND(INDEX(販管費予算!$E$25:$I$25,MATCH(AG$3,販管費予算!$E$4:$I$4,0))/12,0),0)</f>
        <v>200000.0</v>
      </c>
      <c r="AH68" s="409">
        <f>ROUND(INDEX(販管費予算!$E$25:$I$25,MATCH(AH$3,販管費予算!$E$4:$I$4,0))/12,0)+IF(COUNTIF($AB$3:AH$3,AH$3)=12,INDEX(販管費予算!$E$25:$I$25,MATCH(AH$3,販管費予算!$E$4:$I$4,0))-12*ROUND(INDEX(販管費予算!$E$25:$I$25,MATCH(AH$3,販管費予算!$E$4:$I$4,0))/12,0),0)</f>
        <v>200000.0</v>
      </c>
      <c r="AI68" s="409">
        <f>ROUND(INDEX(販管費予算!$E$25:$I$25,MATCH(AI$3,販管費予算!$E$4:$I$4,0))/12,0)+IF(COUNTIF($AB$3:AI$3,AI$3)=12,INDEX(販管費予算!$E$25:$I$25,MATCH(AI$3,販管費予算!$E$4:$I$4,0))-12*ROUND(INDEX(販管費予算!$E$25:$I$25,MATCH(AI$3,販管費予算!$E$4:$I$4,0))/12,0),0)</f>
        <v>200000.0</v>
      </c>
      <c r="AJ68" s="409">
        <f>ROUND(INDEX(販管費予算!$E$25:$I$25,MATCH(AJ$3,販管費予算!$E$4:$I$4,0))/12,0)+IF(COUNTIF($AB$3:AJ$3,AJ$3)=12,INDEX(販管費予算!$E$25:$I$25,MATCH(AJ$3,販管費予算!$E$4:$I$4,0))-12*ROUND(INDEX(販管費予算!$E$25:$I$25,MATCH(AJ$3,販管費予算!$E$4:$I$4,0))/12,0),0)</f>
        <v>200000.0</v>
      </c>
      <c r="AK68" s="409">
        <f>ROUND(INDEX(販管費予算!$E$25:$I$25,MATCH(AK$3,販管費予算!$E$4:$I$4,0))/12,0)+IF(COUNTIF($AB$3:AK$3,AK$3)=12,INDEX(販管費予算!$E$25:$I$25,MATCH(AK$3,販管費予算!$E$4:$I$4,0))-12*ROUND(INDEX(販管費予算!$E$25:$I$25,MATCH(AK$3,販管費予算!$E$4:$I$4,0))/12,0),0)</f>
        <v>200000.0</v>
      </c>
      <c r="AL68" s="409">
        <f>ROUND(INDEX(販管費予算!$E$25:$I$25,MATCH(AL$3,販管費予算!$E$4:$I$4,0))/12,0)+IF(COUNTIF($AB$3:AL$3,AL$3)=12,INDEX(販管費予算!$E$25:$I$25,MATCH(AL$3,販管費予算!$E$4:$I$4,0))-12*ROUND(INDEX(販管費予算!$E$25:$I$25,MATCH(AL$3,販管費予算!$E$4:$I$4,0))/12,0),0)</f>
        <v>200000.0</v>
      </c>
      <c r="AM68" s="412">
        <f>ROUND(INDEX(販管費予算!$E$25:$I$25,MATCH(AM$3,販管費予算!$E$4:$I$4,0))/12,0)+IF(COUNTIF($AB$3:AM$3,AM$3)=12,INDEX(販管費予算!$E$25:$I$25,MATCH(AM$3,販管費予算!$E$4:$I$4,0))-12*ROUND(INDEX(販管費予算!$E$25:$I$25,MATCH(AM$3,販管費予算!$E$4:$I$4,0))/12,0),0)</f>
        <v>200000.0</v>
      </c>
      <c r="AN68" s="408">
        <f>ROUND(INDEX(販管費予算!$E$25:$I$25,MATCH(AN$3,販管費予算!$E$4:$I$4,0))/12,0)+IF(COUNTIF($AB$3:AN$3,AN$3)=12,INDEX(販管費予算!$E$25:$I$25,MATCH(AN$3,販管費予算!$E$4:$I$4,0))-12*ROUND(INDEX(販管費予算!$E$25:$I$25,MATCH(AN$3,販管費予算!$E$4:$I$4,0))/12,0),0)</f>
        <v>400000.0</v>
      </c>
      <c r="AO68" s="409">
        <f>ROUND(INDEX(販管費予算!$E$25:$I$25,MATCH(AO$3,販管費予算!$E$4:$I$4,0))/12,0)+IF(COUNTIF($AB$3:AO$3,AO$3)=12,INDEX(販管費予算!$E$25:$I$25,MATCH(AO$3,販管費予算!$E$4:$I$4,0))-12*ROUND(INDEX(販管費予算!$E$25:$I$25,MATCH(AO$3,販管費予算!$E$4:$I$4,0))/12,0),0)</f>
        <v>400000.0</v>
      </c>
      <c r="AP68" s="409">
        <f>ROUND(INDEX(販管費予算!$E$25:$I$25,MATCH(AP$3,販管費予算!$E$4:$I$4,0))/12,0)+IF(COUNTIF($AB$3:AP$3,AP$3)=12,INDEX(販管費予算!$E$25:$I$25,MATCH(AP$3,販管費予算!$E$4:$I$4,0))-12*ROUND(INDEX(販管費予算!$E$25:$I$25,MATCH(AP$3,販管費予算!$E$4:$I$4,0))/12,0),0)</f>
        <v>400000.0</v>
      </c>
      <c r="AQ68" s="409">
        <f>ROUND(INDEX(販管費予算!$E$25:$I$25,MATCH(AQ$3,販管費予算!$E$4:$I$4,0))/12,0)+IF(COUNTIF($AB$3:AQ$3,AQ$3)=12,INDEX(販管費予算!$E$25:$I$25,MATCH(AQ$3,販管費予算!$E$4:$I$4,0))-12*ROUND(INDEX(販管費予算!$E$25:$I$25,MATCH(AQ$3,販管費予算!$E$4:$I$4,0))/12,0),0)</f>
        <v>400000.0</v>
      </c>
      <c r="AR68" s="409">
        <f>ROUND(INDEX(販管費予算!$E$25:$I$25,MATCH(AR$3,販管費予算!$E$4:$I$4,0))/12,0)+IF(COUNTIF($AB$3:AR$3,AR$3)=12,INDEX(販管費予算!$E$25:$I$25,MATCH(AR$3,販管費予算!$E$4:$I$4,0))-12*ROUND(INDEX(販管費予算!$E$25:$I$25,MATCH(AR$3,販管費予算!$E$4:$I$4,0))/12,0),0)</f>
        <v>400000.0</v>
      </c>
      <c r="AS68" s="409">
        <f>ROUND(INDEX(販管費予算!$E$25:$I$25,MATCH(AS$3,販管費予算!$E$4:$I$4,0))/12,0)+IF(COUNTIF($AB$3:AS$3,AS$3)=12,INDEX(販管費予算!$E$25:$I$25,MATCH(AS$3,販管費予算!$E$4:$I$4,0))-12*ROUND(INDEX(販管費予算!$E$25:$I$25,MATCH(AS$3,販管費予算!$E$4:$I$4,0))/12,0),0)</f>
        <v>400000.0</v>
      </c>
      <c r="AT68" s="409">
        <f>ROUND(INDEX(販管費予算!$E$25:$I$25,MATCH(AT$3,販管費予算!$E$4:$I$4,0))/12,0)+IF(COUNTIF($AB$3:AT$3,AT$3)=12,INDEX(販管費予算!$E$25:$I$25,MATCH(AT$3,販管費予算!$E$4:$I$4,0))-12*ROUND(INDEX(販管費予算!$E$25:$I$25,MATCH(AT$3,販管費予算!$E$4:$I$4,0))/12,0),0)</f>
        <v>400000.0</v>
      </c>
      <c r="AU68" s="409">
        <f>ROUND(INDEX(販管費予算!$E$25:$I$25,MATCH(AU$3,販管費予算!$E$4:$I$4,0))/12,0)+IF(COUNTIF($AB$3:AU$3,AU$3)=12,INDEX(販管費予算!$E$25:$I$25,MATCH(AU$3,販管費予算!$E$4:$I$4,0))-12*ROUND(INDEX(販管費予算!$E$25:$I$25,MATCH(AU$3,販管費予算!$E$4:$I$4,0))/12,0),0)</f>
        <v>400000.0</v>
      </c>
      <c r="AV68" s="409">
        <f>ROUND(INDEX(販管費予算!$E$25:$I$25,MATCH(AV$3,販管費予算!$E$4:$I$4,0))/12,0)+IF(COUNTIF($AB$3:AV$3,AV$3)=12,INDEX(販管費予算!$E$25:$I$25,MATCH(AV$3,販管費予算!$E$4:$I$4,0))-12*ROUND(INDEX(販管費予算!$E$25:$I$25,MATCH(AV$3,販管費予算!$E$4:$I$4,0))/12,0),0)</f>
        <v>400000.0</v>
      </c>
      <c r="AW68" s="409">
        <f>ROUND(INDEX(販管費予算!$E$25:$I$25,MATCH(AW$3,販管費予算!$E$4:$I$4,0))/12,0)+IF(COUNTIF($AB$3:AW$3,AW$3)=12,INDEX(販管費予算!$E$25:$I$25,MATCH(AW$3,販管費予算!$E$4:$I$4,0))-12*ROUND(INDEX(販管費予算!$E$25:$I$25,MATCH(AW$3,販管費予算!$E$4:$I$4,0))/12,0),0)</f>
        <v>400000.0</v>
      </c>
      <c r="AX68" s="409">
        <f>ROUND(INDEX(販管費予算!$E$25:$I$25,MATCH(AX$3,販管費予算!$E$4:$I$4,0))/12,0)+IF(COUNTIF($AB$3:AX$3,AX$3)=12,INDEX(販管費予算!$E$25:$I$25,MATCH(AX$3,販管費予算!$E$4:$I$4,0))-12*ROUND(INDEX(販管費予算!$E$25:$I$25,MATCH(AX$3,販管費予算!$E$4:$I$4,0))/12,0),0)</f>
        <v>400000.0</v>
      </c>
      <c r="AY68" s="412">
        <f>ROUND(INDEX(販管費予算!$E$25:$I$25,MATCH(AY$3,販管費予算!$E$4:$I$4,0))/12,0)+IF(COUNTIF($AB$3:AY$3,AY$3)=12,INDEX(販管費予算!$E$25:$I$25,MATCH(AY$3,販管費予算!$E$4:$I$4,0))-12*ROUND(INDEX(販管費予算!$E$25:$I$25,MATCH(AY$3,販管費予算!$E$4:$I$4,0))/12,0),0)</f>
        <v>400000.0</v>
      </c>
      <c r="AZ68" s="408">
        <f>ROUND(INDEX(販管費予算!$E$25:$I$25,MATCH(AZ$3,販管費予算!$E$4:$I$4,0))/12,0)+IF(COUNTIF($AB$3:AZ$3,AZ$3)=12,INDEX(販管費予算!$E$25:$I$25,MATCH(AZ$3,販管費予算!$E$4:$I$4,0))-12*ROUND(INDEX(販管費予算!$E$25:$I$25,MATCH(AZ$3,販管費予算!$E$4:$I$4,0))/12,0),0)</f>
        <v>600000.0</v>
      </c>
      <c r="BA68" s="409">
        <f>ROUND(INDEX(販管費予算!$E$25:$I$25,MATCH(BA$3,販管費予算!$E$4:$I$4,0))/12,0)+IF(COUNTIF($AB$3:BA$3,BA$3)=12,INDEX(販管費予算!$E$25:$I$25,MATCH(BA$3,販管費予算!$E$4:$I$4,0))-12*ROUND(INDEX(販管費予算!$E$25:$I$25,MATCH(BA$3,販管費予算!$E$4:$I$4,0))/12,0),0)</f>
        <v>600000.0</v>
      </c>
      <c r="BB68" s="409">
        <f>ROUND(INDEX(販管費予算!$E$25:$I$25,MATCH(BB$3,販管費予算!$E$4:$I$4,0))/12,0)+IF(COUNTIF($AB$3:BB$3,BB$3)=12,INDEX(販管費予算!$E$25:$I$25,MATCH(BB$3,販管費予算!$E$4:$I$4,0))-12*ROUND(INDEX(販管費予算!$E$25:$I$25,MATCH(BB$3,販管費予算!$E$4:$I$4,0))/12,0),0)</f>
        <v>600000.0</v>
      </c>
      <c r="BC68" s="409">
        <f>ROUND(INDEX(販管費予算!$E$25:$I$25,MATCH(BC$3,販管費予算!$E$4:$I$4,0))/12,0)+IF(COUNTIF($AB$3:BC$3,BC$3)=12,INDEX(販管費予算!$E$25:$I$25,MATCH(BC$3,販管費予算!$E$4:$I$4,0))-12*ROUND(INDEX(販管費予算!$E$25:$I$25,MATCH(BC$3,販管費予算!$E$4:$I$4,0))/12,0),0)</f>
        <v>600000.0</v>
      </c>
      <c r="BD68" s="409">
        <f>ROUND(INDEX(販管費予算!$E$25:$I$25,MATCH(BD$3,販管費予算!$E$4:$I$4,0))/12,0)+IF(COUNTIF($AB$3:BD$3,BD$3)=12,INDEX(販管費予算!$E$25:$I$25,MATCH(BD$3,販管費予算!$E$4:$I$4,0))-12*ROUND(INDEX(販管費予算!$E$25:$I$25,MATCH(BD$3,販管費予算!$E$4:$I$4,0))/12,0),0)</f>
        <v>600000.0</v>
      </c>
      <c r="BE68" s="409">
        <f>ROUND(INDEX(販管費予算!$E$25:$I$25,MATCH(BE$3,販管費予算!$E$4:$I$4,0))/12,0)+IF(COUNTIF($AB$3:BE$3,BE$3)=12,INDEX(販管費予算!$E$25:$I$25,MATCH(BE$3,販管費予算!$E$4:$I$4,0))-12*ROUND(INDEX(販管費予算!$E$25:$I$25,MATCH(BE$3,販管費予算!$E$4:$I$4,0))/12,0),0)</f>
        <v>600000.0</v>
      </c>
      <c r="BF68" s="409">
        <f>ROUND(INDEX(販管費予算!$E$25:$I$25,MATCH(BF$3,販管費予算!$E$4:$I$4,0))/12,0)+IF(COUNTIF($AB$3:BF$3,BF$3)=12,INDEX(販管費予算!$E$25:$I$25,MATCH(BF$3,販管費予算!$E$4:$I$4,0))-12*ROUND(INDEX(販管費予算!$E$25:$I$25,MATCH(BF$3,販管費予算!$E$4:$I$4,0))/12,0),0)</f>
        <v>600000.0</v>
      </c>
      <c r="BG68" s="409">
        <f>ROUND(INDEX(販管費予算!$E$25:$I$25,MATCH(BG$3,販管費予算!$E$4:$I$4,0))/12,0)+IF(COUNTIF($AB$3:BG$3,BG$3)=12,INDEX(販管費予算!$E$25:$I$25,MATCH(BG$3,販管費予算!$E$4:$I$4,0))-12*ROUND(INDEX(販管費予算!$E$25:$I$25,MATCH(BG$3,販管費予算!$E$4:$I$4,0))/12,0),0)</f>
        <v>600000.0</v>
      </c>
      <c r="BH68" s="409">
        <f>ROUND(INDEX(販管費予算!$E$25:$I$25,MATCH(BH$3,販管費予算!$E$4:$I$4,0))/12,0)+IF(COUNTIF($AB$3:BH$3,BH$3)=12,INDEX(販管費予算!$E$25:$I$25,MATCH(BH$3,販管費予算!$E$4:$I$4,0))-12*ROUND(INDEX(販管費予算!$E$25:$I$25,MATCH(BH$3,販管費予算!$E$4:$I$4,0))/12,0),0)</f>
        <v>600000.0</v>
      </c>
      <c r="BI68" s="409">
        <f>ROUND(INDEX(販管費予算!$E$25:$I$25,MATCH(BI$3,販管費予算!$E$4:$I$4,0))/12,0)+IF(COUNTIF($AB$3:BI$3,BI$3)=12,INDEX(販管費予算!$E$25:$I$25,MATCH(BI$3,販管費予算!$E$4:$I$4,0))-12*ROUND(INDEX(販管費予算!$E$25:$I$25,MATCH(BI$3,販管費予算!$E$4:$I$4,0))/12,0),0)</f>
        <v>600000.0</v>
      </c>
      <c r="BJ68" s="409">
        <f>ROUND(INDEX(販管費予算!$E$25:$I$25,MATCH(BJ$3,販管費予算!$E$4:$I$4,0))/12,0)+IF(COUNTIF($AB$3:BJ$3,BJ$3)=12,INDEX(販管費予算!$E$25:$I$25,MATCH(BJ$3,販管費予算!$E$4:$I$4,0))-12*ROUND(INDEX(販管費予算!$E$25:$I$25,MATCH(BJ$3,販管費予算!$E$4:$I$4,0))/12,0),0)</f>
        <v>600000.0</v>
      </c>
      <c r="BK68" s="412">
        <f>ROUND(INDEX(販管費予算!$E$25:$I$25,MATCH(BK$3,販管費予算!$E$4:$I$4,0))/12,0)+IF(COUNTIF($AB$3:BK$3,BK$3)=12,INDEX(販管費予算!$E$25:$I$25,MATCH(BK$3,販管費予算!$E$4:$I$4,0))-12*ROUND(INDEX(販管費予算!$E$25:$I$25,MATCH(BK$3,販管費予算!$E$4:$I$4,0))/12,0),0)</f>
        <v>600000.0</v>
      </c>
      <c r="BL68" s="408">
        <f>ROUND(INDEX(販管費予算!$E$25:$I$25,MATCH(BL$3,販管費予算!$E$4:$I$4,0))/12,0)+IF(COUNTIF($AB$3:BL$3,BL$3)=12,INDEX(販管費予算!$E$25:$I$25,MATCH(BL$3,販管費予算!$E$4:$I$4,0))-12*ROUND(INDEX(販管費予算!$E$25:$I$25,MATCH(BL$3,販管費予算!$E$4:$I$4,0))/12,0),0)</f>
        <v>1000000.0</v>
      </c>
      <c r="BM68" s="409">
        <f>ROUND(INDEX(販管費予算!$E$25:$I$25,MATCH(BM$3,販管費予算!$E$4:$I$4,0))/12,0)+IF(COUNTIF($AB$3:BM$3,BM$3)=12,INDEX(販管費予算!$E$25:$I$25,MATCH(BM$3,販管費予算!$E$4:$I$4,0))-12*ROUND(INDEX(販管費予算!$E$25:$I$25,MATCH(BM$3,販管費予算!$E$4:$I$4,0))/12,0),0)</f>
        <v>1000000.0</v>
      </c>
      <c r="BN68" s="409">
        <f>ROUND(INDEX(販管費予算!$E$25:$I$25,MATCH(BN$3,販管費予算!$E$4:$I$4,0))/12,0)+IF(COUNTIF($AB$3:BN$3,BN$3)=12,INDEX(販管費予算!$E$25:$I$25,MATCH(BN$3,販管費予算!$E$4:$I$4,0))-12*ROUND(INDEX(販管費予算!$E$25:$I$25,MATCH(BN$3,販管費予算!$E$4:$I$4,0))/12,0),0)</f>
        <v>1000000.0</v>
      </c>
      <c r="BO68" s="409">
        <f>ROUND(INDEX(販管費予算!$E$25:$I$25,MATCH(BO$3,販管費予算!$E$4:$I$4,0))/12,0)+IF(COUNTIF($AB$3:BO$3,BO$3)=12,INDEX(販管費予算!$E$25:$I$25,MATCH(BO$3,販管費予算!$E$4:$I$4,0))-12*ROUND(INDEX(販管費予算!$E$25:$I$25,MATCH(BO$3,販管費予算!$E$4:$I$4,0))/12,0),0)</f>
        <v>1000000.0</v>
      </c>
      <c r="BP68" s="409">
        <f>ROUND(INDEX(販管費予算!$E$25:$I$25,MATCH(BP$3,販管費予算!$E$4:$I$4,0))/12,0)+IF(COUNTIF($AB$3:BP$3,BP$3)=12,INDEX(販管費予算!$E$25:$I$25,MATCH(BP$3,販管費予算!$E$4:$I$4,0))-12*ROUND(INDEX(販管費予算!$E$25:$I$25,MATCH(BP$3,販管費予算!$E$4:$I$4,0))/12,0),0)</f>
        <v>1000000.0</v>
      </c>
      <c r="BQ68" s="409">
        <f>ROUND(INDEX(販管費予算!$E$25:$I$25,MATCH(BQ$3,販管費予算!$E$4:$I$4,0))/12,0)+IF(COUNTIF($AB$3:BQ$3,BQ$3)=12,INDEX(販管費予算!$E$25:$I$25,MATCH(BQ$3,販管費予算!$E$4:$I$4,0))-12*ROUND(INDEX(販管費予算!$E$25:$I$25,MATCH(BQ$3,販管費予算!$E$4:$I$4,0))/12,0),0)</f>
        <v>1000000.0</v>
      </c>
      <c r="BR68" s="409">
        <f>ROUND(INDEX(販管費予算!$E$25:$I$25,MATCH(BR$3,販管費予算!$E$4:$I$4,0))/12,0)+IF(COUNTIF($AB$3:BR$3,BR$3)=12,INDEX(販管費予算!$E$25:$I$25,MATCH(BR$3,販管費予算!$E$4:$I$4,0))-12*ROUND(INDEX(販管費予算!$E$25:$I$25,MATCH(BR$3,販管費予算!$E$4:$I$4,0))/12,0),0)</f>
        <v>1000000.0</v>
      </c>
      <c r="BS68" s="409">
        <f>ROUND(INDEX(販管費予算!$E$25:$I$25,MATCH(BS$3,販管費予算!$E$4:$I$4,0))/12,0)+IF(COUNTIF($AB$3:BS$3,BS$3)=12,INDEX(販管費予算!$E$25:$I$25,MATCH(BS$3,販管費予算!$E$4:$I$4,0))-12*ROUND(INDEX(販管費予算!$E$25:$I$25,MATCH(BS$3,販管費予算!$E$4:$I$4,0))/12,0),0)</f>
        <v>1000000.0</v>
      </c>
      <c r="BT68" s="409">
        <f>ROUND(INDEX(販管費予算!$E$25:$I$25,MATCH(BT$3,販管費予算!$E$4:$I$4,0))/12,0)+IF(COUNTIF($AB$3:BT$3,BT$3)=12,INDEX(販管費予算!$E$25:$I$25,MATCH(BT$3,販管費予算!$E$4:$I$4,0))-12*ROUND(INDEX(販管費予算!$E$25:$I$25,MATCH(BT$3,販管費予算!$E$4:$I$4,0))/12,0),0)</f>
        <v>1000000.0</v>
      </c>
      <c r="BU68" s="409">
        <f>ROUND(INDEX(販管費予算!$E$25:$I$25,MATCH(BU$3,販管費予算!$E$4:$I$4,0))/12,0)+IF(COUNTIF($AB$3:BU$3,BU$3)=12,INDEX(販管費予算!$E$25:$I$25,MATCH(BU$3,販管費予算!$E$4:$I$4,0))-12*ROUND(INDEX(販管費予算!$E$25:$I$25,MATCH(BU$3,販管費予算!$E$4:$I$4,0))/12,0),0)</f>
        <v>1000000.0</v>
      </c>
      <c r="BV68" s="409">
        <f>ROUND(INDEX(販管費予算!$E$25:$I$25,MATCH(BV$3,販管費予算!$E$4:$I$4,0))/12,0)+IF(COUNTIF($AB$3:BV$3,BV$3)=12,INDEX(販管費予算!$E$25:$I$25,MATCH(BV$3,販管費予算!$E$4:$I$4,0))-12*ROUND(INDEX(販管費予算!$E$25:$I$25,MATCH(BV$3,販管費予算!$E$4:$I$4,0))/12,0),0)</f>
        <v>1000000.0</v>
      </c>
      <c r="BW68" s="412">
        <f>ROUND(INDEX(販管費予算!$E$25:$I$25,MATCH(BW$3,販管費予算!$E$4:$I$4,0))/12,0)+IF(COUNTIF($AB$3:BW$3,BW$3)=12,INDEX(販管費予算!$E$25:$I$25,MATCH(BW$3,販管費予算!$E$4:$I$4,0))-12*ROUND(INDEX(販管費予算!$E$25:$I$25,MATCH(BW$3,販管費予算!$E$4:$I$4,0))/12,0),0)</f>
        <v>1000000.0</v>
      </c>
      <c r="BX68" s="408">
        <f>ROUND(INDEX(販管費予算!$E$25:$I$25,MATCH(BX$3,販管費予算!$E$4:$I$4,0))/12,0)+IF(COUNTIF($AB$3:BX$3,BX$3)=12,INDEX(販管費予算!$E$25:$I$25,MATCH(BX$3,販管費予算!$E$4:$I$4,0))-12*ROUND(INDEX(販管費予算!$E$25:$I$25,MATCH(BX$3,販管費予算!$E$4:$I$4,0))/12,0),0)</f>
        <v>1500000.0</v>
      </c>
      <c r="BY68" s="409">
        <f>ROUND(INDEX(販管費予算!$E$25:$I$25,MATCH(BY$3,販管費予算!$E$4:$I$4,0))/12,0)+IF(COUNTIF($AB$3:BY$3,BY$3)=12,INDEX(販管費予算!$E$25:$I$25,MATCH(BY$3,販管費予算!$E$4:$I$4,0))-12*ROUND(INDEX(販管費予算!$E$25:$I$25,MATCH(BY$3,販管費予算!$E$4:$I$4,0))/12,0),0)</f>
        <v>1500000.0</v>
      </c>
      <c r="BZ68" s="409">
        <f>ROUND(INDEX(販管費予算!$E$25:$I$25,MATCH(BZ$3,販管費予算!$E$4:$I$4,0))/12,0)+IF(COUNTIF($AB$3:BZ$3,BZ$3)=12,INDEX(販管費予算!$E$25:$I$25,MATCH(BZ$3,販管費予算!$E$4:$I$4,0))-12*ROUND(INDEX(販管費予算!$E$25:$I$25,MATCH(BZ$3,販管費予算!$E$4:$I$4,0))/12,0),0)</f>
        <v>1500000.0</v>
      </c>
      <c r="CA68" s="409">
        <f>ROUND(INDEX(販管費予算!$E$25:$I$25,MATCH(CA$3,販管費予算!$E$4:$I$4,0))/12,0)+IF(COUNTIF($AB$3:CA$3,CA$3)=12,INDEX(販管費予算!$E$25:$I$25,MATCH(CA$3,販管費予算!$E$4:$I$4,0))-12*ROUND(INDEX(販管費予算!$E$25:$I$25,MATCH(CA$3,販管費予算!$E$4:$I$4,0))/12,0),0)</f>
        <v>1500000.0</v>
      </c>
      <c r="CB68" s="409">
        <f>ROUND(INDEX(販管費予算!$E$25:$I$25,MATCH(CB$3,販管費予算!$E$4:$I$4,0))/12,0)+IF(COUNTIF($AB$3:CB$3,CB$3)=12,INDEX(販管費予算!$E$25:$I$25,MATCH(CB$3,販管費予算!$E$4:$I$4,0))-12*ROUND(INDEX(販管費予算!$E$25:$I$25,MATCH(CB$3,販管費予算!$E$4:$I$4,0))/12,0),0)</f>
        <v>1500000.0</v>
      </c>
      <c r="CC68" s="409">
        <f>ROUND(INDEX(販管費予算!$E$25:$I$25,MATCH(CC$3,販管費予算!$E$4:$I$4,0))/12,0)+IF(COUNTIF($AB$3:CC$3,CC$3)=12,INDEX(販管費予算!$E$25:$I$25,MATCH(CC$3,販管費予算!$E$4:$I$4,0))-12*ROUND(INDEX(販管費予算!$E$25:$I$25,MATCH(CC$3,販管費予算!$E$4:$I$4,0))/12,0),0)</f>
        <v>1500000.0</v>
      </c>
      <c r="CD68" s="409">
        <f>ROUND(INDEX(販管費予算!$E$25:$I$25,MATCH(CD$3,販管費予算!$E$4:$I$4,0))/12,0)+IF(COUNTIF($AB$3:CD$3,CD$3)=12,INDEX(販管費予算!$E$25:$I$25,MATCH(CD$3,販管費予算!$E$4:$I$4,0))-12*ROUND(INDEX(販管費予算!$E$25:$I$25,MATCH(CD$3,販管費予算!$E$4:$I$4,0))/12,0),0)</f>
        <v>1500000.0</v>
      </c>
      <c r="CE68" s="409">
        <f>ROUND(INDEX(販管費予算!$E$25:$I$25,MATCH(CE$3,販管費予算!$E$4:$I$4,0))/12,0)+IF(COUNTIF($AB$3:CE$3,CE$3)=12,INDEX(販管費予算!$E$25:$I$25,MATCH(CE$3,販管費予算!$E$4:$I$4,0))-12*ROUND(INDEX(販管費予算!$E$25:$I$25,MATCH(CE$3,販管費予算!$E$4:$I$4,0))/12,0),0)</f>
        <v>1500000.0</v>
      </c>
      <c r="CF68" s="409">
        <f>ROUND(INDEX(販管費予算!$E$25:$I$25,MATCH(CF$3,販管費予算!$E$4:$I$4,0))/12,0)+IF(COUNTIF($AB$3:CF$3,CF$3)=12,INDEX(販管費予算!$E$25:$I$25,MATCH(CF$3,販管費予算!$E$4:$I$4,0))-12*ROUND(INDEX(販管費予算!$E$25:$I$25,MATCH(CF$3,販管費予算!$E$4:$I$4,0))/12,0),0)</f>
        <v>1500000.0</v>
      </c>
      <c r="CG68" s="409">
        <f>ROUND(INDEX(販管費予算!$E$25:$I$25,MATCH(CG$3,販管費予算!$E$4:$I$4,0))/12,0)+IF(COUNTIF($AB$3:CG$3,CG$3)=12,INDEX(販管費予算!$E$25:$I$25,MATCH(CG$3,販管費予算!$E$4:$I$4,0))-12*ROUND(INDEX(販管費予算!$E$25:$I$25,MATCH(CG$3,販管費予算!$E$4:$I$4,0))/12,0),0)</f>
        <v>1500000.0</v>
      </c>
      <c r="CH68" s="409">
        <f>ROUND(INDEX(販管費予算!$E$25:$I$25,MATCH(CH$3,販管費予算!$E$4:$I$4,0))/12,0)+IF(COUNTIF($AB$3:CH$3,CH$3)=12,INDEX(販管費予算!$E$25:$I$25,MATCH(CH$3,販管費予算!$E$4:$I$4,0))-12*ROUND(INDEX(販管費予算!$E$25:$I$25,MATCH(CH$3,販管費予算!$E$4:$I$4,0))/12,0),0)</f>
        <v>1500000.0</v>
      </c>
      <c r="CI68" s="412">
        <f>ROUND(INDEX(販管費予算!$E$25:$I$25,MATCH(CI$3,販管費予算!$E$4:$I$4,0))/12,0)+IF(COUNTIF($AB$3:CI$3,CI$3)=12,INDEX(販管費予算!$E$25:$I$25,MATCH(CI$3,販管費予算!$E$4:$I$4,0))-12*ROUND(INDEX(販管費予算!$E$25:$I$25,MATCH(CI$3,販管費予算!$E$4:$I$4,0))/12,0),0)</f>
        <v>1500000.0</v>
      </c>
    </row>
    <row r="69" ht="18" customHeight="1" s="145">
      <c r="A69" s="233" t="n"/>
      <c r="B69" s="233" t="inlineStr">
        <is>
          <t>賃借料</t>
        </is>
      </c>
      <c r="C69" s="233" t="inlineStr">
        <is>
          <t>全社</t>
        </is>
      </c>
      <c r="D69" s="234" t="n"/>
      <c r="E69" s="408">
        <f>SUMIF($AB$3:$CI$3,E$4,$AB69:$CI69)</f>
        <v>300000.0</v>
      </c>
      <c r="F69" s="409">
        <f>SUMIF($AB$3:$CI$3,F$4,$AB69:$CI69)</f>
        <v>500000.0</v>
      </c>
      <c r="G69" s="409">
        <f>SUMIF($AB$3:$CI$3,G$4,$AB69:$CI69)</f>
        <v>700000.0</v>
      </c>
      <c r="H69" s="409">
        <f>SUMIF($AB$3:$CI$3,H$4,$AB69:$CI69)</f>
        <v>1000000.0</v>
      </c>
      <c r="I69" s="409">
        <f>SUMIF($AB$3:$CI$3,I$4,$AB69:$CI69)</f>
        <v>2000000.0</v>
      </c>
      <c r="J69" s="407">
        <f>SUM(E69:I69)</f>
        <v>4500000.0</v>
      </c>
      <c r="K69" s="407">
        <f>SUMIF($Q$3:$CN$3,K$4,$Q69:$CN69)</f>
        <v>0.0</v>
      </c>
      <c r="L69" s="407">
        <f>SUMIF($Q$3:$CN$3,L$4,$Q69:$CN69)</f>
        <v>0.0</v>
      </c>
      <c r="M69" s="407">
        <f>SUMIF($Q$3:$CN$3,M$4,$Q69:$CN69)</f>
        <v>0.0</v>
      </c>
      <c r="N69" s="407">
        <f>SUMIF($Q$3:$CN$3,N$4,$Q69:$CN69)</f>
        <v>0.0</v>
      </c>
      <c r="O69" s="235" t="n"/>
      <c r="P69" s="408" t="n"/>
      <c r="Q69" s="409" t="n"/>
      <c r="R69" s="409" t="n"/>
      <c r="S69" s="409" t="n"/>
      <c r="T69" s="409" t="n"/>
      <c r="U69" s="409" t="n"/>
      <c r="V69" s="409" t="n"/>
      <c r="W69" s="409" t="n"/>
      <c r="X69" s="409" t="n"/>
      <c r="Y69" s="409" t="n"/>
      <c r="Z69" s="409" t="n"/>
      <c r="AA69" s="412" t="n"/>
      <c r="AB69" s="476">
        <f>ROUND(INDEX(販管費予算!$E$26:$I$26,MATCH(AB$3,販管費予算!$E$4:$I$4,0))/12,0)+IF(COUNTIF($AB$3:AB$3,AB$3)=12,INDEX(販管費予算!$E$26:$I$26,MATCH(AB$3,販管費予算!$E$4:$I$4,0))-12*ROUND(INDEX(販管費予算!$E$26:$I$26,MATCH(AB$3,販管費予算!$E$4:$I$4,0))/12,0),0)</f>
        <v>25000.0</v>
      </c>
      <c r="AC69" s="477">
        <f>ROUND(INDEX(販管費予算!$E$26:$I$26,MATCH(AC$3,販管費予算!$E$4:$I$4,0))/12,0)+IF(COUNTIF($AB$3:AC$3,AC$3)=12,INDEX(販管費予算!$E$26:$I$26,MATCH(AC$3,販管費予算!$E$4:$I$4,0))-12*ROUND(INDEX(販管費予算!$E$26:$I$26,MATCH(AC$3,販管費予算!$E$4:$I$4,0))/12,0),0)</f>
        <v>25000.0</v>
      </c>
      <c r="AD69" s="477">
        <f>ROUND(INDEX(販管費予算!$E$26:$I$26,MATCH(AD$3,販管費予算!$E$4:$I$4,0))/12,0)+IF(COUNTIF($AB$3:AD$3,AD$3)=12,INDEX(販管費予算!$E$26:$I$26,MATCH(AD$3,販管費予算!$E$4:$I$4,0))-12*ROUND(INDEX(販管費予算!$E$26:$I$26,MATCH(AD$3,販管費予算!$E$4:$I$4,0))/12,0),0)</f>
        <v>25000.0</v>
      </c>
      <c r="AE69" s="477">
        <f>ROUND(INDEX(販管費予算!$E$26:$I$26,MATCH(AE$3,販管費予算!$E$4:$I$4,0))/12,0)+IF(COUNTIF($AB$3:AE$3,AE$3)=12,INDEX(販管費予算!$E$26:$I$26,MATCH(AE$3,販管費予算!$E$4:$I$4,0))-12*ROUND(INDEX(販管費予算!$E$26:$I$26,MATCH(AE$3,販管費予算!$E$4:$I$4,0))/12,0),0)</f>
        <v>25000.0</v>
      </c>
      <c r="AF69" s="477">
        <f>ROUND(INDEX(販管費予算!$E$26:$I$26,MATCH(AF$3,販管費予算!$E$4:$I$4,0))/12,0)+IF(COUNTIF($AB$3:AF$3,AF$3)=12,INDEX(販管費予算!$E$26:$I$26,MATCH(AF$3,販管費予算!$E$4:$I$4,0))-12*ROUND(INDEX(販管費予算!$E$26:$I$26,MATCH(AF$3,販管費予算!$E$4:$I$4,0))/12,0),0)</f>
        <v>25000.0</v>
      </c>
      <c r="AG69" s="409">
        <f>ROUND(INDEX(販管費予算!$E$26:$I$26,MATCH(AG$3,販管費予算!$E$4:$I$4,0))/12,0)+IF(COUNTIF($AB$3:AG$3,AG$3)=12,INDEX(販管費予算!$E$26:$I$26,MATCH(AG$3,販管費予算!$E$4:$I$4,0))-12*ROUND(INDEX(販管費予算!$E$26:$I$26,MATCH(AG$3,販管費予算!$E$4:$I$4,0))/12,0),0)</f>
        <v>25000.0</v>
      </c>
      <c r="AH69" s="409">
        <f>ROUND(INDEX(販管費予算!$E$26:$I$26,MATCH(AH$3,販管費予算!$E$4:$I$4,0))/12,0)+IF(COUNTIF($AB$3:AH$3,AH$3)=12,INDEX(販管費予算!$E$26:$I$26,MATCH(AH$3,販管費予算!$E$4:$I$4,0))-12*ROUND(INDEX(販管費予算!$E$26:$I$26,MATCH(AH$3,販管費予算!$E$4:$I$4,0))/12,0),0)</f>
        <v>25000.0</v>
      </c>
      <c r="AI69" s="409">
        <f>ROUND(INDEX(販管費予算!$E$26:$I$26,MATCH(AI$3,販管費予算!$E$4:$I$4,0))/12,0)+IF(COUNTIF($AB$3:AI$3,AI$3)=12,INDEX(販管費予算!$E$26:$I$26,MATCH(AI$3,販管費予算!$E$4:$I$4,0))-12*ROUND(INDEX(販管費予算!$E$26:$I$26,MATCH(AI$3,販管費予算!$E$4:$I$4,0))/12,0),0)</f>
        <v>25000.0</v>
      </c>
      <c r="AJ69" s="409">
        <f>ROUND(INDEX(販管費予算!$E$26:$I$26,MATCH(AJ$3,販管費予算!$E$4:$I$4,0))/12,0)+IF(COUNTIF($AB$3:AJ$3,AJ$3)=12,INDEX(販管費予算!$E$26:$I$26,MATCH(AJ$3,販管費予算!$E$4:$I$4,0))-12*ROUND(INDEX(販管費予算!$E$26:$I$26,MATCH(AJ$3,販管費予算!$E$4:$I$4,0))/12,0),0)</f>
        <v>25000.0</v>
      </c>
      <c r="AK69" s="409">
        <f>ROUND(INDEX(販管費予算!$E$26:$I$26,MATCH(AK$3,販管費予算!$E$4:$I$4,0))/12,0)+IF(COUNTIF($AB$3:AK$3,AK$3)=12,INDEX(販管費予算!$E$26:$I$26,MATCH(AK$3,販管費予算!$E$4:$I$4,0))-12*ROUND(INDEX(販管費予算!$E$26:$I$26,MATCH(AK$3,販管費予算!$E$4:$I$4,0))/12,0),0)</f>
        <v>25000.0</v>
      </c>
      <c r="AL69" s="409">
        <f>ROUND(INDEX(販管費予算!$E$26:$I$26,MATCH(AL$3,販管費予算!$E$4:$I$4,0))/12,0)+IF(COUNTIF($AB$3:AL$3,AL$3)=12,INDEX(販管費予算!$E$26:$I$26,MATCH(AL$3,販管費予算!$E$4:$I$4,0))-12*ROUND(INDEX(販管費予算!$E$26:$I$26,MATCH(AL$3,販管費予算!$E$4:$I$4,0))/12,0),0)</f>
        <v>25000.0</v>
      </c>
      <c r="AM69" s="412">
        <f>ROUND(INDEX(販管費予算!$E$26:$I$26,MATCH(AM$3,販管費予算!$E$4:$I$4,0))/12,0)+IF(COUNTIF($AB$3:AM$3,AM$3)=12,INDEX(販管費予算!$E$26:$I$26,MATCH(AM$3,販管費予算!$E$4:$I$4,0))-12*ROUND(INDEX(販管費予算!$E$26:$I$26,MATCH(AM$3,販管費予算!$E$4:$I$4,0))/12,0),0)</f>
        <v>25000.0</v>
      </c>
      <c r="AN69" s="408">
        <f>ROUND(INDEX(販管費予算!$E$26:$I$26,MATCH(AN$3,販管費予算!$E$4:$I$4,0))/12,0)+IF(COUNTIF($AB$3:AN$3,AN$3)=12,INDEX(販管費予算!$E$26:$I$26,MATCH(AN$3,販管費予算!$E$4:$I$4,0))-12*ROUND(INDEX(販管費予算!$E$26:$I$26,MATCH(AN$3,販管費予算!$E$4:$I$4,0))/12,0),0)</f>
        <v>41667.0</v>
      </c>
      <c r="AO69" s="409">
        <f>ROUND(INDEX(販管費予算!$E$26:$I$26,MATCH(AO$3,販管費予算!$E$4:$I$4,0))/12,0)+IF(COUNTIF($AB$3:AO$3,AO$3)=12,INDEX(販管費予算!$E$26:$I$26,MATCH(AO$3,販管費予算!$E$4:$I$4,0))-12*ROUND(INDEX(販管費予算!$E$26:$I$26,MATCH(AO$3,販管費予算!$E$4:$I$4,0))/12,0),0)</f>
        <v>41667.0</v>
      </c>
      <c r="AP69" s="409">
        <f>ROUND(INDEX(販管費予算!$E$26:$I$26,MATCH(AP$3,販管費予算!$E$4:$I$4,0))/12,0)+IF(COUNTIF($AB$3:AP$3,AP$3)=12,INDEX(販管費予算!$E$26:$I$26,MATCH(AP$3,販管費予算!$E$4:$I$4,0))-12*ROUND(INDEX(販管費予算!$E$26:$I$26,MATCH(AP$3,販管費予算!$E$4:$I$4,0))/12,0),0)</f>
        <v>41667.0</v>
      </c>
      <c r="AQ69" s="409">
        <f>ROUND(INDEX(販管費予算!$E$26:$I$26,MATCH(AQ$3,販管費予算!$E$4:$I$4,0))/12,0)+IF(COUNTIF($AB$3:AQ$3,AQ$3)=12,INDEX(販管費予算!$E$26:$I$26,MATCH(AQ$3,販管費予算!$E$4:$I$4,0))-12*ROUND(INDEX(販管費予算!$E$26:$I$26,MATCH(AQ$3,販管費予算!$E$4:$I$4,0))/12,0),0)</f>
        <v>41667.0</v>
      </c>
      <c r="AR69" s="409">
        <f>ROUND(INDEX(販管費予算!$E$26:$I$26,MATCH(AR$3,販管費予算!$E$4:$I$4,0))/12,0)+IF(COUNTIF($AB$3:AR$3,AR$3)=12,INDEX(販管費予算!$E$26:$I$26,MATCH(AR$3,販管費予算!$E$4:$I$4,0))-12*ROUND(INDEX(販管費予算!$E$26:$I$26,MATCH(AR$3,販管費予算!$E$4:$I$4,0))/12,0),0)</f>
        <v>41667.0</v>
      </c>
      <c r="AS69" s="409">
        <f>ROUND(INDEX(販管費予算!$E$26:$I$26,MATCH(AS$3,販管費予算!$E$4:$I$4,0))/12,0)+IF(COUNTIF($AB$3:AS$3,AS$3)=12,INDEX(販管費予算!$E$26:$I$26,MATCH(AS$3,販管費予算!$E$4:$I$4,0))-12*ROUND(INDEX(販管費予算!$E$26:$I$26,MATCH(AS$3,販管費予算!$E$4:$I$4,0))/12,0),0)</f>
        <v>41667.0</v>
      </c>
      <c r="AT69" s="409">
        <f>ROUND(INDEX(販管費予算!$E$26:$I$26,MATCH(AT$3,販管費予算!$E$4:$I$4,0))/12,0)+IF(COUNTIF($AB$3:AT$3,AT$3)=12,INDEX(販管費予算!$E$26:$I$26,MATCH(AT$3,販管費予算!$E$4:$I$4,0))-12*ROUND(INDEX(販管費予算!$E$26:$I$26,MATCH(AT$3,販管費予算!$E$4:$I$4,0))/12,0),0)</f>
        <v>41667.0</v>
      </c>
      <c r="AU69" s="409">
        <f>ROUND(INDEX(販管費予算!$E$26:$I$26,MATCH(AU$3,販管費予算!$E$4:$I$4,0))/12,0)+IF(COUNTIF($AB$3:AU$3,AU$3)=12,INDEX(販管費予算!$E$26:$I$26,MATCH(AU$3,販管費予算!$E$4:$I$4,0))-12*ROUND(INDEX(販管費予算!$E$26:$I$26,MATCH(AU$3,販管費予算!$E$4:$I$4,0))/12,0),0)</f>
        <v>41667.0</v>
      </c>
      <c r="AV69" s="409">
        <f>ROUND(INDEX(販管費予算!$E$26:$I$26,MATCH(AV$3,販管費予算!$E$4:$I$4,0))/12,0)+IF(COUNTIF($AB$3:AV$3,AV$3)=12,INDEX(販管費予算!$E$26:$I$26,MATCH(AV$3,販管費予算!$E$4:$I$4,0))-12*ROUND(INDEX(販管費予算!$E$26:$I$26,MATCH(AV$3,販管費予算!$E$4:$I$4,0))/12,0),0)</f>
        <v>41667.0</v>
      </c>
      <c r="AW69" s="409">
        <f>ROUND(INDEX(販管費予算!$E$26:$I$26,MATCH(AW$3,販管費予算!$E$4:$I$4,0))/12,0)+IF(COUNTIF($AB$3:AW$3,AW$3)=12,INDEX(販管費予算!$E$26:$I$26,MATCH(AW$3,販管費予算!$E$4:$I$4,0))-12*ROUND(INDEX(販管費予算!$E$26:$I$26,MATCH(AW$3,販管費予算!$E$4:$I$4,0))/12,0),0)</f>
        <v>41667.0</v>
      </c>
      <c r="AX69" s="409">
        <f>ROUND(INDEX(販管費予算!$E$26:$I$26,MATCH(AX$3,販管費予算!$E$4:$I$4,0))/12,0)+IF(COUNTIF($AB$3:AX$3,AX$3)=12,INDEX(販管費予算!$E$26:$I$26,MATCH(AX$3,販管費予算!$E$4:$I$4,0))-12*ROUND(INDEX(販管費予算!$E$26:$I$26,MATCH(AX$3,販管費予算!$E$4:$I$4,0))/12,0),0)</f>
        <v>41667.0</v>
      </c>
      <c r="AY69" s="412">
        <f>ROUND(INDEX(販管費予算!$E$26:$I$26,MATCH(AY$3,販管費予算!$E$4:$I$4,0))/12,0)+IF(COUNTIF($AB$3:AY$3,AY$3)=12,INDEX(販管費予算!$E$26:$I$26,MATCH(AY$3,販管費予算!$E$4:$I$4,0))-12*ROUND(INDEX(販管費予算!$E$26:$I$26,MATCH(AY$3,販管費予算!$E$4:$I$4,0))/12,0),0)</f>
        <v>41663.0</v>
      </c>
      <c r="AZ69" s="408">
        <f>ROUND(INDEX(販管費予算!$E$26:$I$26,MATCH(AZ$3,販管費予算!$E$4:$I$4,0))/12,0)+IF(COUNTIF($AB$3:AZ$3,AZ$3)=12,INDEX(販管費予算!$E$26:$I$26,MATCH(AZ$3,販管費予算!$E$4:$I$4,0))-12*ROUND(INDEX(販管費予算!$E$26:$I$26,MATCH(AZ$3,販管費予算!$E$4:$I$4,0))/12,0),0)</f>
        <v>58333.0</v>
      </c>
      <c r="BA69" s="409">
        <f>ROUND(INDEX(販管費予算!$E$26:$I$26,MATCH(BA$3,販管費予算!$E$4:$I$4,0))/12,0)+IF(COUNTIF($AB$3:BA$3,BA$3)=12,INDEX(販管費予算!$E$26:$I$26,MATCH(BA$3,販管費予算!$E$4:$I$4,0))-12*ROUND(INDEX(販管費予算!$E$26:$I$26,MATCH(BA$3,販管費予算!$E$4:$I$4,0))/12,0),0)</f>
        <v>58333.0</v>
      </c>
      <c r="BB69" s="409">
        <f>ROUND(INDEX(販管費予算!$E$26:$I$26,MATCH(BB$3,販管費予算!$E$4:$I$4,0))/12,0)+IF(COUNTIF($AB$3:BB$3,BB$3)=12,INDEX(販管費予算!$E$26:$I$26,MATCH(BB$3,販管費予算!$E$4:$I$4,0))-12*ROUND(INDEX(販管費予算!$E$26:$I$26,MATCH(BB$3,販管費予算!$E$4:$I$4,0))/12,0),0)</f>
        <v>58333.0</v>
      </c>
      <c r="BC69" s="409">
        <f>ROUND(INDEX(販管費予算!$E$26:$I$26,MATCH(BC$3,販管費予算!$E$4:$I$4,0))/12,0)+IF(COUNTIF($AB$3:BC$3,BC$3)=12,INDEX(販管費予算!$E$26:$I$26,MATCH(BC$3,販管費予算!$E$4:$I$4,0))-12*ROUND(INDEX(販管費予算!$E$26:$I$26,MATCH(BC$3,販管費予算!$E$4:$I$4,0))/12,0),0)</f>
        <v>58333.0</v>
      </c>
      <c r="BD69" s="409">
        <f>ROUND(INDEX(販管費予算!$E$26:$I$26,MATCH(BD$3,販管費予算!$E$4:$I$4,0))/12,0)+IF(COUNTIF($AB$3:BD$3,BD$3)=12,INDEX(販管費予算!$E$26:$I$26,MATCH(BD$3,販管費予算!$E$4:$I$4,0))-12*ROUND(INDEX(販管費予算!$E$26:$I$26,MATCH(BD$3,販管費予算!$E$4:$I$4,0))/12,0),0)</f>
        <v>58333.0</v>
      </c>
      <c r="BE69" s="409">
        <f>ROUND(INDEX(販管費予算!$E$26:$I$26,MATCH(BE$3,販管費予算!$E$4:$I$4,0))/12,0)+IF(COUNTIF($AB$3:BE$3,BE$3)=12,INDEX(販管費予算!$E$26:$I$26,MATCH(BE$3,販管費予算!$E$4:$I$4,0))-12*ROUND(INDEX(販管費予算!$E$26:$I$26,MATCH(BE$3,販管費予算!$E$4:$I$4,0))/12,0),0)</f>
        <v>58333.0</v>
      </c>
      <c r="BF69" s="409">
        <f>ROUND(INDEX(販管費予算!$E$26:$I$26,MATCH(BF$3,販管費予算!$E$4:$I$4,0))/12,0)+IF(COUNTIF($AB$3:BF$3,BF$3)=12,INDEX(販管費予算!$E$26:$I$26,MATCH(BF$3,販管費予算!$E$4:$I$4,0))-12*ROUND(INDEX(販管費予算!$E$26:$I$26,MATCH(BF$3,販管費予算!$E$4:$I$4,0))/12,0),0)</f>
        <v>58333.0</v>
      </c>
      <c r="BG69" s="409">
        <f>ROUND(INDEX(販管費予算!$E$26:$I$26,MATCH(BG$3,販管費予算!$E$4:$I$4,0))/12,0)+IF(COUNTIF($AB$3:BG$3,BG$3)=12,INDEX(販管費予算!$E$26:$I$26,MATCH(BG$3,販管費予算!$E$4:$I$4,0))-12*ROUND(INDEX(販管費予算!$E$26:$I$26,MATCH(BG$3,販管費予算!$E$4:$I$4,0))/12,0),0)</f>
        <v>58333.0</v>
      </c>
      <c r="BH69" s="409">
        <f>ROUND(INDEX(販管費予算!$E$26:$I$26,MATCH(BH$3,販管費予算!$E$4:$I$4,0))/12,0)+IF(COUNTIF($AB$3:BH$3,BH$3)=12,INDEX(販管費予算!$E$26:$I$26,MATCH(BH$3,販管費予算!$E$4:$I$4,0))-12*ROUND(INDEX(販管費予算!$E$26:$I$26,MATCH(BH$3,販管費予算!$E$4:$I$4,0))/12,0),0)</f>
        <v>58333.0</v>
      </c>
      <c r="BI69" s="409">
        <f>ROUND(INDEX(販管費予算!$E$26:$I$26,MATCH(BI$3,販管費予算!$E$4:$I$4,0))/12,0)+IF(COUNTIF($AB$3:BI$3,BI$3)=12,INDEX(販管費予算!$E$26:$I$26,MATCH(BI$3,販管費予算!$E$4:$I$4,0))-12*ROUND(INDEX(販管費予算!$E$26:$I$26,MATCH(BI$3,販管費予算!$E$4:$I$4,0))/12,0),0)</f>
        <v>58333.0</v>
      </c>
      <c r="BJ69" s="409">
        <f>ROUND(INDEX(販管費予算!$E$26:$I$26,MATCH(BJ$3,販管費予算!$E$4:$I$4,0))/12,0)+IF(COUNTIF($AB$3:BJ$3,BJ$3)=12,INDEX(販管費予算!$E$26:$I$26,MATCH(BJ$3,販管費予算!$E$4:$I$4,0))-12*ROUND(INDEX(販管費予算!$E$26:$I$26,MATCH(BJ$3,販管費予算!$E$4:$I$4,0))/12,0),0)</f>
        <v>58333.0</v>
      </c>
      <c r="BK69" s="412">
        <f>ROUND(INDEX(販管費予算!$E$26:$I$26,MATCH(BK$3,販管費予算!$E$4:$I$4,0))/12,0)+IF(COUNTIF($AB$3:BK$3,BK$3)=12,INDEX(販管費予算!$E$26:$I$26,MATCH(BK$3,販管費予算!$E$4:$I$4,0))-12*ROUND(INDEX(販管費予算!$E$26:$I$26,MATCH(BK$3,販管費予算!$E$4:$I$4,0))/12,0),0)</f>
        <v>58337.0</v>
      </c>
      <c r="BL69" s="408">
        <f>ROUND(INDEX(販管費予算!$E$26:$I$26,MATCH(BL$3,販管費予算!$E$4:$I$4,0))/12,0)+IF(COUNTIF($AB$3:BL$3,BL$3)=12,INDEX(販管費予算!$E$26:$I$26,MATCH(BL$3,販管費予算!$E$4:$I$4,0))-12*ROUND(INDEX(販管費予算!$E$26:$I$26,MATCH(BL$3,販管費予算!$E$4:$I$4,0))/12,0),0)</f>
        <v>83333.0</v>
      </c>
      <c r="BM69" s="409">
        <f>ROUND(INDEX(販管費予算!$E$26:$I$26,MATCH(BM$3,販管費予算!$E$4:$I$4,0))/12,0)+IF(COUNTIF($AB$3:BM$3,BM$3)=12,INDEX(販管費予算!$E$26:$I$26,MATCH(BM$3,販管費予算!$E$4:$I$4,0))-12*ROUND(INDEX(販管費予算!$E$26:$I$26,MATCH(BM$3,販管費予算!$E$4:$I$4,0))/12,0),0)</f>
        <v>83333.0</v>
      </c>
      <c r="BN69" s="409">
        <f>ROUND(INDEX(販管費予算!$E$26:$I$26,MATCH(BN$3,販管費予算!$E$4:$I$4,0))/12,0)+IF(COUNTIF($AB$3:BN$3,BN$3)=12,INDEX(販管費予算!$E$26:$I$26,MATCH(BN$3,販管費予算!$E$4:$I$4,0))-12*ROUND(INDEX(販管費予算!$E$26:$I$26,MATCH(BN$3,販管費予算!$E$4:$I$4,0))/12,0),0)</f>
        <v>83333.0</v>
      </c>
      <c r="BO69" s="409">
        <f>ROUND(INDEX(販管費予算!$E$26:$I$26,MATCH(BO$3,販管費予算!$E$4:$I$4,0))/12,0)+IF(COUNTIF($AB$3:BO$3,BO$3)=12,INDEX(販管費予算!$E$26:$I$26,MATCH(BO$3,販管費予算!$E$4:$I$4,0))-12*ROUND(INDEX(販管費予算!$E$26:$I$26,MATCH(BO$3,販管費予算!$E$4:$I$4,0))/12,0),0)</f>
        <v>83333.0</v>
      </c>
      <c r="BP69" s="409">
        <f>ROUND(INDEX(販管費予算!$E$26:$I$26,MATCH(BP$3,販管費予算!$E$4:$I$4,0))/12,0)+IF(COUNTIF($AB$3:BP$3,BP$3)=12,INDEX(販管費予算!$E$26:$I$26,MATCH(BP$3,販管費予算!$E$4:$I$4,0))-12*ROUND(INDEX(販管費予算!$E$26:$I$26,MATCH(BP$3,販管費予算!$E$4:$I$4,0))/12,0),0)</f>
        <v>83333.0</v>
      </c>
      <c r="BQ69" s="409">
        <f>ROUND(INDEX(販管費予算!$E$26:$I$26,MATCH(BQ$3,販管費予算!$E$4:$I$4,0))/12,0)+IF(COUNTIF($AB$3:BQ$3,BQ$3)=12,INDEX(販管費予算!$E$26:$I$26,MATCH(BQ$3,販管費予算!$E$4:$I$4,0))-12*ROUND(INDEX(販管費予算!$E$26:$I$26,MATCH(BQ$3,販管費予算!$E$4:$I$4,0))/12,0),0)</f>
        <v>83333.0</v>
      </c>
      <c r="BR69" s="409">
        <f>ROUND(INDEX(販管費予算!$E$26:$I$26,MATCH(BR$3,販管費予算!$E$4:$I$4,0))/12,0)+IF(COUNTIF($AB$3:BR$3,BR$3)=12,INDEX(販管費予算!$E$26:$I$26,MATCH(BR$3,販管費予算!$E$4:$I$4,0))-12*ROUND(INDEX(販管費予算!$E$26:$I$26,MATCH(BR$3,販管費予算!$E$4:$I$4,0))/12,0),0)</f>
        <v>83333.0</v>
      </c>
      <c r="BS69" s="409">
        <f>ROUND(INDEX(販管費予算!$E$26:$I$26,MATCH(BS$3,販管費予算!$E$4:$I$4,0))/12,0)+IF(COUNTIF($AB$3:BS$3,BS$3)=12,INDEX(販管費予算!$E$26:$I$26,MATCH(BS$3,販管費予算!$E$4:$I$4,0))-12*ROUND(INDEX(販管費予算!$E$26:$I$26,MATCH(BS$3,販管費予算!$E$4:$I$4,0))/12,0),0)</f>
        <v>83333.0</v>
      </c>
      <c r="BT69" s="409">
        <f>ROUND(INDEX(販管費予算!$E$26:$I$26,MATCH(BT$3,販管費予算!$E$4:$I$4,0))/12,0)+IF(COUNTIF($AB$3:BT$3,BT$3)=12,INDEX(販管費予算!$E$26:$I$26,MATCH(BT$3,販管費予算!$E$4:$I$4,0))-12*ROUND(INDEX(販管費予算!$E$26:$I$26,MATCH(BT$3,販管費予算!$E$4:$I$4,0))/12,0),0)</f>
        <v>83333.0</v>
      </c>
      <c r="BU69" s="409">
        <f>ROUND(INDEX(販管費予算!$E$26:$I$26,MATCH(BU$3,販管費予算!$E$4:$I$4,0))/12,0)+IF(COUNTIF($AB$3:BU$3,BU$3)=12,INDEX(販管費予算!$E$26:$I$26,MATCH(BU$3,販管費予算!$E$4:$I$4,0))-12*ROUND(INDEX(販管費予算!$E$26:$I$26,MATCH(BU$3,販管費予算!$E$4:$I$4,0))/12,0),0)</f>
        <v>83333.0</v>
      </c>
      <c r="BV69" s="409">
        <f>ROUND(INDEX(販管費予算!$E$26:$I$26,MATCH(BV$3,販管費予算!$E$4:$I$4,0))/12,0)+IF(COUNTIF($AB$3:BV$3,BV$3)=12,INDEX(販管費予算!$E$26:$I$26,MATCH(BV$3,販管費予算!$E$4:$I$4,0))-12*ROUND(INDEX(販管費予算!$E$26:$I$26,MATCH(BV$3,販管費予算!$E$4:$I$4,0))/12,0),0)</f>
        <v>83333.0</v>
      </c>
      <c r="BW69" s="412">
        <f>ROUND(INDEX(販管費予算!$E$26:$I$26,MATCH(BW$3,販管費予算!$E$4:$I$4,0))/12,0)+IF(COUNTIF($AB$3:BW$3,BW$3)=12,INDEX(販管費予算!$E$26:$I$26,MATCH(BW$3,販管費予算!$E$4:$I$4,0))-12*ROUND(INDEX(販管費予算!$E$26:$I$26,MATCH(BW$3,販管費予算!$E$4:$I$4,0))/12,0),0)</f>
        <v>83337.0</v>
      </c>
      <c r="BX69" s="408">
        <f>ROUND(INDEX(販管費予算!$E$26:$I$26,MATCH(BX$3,販管費予算!$E$4:$I$4,0))/12,0)+IF(COUNTIF($AB$3:BX$3,BX$3)=12,INDEX(販管費予算!$E$26:$I$26,MATCH(BX$3,販管費予算!$E$4:$I$4,0))-12*ROUND(INDEX(販管費予算!$E$26:$I$26,MATCH(BX$3,販管費予算!$E$4:$I$4,0))/12,0),0)</f>
        <v>166667.0</v>
      </c>
      <c r="BY69" s="409">
        <f>ROUND(INDEX(販管費予算!$E$26:$I$26,MATCH(BY$3,販管費予算!$E$4:$I$4,0))/12,0)+IF(COUNTIF($AB$3:BY$3,BY$3)=12,INDEX(販管費予算!$E$26:$I$26,MATCH(BY$3,販管費予算!$E$4:$I$4,0))-12*ROUND(INDEX(販管費予算!$E$26:$I$26,MATCH(BY$3,販管費予算!$E$4:$I$4,0))/12,0),0)</f>
        <v>166667.0</v>
      </c>
      <c r="BZ69" s="409">
        <f>ROUND(INDEX(販管費予算!$E$26:$I$26,MATCH(BZ$3,販管費予算!$E$4:$I$4,0))/12,0)+IF(COUNTIF($AB$3:BZ$3,BZ$3)=12,INDEX(販管費予算!$E$26:$I$26,MATCH(BZ$3,販管費予算!$E$4:$I$4,0))-12*ROUND(INDEX(販管費予算!$E$26:$I$26,MATCH(BZ$3,販管費予算!$E$4:$I$4,0))/12,0),0)</f>
        <v>166667.0</v>
      </c>
      <c r="CA69" s="409">
        <f>ROUND(INDEX(販管費予算!$E$26:$I$26,MATCH(CA$3,販管費予算!$E$4:$I$4,0))/12,0)+IF(COUNTIF($AB$3:CA$3,CA$3)=12,INDEX(販管費予算!$E$26:$I$26,MATCH(CA$3,販管費予算!$E$4:$I$4,0))-12*ROUND(INDEX(販管費予算!$E$26:$I$26,MATCH(CA$3,販管費予算!$E$4:$I$4,0))/12,0),0)</f>
        <v>166667.0</v>
      </c>
      <c r="CB69" s="409">
        <f>ROUND(INDEX(販管費予算!$E$26:$I$26,MATCH(CB$3,販管費予算!$E$4:$I$4,0))/12,0)+IF(COUNTIF($AB$3:CB$3,CB$3)=12,INDEX(販管費予算!$E$26:$I$26,MATCH(CB$3,販管費予算!$E$4:$I$4,0))-12*ROUND(INDEX(販管費予算!$E$26:$I$26,MATCH(CB$3,販管費予算!$E$4:$I$4,0))/12,0),0)</f>
        <v>166667.0</v>
      </c>
      <c r="CC69" s="409">
        <f>ROUND(INDEX(販管費予算!$E$26:$I$26,MATCH(CC$3,販管費予算!$E$4:$I$4,0))/12,0)+IF(COUNTIF($AB$3:CC$3,CC$3)=12,INDEX(販管費予算!$E$26:$I$26,MATCH(CC$3,販管費予算!$E$4:$I$4,0))-12*ROUND(INDEX(販管費予算!$E$26:$I$26,MATCH(CC$3,販管費予算!$E$4:$I$4,0))/12,0),0)</f>
        <v>166667.0</v>
      </c>
      <c r="CD69" s="409">
        <f>ROUND(INDEX(販管費予算!$E$26:$I$26,MATCH(CD$3,販管費予算!$E$4:$I$4,0))/12,0)+IF(COUNTIF($AB$3:CD$3,CD$3)=12,INDEX(販管費予算!$E$26:$I$26,MATCH(CD$3,販管費予算!$E$4:$I$4,0))-12*ROUND(INDEX(販管費予算!$E$26:$I$26,MATCH(CD$3,販管費予算!$E$4:$I$4,0))/12,0),0)</f>
        <v>166667.0</v>
      </c>
      <c r="CE69" s="409">
        <f>ROUND(INDEX(販管費予算!$E$26:$I$26,MATCH(CE$3,販管費予算!$E$4:$I$4,0))/12,0)+IF(COUNTIF($AB$3:CE$3,CE$3)=12,INDEX(販管費予算!$E$26:$I$26,MATCH(CE$3,販管費予算!$E$4:$I$4,0))-12*ROUND(INDEX(販管費予算!$E$26:$I$26,MATCH(CE$3,販管費予算!$E$4:$I$4,0))/12,0),0)</f>
        <v>166667.0</v>
      </c>
      <c r="CF69" s="409">
        <f>ROUND(INDEX(販管費予算!$E$26:$I$26,MATCH(CF$3,販管費予算!$E$4:$I$4,0))/12,0)+IF(COUNTIF($AB$3:CF$3,CF$3)=12,INDEX(販管費予算!$E$26:$I$26,MATCH(CF$3,販管費予算!$E$4:$I$4,0))-12*ROUND(INDEX(販管費予算!$E$26:$I$26,MATCH(CF$3,販管費予算!$E$4:$I$4,0))/12,0),0)</f>
        <v>166667.0</v>
      </c>
      <c r="CG69" s="409">
        <f>ROUND(INDEX(販管費予算!$E$26:$I$26,MATCH(CG$3,販管費予算!$E$4:$I$4,0))/12,0)+IF(COUNTIF($AB$3:CG$3,CG$3)=12,INDEX(販管費予算!$E$26:$I$26,MATCH(CG$3,販管費予算!$E$4:$I$4,0))-12*ROUND(INDEX(販管費予算!$E$26:$I$26,MATCH(CG$3,販管費予算!$E$4:$I$4,0))/12,0),0)</f>
        <v>166667.0</v>
      </c>
      <c r="CH69" s="409">
        <f>ROUND(INDEX(販管費予算!$E$26:$I$26,MATCH(CH$3,販管費予算!$E$4:$I$4,0))/12,0)+IF(COUNTIF($AB$3:CH$3,CH$3)=12,INDEX(販管費予算!$E$26:$I$26,MATCH(CH$3,販管費予算!$E$4:$I$4,0))-12*ROUND(INDEX(販管費予算!$E$26:$I$26,MATCH(CH$3,販管費予算!$E$4:$I$4,0))/12,0),0)</f>
        <v>166667.0</v>
      </c>
      <c r="CI69" s="412">
        <f>ROUND(INDEX(販管費予算!$E$26:$I$26,MATCH(CI$3,販管費予算!$E$4:$I$4,0))/12,0)+IF(COUNTIF($AB$3:CI$3,CI$3)=12,INDEX(販管費予算!$E$26:$I$26,MATCH(CI$3,販管費予算!$E$4:$I$4,0))-12*ROUND(INDEX(販管費予算!$E$26:$I$26,MATCH(CI$3,販管費予算!$E$4:$I$4,0))/12,0),0)</f>
        <v>166663.0</v>
      </c>
    </row>
    <row r="70" ht="18" customHeight="1" s="145">
      <c r="A70" s="233" t="n"/>
      <c r="B70" s="233" t="inlineStr">
        <is>
          <t>租税公課</t>
        </is>
      </c>
      <c r="C70" s="233" t="inlineStr">
        <is>
          <t>全社</t>
        </is>
      </c>
      <c r="D70" s="234" t="n"/>
      <c r="E70" s="408">
        <f>SUMIF($AB$3:$CI$3,E$4,$AB70:$CI70)</f>
        <v>300000.0</v>
      </c>
      <c r="F70" s="409">
        <f>SUMIF($AB$3:$CI$3,F$4,$AB70:$CI70)</f>
        <v>500000.0</v>
      </c>
      <c r="G70" s="409">
        <f>SUMIF($AB$3:$CI$3,G$4,$AB70:$CI70)</f>
        <v>1000000.0</v>
      </c>
      <c r="H70" s="409">
        <f>SUMIF($AB$3:$CI$3,H$4,$AB70:$CI70)</f>
        <v>2000000.0</v>
      </c>
      <c r="I70" s="409">
        <f>SUMIF($AB$3:$CI$3,I$4,$AB70:$CI70)</f>
        <v>3500000.0</v>
      </c>
      <c r="J70" s="407">
        <f>SUM(E70:I70)</f>
        <v>7300000.0</v>
      </c>
      <c r="K70" s="407">
        <f>SUMIF($Q$3:$CN$3,K$4,$Q70:$CN70)</f>
        <v>0.0</v>
      </c>
      <c r="L70" s="407">
        <f>SUMIF($Q$3:$CN$3,L$4,$Q70:$CN70)</f>
        <v>0.0</v>
      </c>
      <c r="M70" s="407">
        <f>SUMIF($Q$3:$CN$3,M$4,$Q70:$CN70)</f>
        <v>0.0</v>
      </c>
      <c r="N70" s="407">
        <f>SUMIF($Q$3:$CN$3,N$4,$Q70:$CN70)</f>
        <v>0.0</v>
      </c>
      <c r="O70" s="235" t="n"/>
      <c r="P70" s="408" t="n"/>
      <c r="Q70" s="409" t="n"/>
      <c r="R70" s="409" t="n"/>
      <c r="S70" s="409" t="n"/>
      <c r="T70" s="409" t="n"/>
      <c r="U70" s="409" t="n"/>
      <c r="V70" s="409" t="n"/>
      <c r="W70" s="409" t="n"/>
      <c r="X70" s="409" t="n"/>
      <c r="Y70" s="409" t="n"/>
      <c r="Z70" s="409" t="n"/>
      <c r="AA70" s="412" t="n"/>
      <c r="AB70" s="476">
        <f>ROUND(INDEX(販管費予算!$E$27:$I$27,MATCH(AB$3,販管費予算!$E$4:$I$4,0))/12,0)+IF(COUNTIF($AB$3:AB$3,AB$3)=12,INDEX(販管費予算!$E$27:$I$27,MATCH(AB$3,販管費予算!$E$4:$I$4,0))-12*ROUND(INDEX(販管費予算!$E$27:$I$27,MATCH(AB$3,販管費予算!$E$4:$I$4,0))/12,0),0)</f>
        <v>25000.0</v>
      </c>
      <c r="AC70" s="477">
        <f>ROUND(INDEX(販管費予算!$E$27:$I$27,MATCH(AC$3,販管費予算!$E$4:$I$4,0))/12,0)+IF(COUNTIF($AB$3:AC$3,AC$3)=12,INDEX(販管費予算!$E$27:$I$27,MATCH(AC$3,販管費予算!$E$4:$I$4,0))-12*ROUND(INDEX(販管費予算!$E$27:$I$27,MATCH(AC$3,販管費予算!$E$4:$I$4,0))/12,0),0)</f>
        <v>25000.0</v>
      </c>
      <c r="AD70" s="477">
        <f>ROUND(INDEX(販管費予算!$E$27:$I$27,MATCH(AD$3,販管費予算!$E$4:$I$4,0))/12,0)+IF(COUNTIF($AB$3:AD$3,AD$3)=12,INDEX(販管費予算!$E$27:$I$27,MATCH(AD$3,販管費予算!$E$4:$I$4,0))-12*ROUND(INDEX(販管費予算!$E$27:$I$27,MATCH(AD$3,販管費予算!$E$4:$I$4,0))/12,0),0)</f>
        <v>25000.0</v>
      </c>
      <c r="AE70" s="477">
        <f>ROUND(INDEX(販管費予算!$E$27:$I$27,MATCH(AE$3,販管費予算!$E$4:$I$4,0))/12,0)+IF(COUNTIF($AB$3:AE$3,AE$3)=12,INDEX(販管費予算!$E$27:$I$27,MATCH(AE$3,販管費予算!$E$4:$I$4,0))-12*ROUND(INDEX(販管費予算!$E$27:$I$27,MATCH(AE$3,販管費予算!$E$4:$I$4,0))/12,0),0)</f>
        <v>25000.0</v>
      </c>
      <c r="AF70" s="477">
        <f>ROUND(INDEX(販管費予算!$E$27:$I$27,MATCH(AF$3,販管費予算!$E$4:$I$4,0))/12,0)+IF(COUNTIF($AB$3:AF$3,AF$3)=12,INDEX(販管費予算!$E$27:$I$27,MATCH(AF$3,販管費予算!$E$4:$I$4,0))-12*ROUND(INDEX(販管費予算!$E$27:$I$27,MATCH(AF$3,販管費予算!$E$4:$I$4,0))/12,0),0)</f>
        <v>25000.0</v>
      </c>
      <c r="AG70" s="409">
        <f>ROUND(INDEX(販管費予算!$E$27:$I$27,MATCH(AG$3,販管費予算!$E$4:$I$4,0))/12,0)+IF(COUNTIF($AB$3:AG$3,AG$3)=12,INDEX(販管費予算!$E$27:$I$27,MATCH(AG$3,販管費予算!$E$4:$I$4,0))-12*ROUND(INDEX(販管費予算!$E$27:$I$27,MATCH(AG$3,販管費予算!$E$4:$I$4,0))/12,0),0)</f>
        <v>25000.0</v>
      </c>
      <c r="AH70" s="409">
        <f>ROUND(INDEX(販管費予算!$E$27:$I$27,MATCH(AH$3,販管費予算!$E$4:$I$4,0))/12,0)+IF(COUNTIF($AB$3:AH$3,AH$3)=12,INDEX(販管費予算!$E$27:$I$27,MATCH(AH$3,販管費予算!$E$4:$I$4,0))-12*ROUND(INDEX(販管費予算!$E$27:$I$27,MATCH(AH$3,販管費予算!$E$4:$I$4,0))/12,0),0)</f>
        <v>25000.0</v>
      </c>
      <c r="AI70" s="409">
        <f>ROUND(INDEX(販管費予算!$E$27:$I$27,MATCH(AI$3,販管費予算!$E$4:$I$4,0))/12,0)+IF(COUNTIF($AB$3:AI$3,AI$3)=12,INDEX(販管費予算!$E$27:$I$27,MATCH(AI$3,販管費予算!$E$4:$I$4,0))-12*ROUND(INDEX(販管費予算!$E$27:$I$27,MATCH(AI$3,販管費予算!$E$4:$I$4,0))/12,0),0)</f>
        <v>25000.0</v>
      </c>
      <c r="AJ70" s="409">
        <f>ROUND(INDEX(販管費予算!$E$27:$I$27,MATCH(AJ$3,販管費予算!$E$4:$I$4,0))/12,0)+IF(COUNTIF($AB$3:AJ$3,AJ$3)=12,INDEX(販管費予算!$E$27:$I$27,MATCH(AJ$3,販管費予算!$E$4:$I$4,0))-12*ROUND(INDEX(販管費予算!$E$27:$I$27,MATCH(AJ$3,販管費予算!$E$4:$I$4,0))/12,0),0)</f>
        <v>25000.0</v>
      </c>
      <c r="AK70" s="409">
        <f>ROUND(INDEX(販管費予算!$E$27:$I$27,MATCH(AK$3,販管費予算!$E$4:$I$4,0))/12,0)+IF(COUNTIF($AB$3:AK$3,AK$3)=12,INDEX(販管費予算!$E$27:$I$27,MATCH(AK$3,販管費予算!$E$4:$I$4,0))-12*ROUND(INDEX(販管費予算!$E$27:$I$27,MATCH(AK$3,販管費予算!$E$4:$I$4,0))/12,0),0)</f>
        <v>25000.0</v>
      </c>
      <c r="AL70" s="409">
        <f>ROUND(INDEX(販管費予算!$E$27:$I$27,MATCH(AL$3,販管費予算!$E$4:$I$4,0))/12,0)+IF(COUNTIF($AB$3:AL$3,AL$3)=12,INDEX(販管費予算!$E$27:$I$27,MATCH(AL$3,販管費予算!$E$4:$I$4,0))-12*ROUND(INDEX(販管費予算!$E$27:$I$27,MATCH(AL$3,販管費予算!$E$4:$I$4,0))/12,0),0)</f>
        <v>25000.0</v>
      </c>
      <c r="AM70" s="412">
        <f>ROUND(INDEX(販管費予算!$E$27:$I$27,MATCH(AM$3,販管費予算!$E$4:$I$4,0))/12,0)+IF(COUNTIF($AB$3:AM$3,AM$3)=12,INDEX(販管費予算!$E$27:$I$27,MATCH(AM$3,販管費予算!$E$4:$I$4,0))-12*ROUND(INDEX(販管費予算!$E$27:$I$27,MATCH(AM$3,販管費予算!$E$4:$I$4,0))/12,0),0)</f>
        <v>25000.0</v>
      </c>
      <c r="AN70" s="408">
        <f>ROUND(INDEX(販管費予算!$E$27:$I$27,MATCH(AN$3,販管費予算!$E$4:$I$4,0))/12,0)+IF(COUNTIF($AB$3:AN$3,AN$3)=12,INDEX(販管費予算!$E$27:$I$27,MATCH(AN$3,販管費予算!$E$4:$I$4,0))-12*ROUND(INDEX(販管費予算!$E$27:$I$27,MATCH(AN$3,販管費予算!$E$4:$I$4,0))/12,0),0)</f>
        <v>41667.0</v>
      </c>
      <c r="AO70" s="409">
        <f>ROUND(INDEX(販管費予算!$E$27:$I$27,MATCH(AO$3,販管費予算!$E$4:$I$4,0))/12,0)+IF(COUNTIF($AB$3:AO$3,AO$3)=12,INDEX(販管費予算!$E$27:$I$27,MATCH(AO$3,販管費予算!$E$4:$I$4,0))-12*ROUND(INDEX(販管費予算!$E$27:$I$27,MATCH(AO$3,販管費予算!$E$4:$I$4,0))/12,0),0)</f>
        <v>41667.0</v>
      </c>
      <c r="AP70" s="409">
        <f>ROUND(INDEX(販管費予算!$E$27:$I$27,MATCH(AP$3,販管費予算!$E$4:$I$4,0))/12,0)+IF(COUNTIF($AB$3:AP$3,AP$3)=12,INDEX(販管費予算!$E$27:$I$27,MATCH(AP$3,販管費予算!$E$4:$I$4,0))-12*ROUND(INDEX(販管費予算!$E$27:$I$27,MATCH(AP$3,販管費予算!$E$4:$I$4,0))/12,0),0)</f>
        <v>41667.0</v>
      </c>
      <c r="AQ70" s="409">
        <f>ROUND(INDEX(販管費予算!$E$27:$I$27,MATCH(AQ$3,販管費予算!$E$4:$I$4,0))/12,0)+IF(COUNTIF($AB$3:AQ$3,AQ$3)=12,INDEX(販管費予算!$E$27:$I$27,MATCH(AQ$3,販管費予算!$E$4:$I$4,0))-12*ROUND(INDEX(販管費予算!$E$27:$I$27,MATCH(AQ$3,販管費予算!$E$4:$I$4,0))/12,0),0)</f>
        <v>41667.0</v>
      </c>
      <c r="AR70" s="409">
        <f>ROUND(INDEX(販管費予算!$E$27:$I$27,MATCH(AR$3,販管費予算!$E$4:$I$4,0))/12,0)+IF(COUNTIF($AB$3:AR$3,AR$3)=12,INDEX(販管費予算!$E$27:$I$27,MATCH(AR$3,販管費予算!$E$4:$I$4,0))-12*ROUND(INDEX(販管費予算!$E$27:$I$27,MATCH(AR$3,販管費予算!$E$4:$I$4,0))/12,0),0)</f>
        <v>41667.0</v>
      </c>
      <c r="AS70" s="409">
        <f>ROUND(INDEX(販管費予算!$E$27:$I$27,MATCH(AS$3,販管費予算!$E$4:$I$4,0))/12,0)+IF(COUNTIF($AB$3:AS$3,AS$3)=12,INDEX(販管費予算!$E$27:$I$27,MATCH(AS$3,販管費予算!$E$4:$I$4,0))-12*ROUND(INDEX(販管費予算!$E$27:$I$27,MATCH(AS$3,販管費予算!$E$4:$I$4,0))/12,0),0)</f>
        <v>41667.0</v>
      </c>
      <c r="AT70" s="409">
        <f>ROUND(INDEX(販管費予算!$E$27:$I$27,MATCH(AT$3,販管費予算!$E$4:$I$4,0))/12,0)+IF(COUNTIF($AB$3:AT$3,AT$3)=12,INDEX(販管費予算!$E$27:$I$27,MATCH(AT$3,販管費予算!$E$4:$I$4,0))-12*ROUND(INDEX(販管費予算!$E$27:$I$27,MATCH(AT$3,販管費予算!$E$4:$I$4,0))/12,0),0)</f>
        <v>41667.0</v>
      </c>
      <c r="AU70" s="409">
        <f>ROUND(INDEX(販管費予算!$E$27:$I$27,MATCH(AU$3,販管費予算!$E$4:$I$4,0))/12,0)+IF(COUNTIF($AB$3:AU$3,AU$3)=12,INDEX(販管費予算!$E$27:$I$27,MATCH(AU$3,販管費予算!$E$4:$I$4,0))-12*ROUND(INDEX(販管費予算!$E$27:$I$27,MATCH(AU$3,販管費予算!$E$4:$I$4,0))/12,0),0)</f>
        <v>41667.0</v>
      </c>
      <c r="AV70" s="409">
        <f>ROUND(INDEX(販管費予算!$E$27:$I$27,MATCH(AV$3,販管費予算!$E$4:$I$4,0))/12,0)+IF(COUNTIF($AB$3:AV$3,AV$3)=12,INDEX(販管費予算!$E$27:$I$27,MATCH(AV$3,販管費予算!$E$4:$I$4,0))-12*ROUND(INDEX(販管費予算!$E$27:$I$27,MATCH(AV$3,販管費予算!$E$4:$I$4,0))/12,0),0)</f>
        <v>41667.0</v>
      </c>
      <c r="AW70" s="409">
        <f>ROUND(INDEX(販管費予算!$E$27:$I$27,MATCH(AW$3,販管費予算!$E$4:$I$4,0))/12,0)+IF(COUNTIF($AB$3:AW$3,AW$3)=12,INDEX(販管費予算!$E$27:$I$27,MATCH(AW$3,販管費予算!$E$4:$I$4,0))-12*ROUND(INDEX(販管費予算!$E$27:$I$27,MATCH(AW$3,販管費予算!$E$4:$I$4,0))/12,0),0)</f>
        <v>41667.0</v>
      </c>
      <c r="AX70" s="409">
        <f>ROUND(INDEX(販管費予算!$E$27:$I$27,MATCH(AX$3,販管費予算!$E$4:$I$4,0))/12,0)+IF(COUNTIF($AB$3:AX$3,AX$3)=12,INDEX(販管費予算!$E$27:$I$27,MATCH(AX$3,販管費予算!$E$4:$I$4,0))-12*ROUND(INDEX(販管費予算!$E$27:$I$27,MATCH(AX$3,販管費予算!$E$4:$I$4,0))/12,0),0)</f>
        <v>41667.0</v>
      </c>
      <c r="AY70" s="412">
        <f>ROUND(INDEX(販管費予算!$E$27:$I$27,MATCH(AY$3,販管費予算!$E$4:$I$4,0))/12,0)+IF(COUNTIF($AB$3:AY$3,AY$3)=12,INDEX(販管費予算!$E$27:$I$27,MATCH(AY$3,販管費予算!$E$4:$I$4,0))-12*ROUND(INDEX(販管費予算!$E$27:$I$27,MATCH(AY$3,販管費予算!$E$4:$I$4,0))/12,0),0)</f>
        <v>41663.0</v>
      </c>
      <c r="AZ70" s="408">
        <f>ROUND(INDEX(販管費予算!$E$27:$I$27,MATCH(AZ$3,販管費予算!$E$4:$I$4,0))/12,0)+IF(COUNTIF($AB$3:AZ$3,AZ$3)=12,INDEX(販管費予算!$E$27:$I$27,MATCH(AZ$3,販管費予算!$E$4:$I$4,0))-12*ROUND(INDEX(販管費予算!$E$27:$I$27,MATCH(AZ$3,販管費予算!$E$4:$I$4,0))/12,0),0)</f>
        <v>83333.0</v>
      </c>
      <c r="BA70" s="409">
        <f>ROUND(INDEX(販管費予算!$E$27:$I$27,MATCH(BA$3,販管費予算!$E$4:$I$4,0))/12,0)+IF(COUNTIF($AB$3:BA$3,BA$3)=12,INDEX(販管費予算!$E$27:$I$27,MATCH(BA$3,販管費予算!$E$4:$I$4,0))-12*ROUND(INDEX(販管費予算!$E$27:$I$27,MATCH(BA$3,販管費予算!$E$4:$I$4,0))/12,0),0)</f>
        <v>83333.0</v>
      </c>
      <c r="BB70" s="409">
        <f>ROUND(INDEX(販管費予算!$E$27:$I$27,MATCH(BB$3,販管費予算!$E$4:$I$4,0))/12,0)+IF(COUNTIF($AB$3:BB$3,BB$3)=12,INDEX(販管費予算!$E$27:$I$27,MATCH(BB$3,販管費予算!$E$4:$I$4,0))-12*ROUND(INDEX(販管費予算!$E$27:$I$27,MATCH(BB$3,販管費予算!$E$4:$I$4,0))/12,0),0)</f>
        <v>83333.0</v>
      </c>
      <c r="BC70" s="409">
        <f>ROUND(INDEX(販管費予算!$E$27:$I$27,MATCH(BC$3,販管費予算!$E$4:$I$4,0))/12,0)+IF(COUNTIF($AB$3:BC$3,BC$3)=12,INDEX(販管費予算!$E$27:$I$27,MATCH(BC$3,販管費予算!$E$4:$I$4,0))-12*ROUND(INDEX(販管費予算!$E$27:$I$27,MATCH(BC$3,販管費予算!$E$4:$I$4,0))/12,0),0)</f>
        <v>83333.0</v>
      </c>
      <c r="BD70" s="409">
        <f>ROUND(INDEX(販管費予算!$E$27:$I$27,MATCH(BD$3,販管費予算!$E$4:$I$4,0))/12,0)+IF(COUNTIF($AB$3:BD$3,BD$3)=12,INDEX(販管費予算!$E$27:$I$27,MATCH(BD$3,販管費予算!$E$4:$I$4,0))-12*ROUND(INDEX(販管費予算!$E$27:$I$27,MATCH(BD$3,販管費予算!$E$4:$I$4,0))/12,0),0)</f>
        <v>83333.0</v>
      </c>
      <c r="BE70" s="409">
        <f>ROUND(INDEX(販管費予算!$E$27:$I$27,MATCH(BE$3,販管費予算!$E$4:$I$4,0))/12,0)+IF(COUNTIF($AB$3:BE$3,BE$3)=12,INDEX(販管費予算!$E$27:$I$27,MATCH(BE$3,販管費予算!$E$4:$I$4,0))-12*ROUND(INDEX(販管費予算!$E$27:$I$27,MATCH(BE$3,販管費予算!$E$4:$I$4,0))/12,0),0)</f>
        <v>83333.0</v>
      </c>
      <c r="BF70" s="409">
        <f>ROUND(INDEX(販管費予算!$E$27:$I$27,MATCH(BF$3,販管費予算!$E$4:$I$4,0))/12,0)+IF(COUNTIF($AB$3:BF$3,BF$3)=12,INDEX(販管費予算!$E$27:$I$27,MATCH(BF$3,販管費予算!$E$4:$I$4,0))-12*ROUND(INDEX(販管費予算!$E$27:$I$27,MATCH(BF$3,販管費予算!$E$4:$I$4,0))/12,0),0)</f>
        <v>83333.0</v>
      </c>
      <c r="BG70" s="409">
        <f>ROUND(INDEX(販管費予算!$E$27:$I$27,MATCH(BG$3,販管費予算!$E$4:$I$4,0))/12,0)+IF(COUNTIF($AB$3:BG$3,BG$3)=12,INDEX(販管費予算!$E$27:$I$27,MATCH(BG$3,販管費予算!$E$4:$I$4,0))-12*ROUND(INDEX(販管費予算!$E$27:$I$27,MATCH(BG$3,販管費予算!$E$4:$I$4,0))/12,0),0)</f>
        <v>83333.0</v>
      </c>
      <c r="BH70" s="409">
        <f>ROUND(INDEX(販管費予算!$E$27:$I$27,MATCH(BH$3,販管費予算!$E$4:$I$4,0))/12,0)+IF(COUNTIF($AB$3:BH$3,BH$3)=12,INDEX(販管費予算!$E$27:$I$27,MATCH(BH$3,販管費予算!$E$4:$I$4,0))-12*ROUND(INDEX(販管費予算!$E$27:$I$27,MATCH(BH$3,販管費予算!$E$4:$I$4,0))/12,0),0)</f>
        <v>83333.0</v>
      </c>
      <c r="BI70" s="409">
        <f>ROUND(INDEX(販管費予算!$E$27:$I$27,MATCH(BI$3,販管費予算!$E$4:$I$4,0))/12,0)+IF(COUNTIF($AB$3:BI$3,BI$3)=12,INDEX(販管費予算!$E$27:$I$27,MATCH(BI$3,販管費予算!$E$4:$I$4,0))-12*ROUND(INDEX(販管費予算!$E$27:$I$27,MATCH(BI$3,販管費予算!$E$4:$I$4,0))/12,0),0)</f>
        <v>83333.0</v>
      </c>
      <c r="BJ70" s="409">
        <f>ROUND(INDEX(販管費予算!$E$27:$I$27,MATCH(BJ$3,販管費予算!$E$4:$I$4,0))/12,0)+IF(COUNTIF($AB$3:BJ$3,BJ$3)=12,INDEX(販管費予算!$E$27:$I$27,MATCH(BJ$3,販管費予算!$E$4:$I$4,0))-12*ROUND(INDEX(販管費予算!$E$27:$I$27,MATCH(BJ$3,販管費予算!$E$4:$I$4,0))/12,0),0)</f>
        <v>83333.0</v>
      </c>
      <c r="BK70" s="412">
        <f>ROUND(INDEX(販管費予算!$E$27:$I$27,MATCH(BK$3,販管費予算!$E$4:$I$4,0))/12,0)+IF(COUNTIF($AB$3:BK$3,BK$3)=12,INDEX(販管費予算!$E$27:$I$27,MATCH(BK$3,販管費予算!$E$4:$I$4,0))-12*ROUND(INDEX(販管費予算!$E$27:$I$27,MATCH(BK$3,販管費予算!$E$4:$I$4,0))/12,0),0)</f>
        <v>83337.0</v>
      </c>
      <c r="BL70" s="408">
        <f>ROUND(INDEX(販管費予算!$E$27:$I$27,MATCH(BL$3,販管費予算!$E$4:$I$4,0))/12,0)+IF(COUNTIF($AB$3:BL$3,BL$3)=12,INDEX(販管費予算!$E$27:$I$27,MATCH(BL$3,販管費予算!$E$4:$I$4,0))-12*ROUND(INDEX(販管費予算!$E$27:$I$27,MATCH(BL$3,販管費予算!$E$4:$I$4,0))/12,0),0)</f>
        <v>166667.0</v>
      </c>
      <c r="BM70" s="409">
        <f>ROUND(INDEX(販管費予算!$E$27:$I$27,MATCH(BM$3,販管費予算!$E$4:$I$4,0))/12,0)+IF(COUNTIF($AB$3:BM$3,BM$3)=12,INDEX(販管費予算!$E$27:$I$27,MATCH(BM$3,販管費予算!$E$4:$I$4,0))-12*ROUND(INDEX(販管費予算!$E$27:$I$27,MATCH(BM$3,販管費予算!$E$4:$I$4,0))/12,0),0)</f>
        <v>166667.0</v>
      </c>
      <c r="BN70" s="409">
        <f>ROUND(INDEX(販管費予算!$E$27:$I$27,MATCH(BN$3,販管費予算!$E$4:$I$4,0))/12,0)+IF(COUNTIF($AB$3:BN$3,BN$3)=12,INDEX(販管費予算!$E$27:$I$27,MATCH(BN$3,販管費予算!$E$4:$I$4,0))-12*ROUND(INDEX(販管費予算!$E$27:$I$27,MATCH(BN$3,販管費予算!$E$4:$I$4,0))/12,0),0)</f>
        <v>166667.0</v>
      </c>
      <c r="BO70" s="409">
        <f>ROUND(INDEX(販管費予算!$E$27:$I$27,MATCH(BO$3,販管費予算!$E$4:$I$4,0))/12,0)+IF(COUNTIF($AB$3:BO$3,BO$3)=12,INDEX(販管費予算!$E$27:$I$27,MATCH(BO$3,販管費予算!$E$4:$I$4,0))-12*ROUND(INDEX(販管費予算!$E$27:$I$27,MATCH(BO$3,販管費予算!$E$4:$I$4,0))/12,0),0)</f>
        <v>166667.0</v>
      </c>
      <c r="BP70" s="409">
        <f>ROUND(INDEX(販管費予算!$E$27:$I$27,MATCH(BP$3,販管費予算!$E$4:$I$4,0))/12,0)+IF(COUNTIF($AB$3:BP$3,BP$3)=12,INDEX(販管費予算!$E$27:$I$27,MATCH(BP$3,販管費予算!$E$4:$I$4,0))-12*ROUND(INDEX(販管費予算!$E$27:$I$27,MATCH(BP$3,販管費予算!$E$4:$I$4,0))/12,0),0)</f>
        <v>166667.0</v>
      </c>
      <c r="BQ70" s="409">
        <f>ROUND(INDEX(販管費予算!$E$27:$I$27,MATCH(BQ$3,販管費予算!$E$4:$I$4,0))/12,0)+IF(COUNTIF($AB$3:BQ$3,BQ$3)=12,INDEX(販管費予算!$E$27:$I$27,MATCH(BQ$3,販管費予算!$E$4:$I$4,0))-12*ROUND(INDEX(販管費予算!$E$27:$I$27,MATCH(BQ$3,販管費予算!$E$4:$I$4,0))/12,0),0)</f>
        <v>166667.0</v>
      </c>
      <c r="BR70" s="409">
        <f>ROUND(INDEX(販管費予算!$E$27:$I$27,MATCH(BR$3,販管費予算!$E$4:$I$4,0))/12,0)+IF(COUNTIF($AB$3:BR$3,BR$3)=12,INDEX(販管費予算!$E$27:$I$27,MATCH(BR$3,販管費予算!$E$4:$I$4,0))-12*ROUND(INDEX(販管費予算!$E$27:$I$27,MATCH(BR$3,販管費予算!$E$4:$I$4,0))/12,0),0)</f>
        <v>166667.0</v>
      </c>
      <c r="BS70" s="409">
        <f>ROUND(INDEX(販管費予算!$E$27:$I$27,MATCH(BS$3,販管費予算!$E$4:$I$4,0))/12,0)+IF(COUNTIF($AB$3:BS$3,BS$3)=12,INDEX(販管費予算!$E$27:$I$27,MATCH(BS$3,販管費予算!$E$4:$I$4,0))-12*ROUND(INDEX(販管費予算!$E$27:$I$27,MATCH(BS$3,販管費予算!$E$4:$I$4,0))/12,0),0)</f>
        <v>166667.0</v>
      </c>
      <c r="BT70" s="409">
        <f>ROUND(INDEX(販管費予算!$E$27:$I$27,MATCH(BT$3,販管費予算!$E$4:$I$4,0))/12,0)+IF(COUNTIF($AB$3:BT$3,BT$3)=12,INDEX(販管費予算!$E$27:$I$27,MATCH(BT$3,販管費予算!$E$4:$I$4,0))-12*ROUND(INDEX(販管費予算!$E$27:$I$27,MATCH(BT$3,販管費予算!$E$4:$I$4,0))/12,0),0)</f>
        <v>166667.0</v>
      </c>
      <c r="BU70" s="409">
        <f>ROUND(INDEX(販管費予算!$E$27:$I$27,MATCH(BU$3,販管費予算!$E$4:$I$4,0))/12,0)+IF(COUNTIF($AB$3:BU$3,BU$3)=12,INDEX(販管費予算!$E$27:$I$27,MATCH(BU$3,販管費予算!$E$4:$I$4,0))-12*ROUND(INDEX(販管費予算!$E$27:$I$27,MATCH(BU$3,販管費予算!$E$4:$I$4,0))/12,0),0)</f>
        <v>166667.0</v>
      </c>
      <c r="BV70" s="409">
        <f>ROUND(INDEX(販管費予算!$E$27:$I$27,MATCH(BV$3,販管費予算!$E$4:$I$4,0))/12,0)+IF(COUNTIF($AB$3:BV$3,BV$3)=12,INDEX(販管費予算!$E$27:$I$27,MATCH(BV$3,販管費予算!$E$4:$I$4,0))-12*ROUND(INDEX(販管費予算!$E$27:$I$27,MATCH(BV$3,販管費予算!$E$4:$I$4,0))/12,0),0)</f>
        <v>166667.0</v>
      </c>
      <c r="BW70" s="412">
        <f>ROUND(INDEX(販管費予算!$E$27:$I$27,MATCH(BW$3,販管費予算!$E$4:$I$4,0))/12,0)+IF(COUNTIF($AB$3:BW$3,BW$3)=12,INDEX(販管費予算!$E$27:$I$27,MATCH(BW$3,販管費予算!$E$4:$I$4,0))-12*ROUND(INDEX(販管費予算!$E$27:$I$27,MATCH(BW$3,販管費予算!$E$4:$I$4,0))/12,0),0)</f>
        <v>166663.0</v>
      </c>
      <c r="BX70" s="408">
        <f>ROUND(INDEX(販管費予算!$E$27:$I$27,MATCH(BX$3,販管費予算!$E$4:$I$4,0))/12,0)+IF(COUNTIF($AB$3:BX$3,BX$3)=12,INDEX(販管費予算!$E$27:$I$27,MATCH(BX$3,販管費予算!$E$4:$I$4,0))-12*ROUND(INDEX(販管費予算!$E$27:$I$27,MATCH(BX$3,販管費予算!$E$4:$I$4,0))/12,0),0)</f>
        <v>291667.0</v>
      </c>
      <c r="BY70" s="409">
        <f>ROUND(INDEX(販管費予算!$E$27:$I$27,MATCH(BY$3,販管費予算!$E$4:$I$4,0))/12,0)+IF(COUNTIF($AB$3:BY$3,BY$3)=12,INDEX(販管費予算!$E$27:$I$27,MATCH(BY$3,販管費予算!$E$4:$I$4,0))-12*ROUND(INDEX(販管費予算!$E$27:$I$27,MATCH(BY$3,販管費予算!$E$4:$I$4,0))/12,0),0)</f>
        <v>291667.0</v>
      </c>
      <c r="BZ70" s="409">
        <f>ROUND(INDEX(販管費予算!$E$27:$I$27,MATCH(BZ$3,販管費予算!$E$4:$I$4,0))/12,0)+IF(COUNTIF($AB$3:BZ$3,BZ$3)=12,INDEX(販管費予算!$E$27:$I$27,MATCH(BZ$3,販管費予算!$E$4:$I$4,0))-12*ROUND(INDEX(販管費予算!$E$27:$I$27,MATCH(BZ$3,販管費予算!$E$4:$I$4,0))/12,0),0)</f>
        <v>291667.0</v>
      </c>
      <c r="CA70" s="409">
        <f>ROUND(INDEX(販管費予算!$E$27:$I$27,MATCH(CA$3,販管費予算!$E$4:$I$4,0))/12,0)+IF(COUNTIF($AB$3:CA$3,CA$3)=12,INDEX(販管費予算!$E$27:$I$27,MATCH(CA$3,販管費予算!$E$4:$I$4,0))-12*ROUND(INDEX(販管費予算!$E$27:$I$27,MATCH(CA$3,販管費予算!$E$4:$I$4,0))/12,0),0)</f>
        <v>291667.0</v>
      </c>
      <c r="CB70" s="409">
        <f>ROUND(INDEX(販管費予算!$E$27:$I$27,MATCH(CB$3,販管費予算!$E$4:$I$4,0))/12,0)+IF(COUNTIF($AB$3:CB$3,CB$3)=12,INDEX(販管費予算!$E$27:$I$27,MATCH(CB$3,販管費予算!$E$4:$I$4,0))-12*ROUND(INDEX(販管費予算!$E$27:$I$27,MATCH(CB$3,販管費予算!$E$4:$I$4,0))/12,0),0)</f>
        <v>291667.0</v>
      </c>
      <c r="CC70" s="409">
        <f>ROUND(INDEX(販管費予算!$E$27:$I$27,MATCH(CC$3,販管費予算!$E$4:$I$4,0))/12,0)+IF(COUNTIF($AB$3:CC$3,CC$3)=12,INDEX(販管費予算!$E$27:$I$27,MATCH(CC$3,販管費予算!$E$4:$I$4,0))-12*ROUND(INDEX(販管費予算!$E$27:$I$27,MATCH(CC$3,販管費予算!$E$4:$I$4,0))/12,0),0)</f>
        <v>291667.0</v>
      </c>
      <c r="CD70" s="409">
        <f>ROUND(INDEX(販管費予算!$E$27:$I$27,MATCH(CD$3,販管費予算!$E$4:$I$4,0))/12,0)+IF(COUNTIF($AB$3:CD$3,CD$3)=12,INDEX(販管費予算!$E$27:$I$27,MATCH(CD$3,販管費予算!$E$4:$I$4,0))-12*ROUND(INDEX(販管費予算!$E$27:$I$27,MATCH(CD$3,販管費予算!$E$4:$I$4,0))/12,0),0)</f>
        <v>291667.0</v>
      </c>
      <c r="CE70" s="409">
        <f>ROUND(INDEX(販管費予算!$E$27:$I$27,MATCH(CE$3,販管費予算!$E$4:$I$4,0))/12,0)+IF(COUNTIF($AB$3:CE$3,CE$3)=12,INDEX(販管費予算!$E$27:$I$27,MATCH(CE$3,販管費予算!$E$4:$I$4,0))-12*ROUND(INDEX(販管費予算!$E$27:$I$27,MATCH(CE$3,販管費予算!$E$4:$I$4,0))/12,0),0)</f>
        <v>291667.0</v>
      </c>
      <c r="CF70" s="409">
        <f>ROUND(INDEX(販管費予算!$E$27:$I$27,MATCH(CF$3,販管費予算!$E$4:$I$4,0))/12,0)+IF(COUNTIF($AB$3:CF$3,CF$3)=12,INDEX(販管費予算!$E$27:$I$27,MATCH(CF$3,販管費予算!$E$4:$I$4,0))-12*ROUND(INDEX(販管費予算!$E$27:$I$27,MATCH(CF$3,販管費予算!$E$4:$I$4,0))/12,0),0)</f>
        <v>291667.0</v>
      </c>
      <c r="CG70" s="409">
        <f>ROUND(INDEX(販管費予算!$E$27:$I$27,MATCH(CG$3,販管費予算!$E$4:$I$4,0))/12,0)+IF(COUNTIF($AB$3:CG$3,CG$3)=12,INDEX(販管費予算!$E$27:$I$27,MATCH(CG$3,販管費予算!$E$4:$I$4,0))-12*ROUND(INDEX(販管費予算!$E$27:$I$27,MATCH(CG$3,販管費予算!$E$4:$I$4,0))/12,0),0)</f>
        <v>291667.0</v>
      </c>
      <c r="CH70" s="409">
        <f>ROUND(INDEX(販管費予算!$E$27:$I$27,MATCH(CH$3,販管費予算!$E$4:$I$4,0))/12,0)+IF(COUNTIF($AB$3:CH$3,CH$3)=12,INDEX(販管費予算!$E$27:$I$27,MATCH(CH$3,販管費予算!$E$4:$I$4,0))-12*ROUND(INDEX(販管費予算!$E$27:$I$27,MATCH(CH$3,販管費予算!$E$4:$I$4,0))/12,0),0)</f>
        <v>291667.0</v>
      </c>
      <c r="CI70" s="412">
        <f>ROUND(INDEX(販管費予算!$E$27:$I$27,MATCH(CI$3,販管費予算!$E$4:$I$4,0))/12,0)+IF(COUNTIF($AB$3:CI$3,CI$3)=12,INDEX(販管費予算!$E$27:$I$27,MATCH(CI$3,販管費予算!$E$4:$I$4,0))-12*ROUND(INDEX(販管費予算!$E$27:$I$27,MATCH(CI$3,販管費予算!$E$4:$I$4,0))/12,0),0)</f>
        <v>291663.0</v>
      </c>
    </row>
    <row r="71" ht="18" customHeight="1" s="145">
      <c r="A71" s="233" t="n"/>
      <c r="B71" s="233" t="inlineStr">
        <is>
          <t>支払報酬料</t>
        </is>
      </c>
      <c r="C71" s="233" t="inlineStr">
        <is>
          <t>全社</t>
        </is>
      </c>
      <c r="D71" s="234" t="n"/>
      <c r="E71" s="408">
        <f>SUMIF($AB$3:$CI$3,E$4,$AB71:$CI71)</f>
        <v>2000000.0</v>
      </c>
      <c r="F71" s="409">
        <f>SUMIF($AB$3:$CI$3,F$4,$AB71:$CI71)</f>
        <v>4000000.0</v>
      </c>
      <c r="G71" s="409">
        <f>SUMIF($AB$3:$CI$3,G$4,$AB71:$CI71)</f>
        <v>8000000.0</v>
      </c>
      <c r="H71" s="409">
        <f>SUMIF($AB$3:$CI$3,H$4,$AB71:$CI71)</f>
        <v>12000000.0</v>
      </c>
      <c r="I71" s="409">
        <f>SUMIF($AB$3:$CI$3,I$4,$AB71:$CI71)</f>
        <v>18000000.0</v>
      </c>
      <c r="J71" s="407">
        <f>SUM(E71:I71)</f>
        <v>44000000.0</v>
      </c>
      <c r="K71" s="407">
        <f>SUMIF($Q$3:$CN$3,K$4,$Q71:$CN71)</f>
        <v>0.0</v>
      </c>
      <c r="L71" s="407">
        <f>SUMIF($Q$3:$CN$3,L$4,$Q71:$CN71)</f>
        <v>0.0</v>
      </c>
      <c r="M71" s="407">
        <f>SUMIF($Q$3:$CN$3,M$4,$Q71:$CN71)</f>
        <v>0.0</v>
      </c>
      <c r="N71" s="407">
        <f>SUMIF($Q$3:$CN$3,N$4,$Q71:$CN71)</f>
        <v>0.0</v>
      </c>
      <c r="O71" s="235" t="n"/>
      <c r="P71" s="408" t="n"/>
      <c r="Q71" s="409" t="n"/>
      <c r="R71" s="409" t="n"/>
      <c r="S71" s="409" t="n"/>
      <c r="T71" s="409" t="n"/>
      <c r="U71" s="409" t="n"/>
      <c r="V71" s="409" t="n"/>
      <c r="W71" s="409" t="n"/>
      <c r="X71" s="409" t="n"/>
      <c r="Y71" s="409" t="n"/>
      <c r="Z71" s="409" t="n"/>
      <c r="AA71" s="412" t="n"/>
      <c r="AB71" s="476">
        <f>ROUND(INDEX(販管費予算!$E$28:$I$28,MATCH(AB$3,販管費予算!$E$4:$I$4,0))/12,0)+IF(COUNTIF($AB$3:AB$3,AB$3)=12,INDEX(販管費予算!$E$28:$I$28,MATCH(AB$3,販管費予算!$E$4:$I$4,0))-12*ROUND(INDEX(販管費予算!$E$28:$I$28,MATCH(AB$3,販管費予算!$E$4:$I$4,0))/12,0),0)</f>
        <v>166667.0</v>
      </c>
      <c r="AC71" s="477">
        <f>ROUND(INDEX(販管費予算!$E$28:$I$28,MATCH(AC$3,販管費予算!$E$4:$I$4,0))/12,0)+IF(COUNTIF($AB$3:AC$3,AC$3)=12,INDEX(販管費予算!$E$28:$I$28,MATCH(AC$3,販管費予算!$E$4:$I$4,0))-12*ROUND(INDEX(販管費予算!$E$28:$I$28,MATCH(AC$3,販管費予算!$E$4:$I$4,0))/12,0),0)</f>
        <v>166667.0</v>
      </c>
      <c r="AD71" s="477">
        <f>ROUND(INDEX(販管費予算!$E$28:$I$28,MATCH(AD$3,販管費予算!$E$4:$I$4,0))/12,0)+IF(COUNTIF($AB$3:AD$3,AD$3)=12,INDEX(販管費予算!$E$28:$I$28,MATCH(AD$3,販管費予算!$E$4:$I$4,0))-12*ROUND(INDEX(販管費予算!$E$28:$I$28,MATCH(AD$3,販管費予算!$E$4:$I$4,0))/12,0),0)</f>
        <v>166667.0</v>
      </c>
      <c r="AE71" s="477">
        <f>ROUND(INDEX(販管費予算!$E$28:$I$28,MATCH(AE$3,販管費予算!$E$4:$I$4,0))/12,0)+IF(COUNTIF($AB$3:AE$3,AE$3)=12,INDEX(販管費予算!$E$28:$I$28,MATCH(AE$3,販管費予算!$E$4:$I$4,0))-12*ROUND(INDEX(販管費予算!$E$28:$I$28,MATCH(AE$3,販管費予算!$E$4:$I$4,0))/12,0),0)</f>
        <v>166667.0</v>
      </c>
      <c r="AF71" s="477">
        <f>ROUND(INDEX(販管費予算!$E$28:$I$28,MATCH(AF$3,販管費予算!$E$4:$I$4,0))/12,0)+IF(COUNTIF($AB$3:AF$3,AF$3)=12,INDEX(販管費予算!$E$28:$I$28,MATCH(AF$3,販管費予算!$E$4:$I$4,0))-12*ROUND(INDEX(販管費予算!$E$28:$I$28,MATCH(AF$3,販管費予算!$E$4:$I$4,0))/12,0),0)</f>
        <v>166667.0</v>
      </c>
      <c r="AG71" s="409">
        <f>ROUND(INDEX(販管費予算!$E$28:$I$28,MATCH(AG$3,販管費予算!$E$4:$I$4,0))/12,0)+IF(COUNTIF($AB$3:AG$3,AG$3)=12,INDEX(販管費予算!$E$28:$I$28,MATCH(AG$3,販管費予算!$E$4:$I$4,0))-12*ROUND(INDEX(販管費予算!$E$28:$I$28,MATCH(AG$3,販管費予算!$E$4:$I$4,0))/12,0),0)</f>
        <v>166667.0</v>
      </c>
      <c r="AH71" s="409">
        <f>ROUND(INDEX(販管費予算!$E$28:$I$28,MATCH(AH$3,販管費予算!$E$4:$I$4,0))/12,0)+IF(COUNTIF($AB$3:AH$3,AH$3)=12,INDEX(販管費予算!$E$28:$I$28,MATCH(AH$3,販管費予算!$E$4:$I$4,0))-12*ROUND(INDEX(販管費予算!$E$28:$I$28,MATCH(AH$3,販管費予算!$E$4:$I$4,0))/12,0),0)</f>
        <v>166667.0</v>
      </c>
      <c r="AI71" s="409">
        <f>ROUND(INDEX(販管費予算!$E$28:$I$28,MATCH(AI$3,販管費予算!$E$4:$I$4,0))/12,0)+IF(COUNTIF($AB$3:AI$3,AI$3)=12,INDEX(販管費予算!$E$28:$I$28,MATCH(AI$3,販管費予算!$E$4:$I$4,0))-12*ROUND(INDEX(販管費予算!$E$28:$I$28,MATCH(AI$3,販管費予算!$E$4:$I$4,0))/12,0),0)</f>
        <v>166667.0</v>
      </c>
      <c r="AJ71" s="409">
        <f>ROUND(INDEX(販管費予算!$E$28:$I$28,MATCH(AJ$3,販管費予算!$E$4:$I$4,0))/12,0)+IF(COUNTIF($AB$3:AJ$3,AJ$3)=12,INDEX(販管費予算!$E$28:$I$28,MATCH(AJ$3,販管費予算!$E$4:$I$4,0))-12*ROUND(INDEX(販管費予算!$E$28:$I$28,MATCH(AJ$3,販管費予算!$E$4:$I$4,0))/12,0),0)</f>
        <v>166667.0</v>
      </c>
      <c r="AK71" s="409">
        <f>ROUND(INDEX(販管費予算!$E$28:$I$28,MATCH(AK$3,販管費予算!$E$4:$I$4,0))/12,0)+IF(COUNTIF($AB$3:AK$3,AK$3)=12,INDEX(販管費予算!$E$28:$I$28,MATCH(AK$3,販管費予算!$E$4:$I$4,0))-12*ROUND(INDEX(販管費予算!$E$28:$I$28,MATCH(AK$3,販管費予算!$E$4:$I$4,0))/12,0),0)</f>
        <v>166667.0</v>
      </c>
      <c r="AL71" s="409">
        <f>ROUND(INDEX(販管費予算!$E$28:$I$28,MATCH(AL$3,販管費予算!$E$4:$I$4,0))/12,0)+IF(COUNTIF($AB$3:AL$3,AL$3)=12,INDEX(販管費予算!$E$28:$I$28,MATCH(AL$3,販管費予算!$E$4:$I$4,0))-12*ROUND(INDEX(販管費予算!$E$28:$I$28,MATCH(AL$3,販管費予算!$E$4:$I$4,0))/12,0),0)</f>
        <v>166667.0</v>
      </c>
      <c r="AM71" s="412">
        <f>ROUND(INDEX(販管費予算!$E$28:$I$28,MATCH(AM$3,販管費予算!$E$4:$I$4,0))/12,0)+IF(COUNTIF($AB$3:AM$3,AM$3)=12,INDEX(販管費予算!$E$28:$I$28,MATCH(AM$3,販管費予算!$E$4:$I$4,0))-12*ROUND(INDEX(販管費予算!$E$28:$I$28,MATCH(AM$3,販管費予算!$E$4:$I$4,0))/12,0),0)</f>
        <v>166663.0</v>
      </c>
      <c r="AN71" s="408">
        <f>ROUND(INDEX(販管費予算!$E$28:$I$28,MATCH(AN$3,販管費予算!$E$4:$I$4,0))/12,0)+IF(COUNTIF($AB$3:AN$3,AN$3)=12,INDEX(販管費予算!$E$28:$I$28,MATCH(AN$3,販管費予算!$E$4:$I$4,0))-12*ROUND(INDEX(販管費予算!$E$28:$I$28,MATCH(AN$3,販管費予算!$E$4:$I$4,0))/12,0),0)</f>
        <v>333333.0</v>
      </c>
      <c r="AO71" s="409">
        <f>ROUND(INDEX(販管費予算!$E$28:$I$28,MATCH(AO$3,販管費予算!$E$4:$I$4,0))/12,0)+IF(COUNTIF($AB$3:AO$3,AO$3)=12,INDEX(販管費予算!$E$28:$I$28,MATCH(AO$3,販管費予算!$E$4:$I$4,0))-12*ROUND(INDEX(販管費予算!$E$28:$I$28,MATCH(AO$3,販管費予算!$E$4:$I$4,0))/12,0),0)</f>
        <v>333333.0</v>
      </c>
      <c r="AP71" s="409">
        <f>ROUND(INDEX(販管費予算!$E$28:$I$28,MATCH(AP$3,販管費予算!$E$4:$I$4,0))/12,0)+IF(COUNTIF($AB$3:AP$3,AP$3)=12,INDEX(販管費予算!$E$28:$I$28,MATCH(AP$3,販管費予算!$E$4:$I$4,0))-12*ROUND(INDEX(販管費予算!$E$28:$I$28,MATCH(AP$3,販管費予算!$E$4:$I$4,0))/12,0),0)</f>
        <v>333333.0</v>
      </c>
      <c r="AQ71" s="409">
        <f>ROUND(INDEX(販管費予算!$E$28:$I$28,MATCH(AQ$3,販管費予算!$E$4:$I$4,0))/12,0)+IF(COUNTIF($AB$3:AQ$3,AQ$3)=12,INDEX(販管費予算!$E$28:$I$28,MATCH(AQ$3,販管費予算!$E$4:$I$4,0))-12*ROUND(INDEX(販管費予算!$E$28:$I$28,MATCH(AQ$3,販管費予算!$E$4:$I$4,0))/12,0),0)</f>
        <v>333333.0</v>
      </c>
      <c r="AR71" s="409">
        <f>ROUND(INDEX(販管費予算!$E$28:$I$28,MATCH(AR$3,販管費予算!$E$4:$I$4,0))/12,0)+IF(COUNTIF($AB$3:AR$3,AR$3)=12,INDEX(販管費予算!$E$28:$I$28,MATCH(AR$3,販管費予算!$E$4:$I$4,0))-12*ROUND(INDEX(販管費予算!$E$28:$I$28,MATCH(AR$3,販管費予算!$E$4:$I$4,0))/12,0),0)</f>
        <v>333333.0</v>
      </c>
      <c r="AS71" s="409">
        <f>ROUND(INDEX(販管費予算!$E$28:$I$28,MATCH(AS$3,販管費予算!$E$4:$I$4,0))/12,0)+IF(COUNTIF($AB$3:AS$3,AS$3)=12,INDEX(販管費予算!$E$28:$I$28,MATCH(AS$3,販管費予算!$E$4:$I$4,0))-12*ROUND(INDEX(販管費予算!$E$28:$I$28,MATCH(AS$3,販管費予算!$E$4:$I$4,0))/12,0),0)</f>
        <v>333333.0</v>
      </c>
      <c r="AT71" s="409">
        <f>ROUND(INDEX(販管費予算!$E$28:$I$28,MATCH(AT$3,販管費予算!$E$4:$I$4,0))/12,0)+IF(COUNTIF($AB$3:AT$3,AT$3)=12,INDEX(販管費予算!$E$28:$I$28,MATCH(AT$3,販管費予算!$E$4:$I$4,0))-12*ROUND(INDEX(販管費予算!$E$28:$I$28,MATCH(AT$3,販管費予算!$E$4:$I$4,0))/12,0),0)</f>
        <v>333333.0</v>
      </c>
      <c r="AU71" s="409">
        <f>ROUND(INDEX(販管費予算!$E$28:$I$28,MATCH(AU$3,販管費予算!$E$4:$I$4,0))/12,0)+IF(COUNTIF($AB$3:AU$3,AU$3)=12,INDEX(販管費予算!$E$28:$I$28,MATCH(AU$3,販管費予算!$E$4:$I$4,0))-12*ROUND(INDEX(販管費予算!$E$28:$I$28,MATCH(AU$3,販管費予算!$E$4:$I$4,0))/12,0),0)</f>
        <v>333333.0</v>
      </c>
      <c r="AV71" s="409">
        <f>ROUND(INDEX(販管費予算!$E$28:$I$28,MATCH(AV$3,販管費予算!$E$4:$I$4,0))/12,0)+IF(COUNTIF($AB$3:AV$3,AV$3)=12,INDEX(販管費予算!$E$28:$I$28,MATCH(AV$3,販管費予算!$E$4:$I$4,0))-12*ROUND(INDEX(販管費予算!$E$28:$I$28,MATCH(AV$3,販管費予算!$E$4:$I$4,0))/12,0),0)</f>
        <v>333333.0</v>
      </c>
      <c r="AW71" s="409">
        <f>ROUND(INDEX(販管費予算!$E$28:$I$28,MATCH(AW$3,販管費予算!$E$4:$I$4,0))/12,0)+IF(COUNTIF($AB$3:AW$3,AW$3)=12,INDEX(販管費予算!$E$28:$I$28,MATCH(AW$3,販管費予算!$E$4:$I$4,0))-12*ROUND(INDEX(販管費予算!$E$28:$I$28,MATCH(AW$3,販管費予算!$E$4:$I$4,0))/12,0),0)</f>
        <v>333333.0</v>
      </c>
      <c r="AX71" s="409">
        <f>ROUND(INDEX(販管費予算!$E$28:$I$28,MATCH(AX$3,販管費予算!$E$4:$I$4,0))/12,0)+IF(COUNTIF($AB$3:AX$3,AX$3)=12,INDEX(販管費予算!$E$28:$I$28,MATCH(AX$3,販管費予算!$E$4:$I$4,0))-12*ROUND(INDEX(販管費予算!$E$28:$I$28,MATCH(AX$3,販管費予算!$E$4:$I$4,0))/12,0),0)</f>
        <v>333333.0</v>
      </c>
      <c r="AY71" s="412">
        <f>ROUND(INDEX(販管費予算!$E$28:$I$28,MATCH(AY$3,販管費予算!$E$4:$I$4,0))/12,0)+IF(COUNTIF($AB$3:AY$3,AY$3)=12,INDEX(販管費予算!$E$28:$I$28,MATCH(AY$3,販管費予算!$E$4:$I$4,0))-12*ROUND(INDEX(販管費予算!$E$28:$I$28,MATCH(AY$3,販管費予算!$E$4:$I$4,0))/12,0),0)</f>
        <v>333337.0</v>
      </c>
      <c r="AZ71" s="408">
        <f>ROUND(INDEX(販管費予算!$E$28:$I$28,MATCH(AZ$3,販管費予算!$E$4:$I$4,0))/12,0)+IF(COUNTIF($AB$3:AZ$3,AZ$3)=12,INDEX(販管費予算!$E$28:$I$28,MATCH(AZ$3,販管費予算!$E$4:$I$4,0))-12*ROUND(INDEX(販管費予算!$E$28:$I$28,MATCH(AZ$3,販管費予算!$E$4:$I$4,0))/12,0),0)</f>
        <v>666667.0</v>
      </c>
      <c r="BA71" s="409">
        <f>ROUND(INDEX(販管費予算!$E$28:$I$28,MATCH(BA$3,販管費予算!$E$4:$I$4,0))/12,0)+IF(COUNTIF($AB$3:BA$3,BA$3)=12,INDEX(販管費予算!$E$28:$I$28,MATCH(BA$3,販管費予算!$E$4:$I$4,0))-12*ROUND(INDEX(販管費予算!$E$28:$I$28,MATCH(BA$3,販管費予算!$E$4:$I$4,0))/12,0),0)</f>
        <v>666667.0</v>
      </c>
      <c r="BB71" s="409">
        <f>ROUND(INDEX(販管費予算!$E$28:$I$28,MATCH(BB$3,販管費予算!$E$4:$I$4,0))/12,0)+IF(COUNTIF($AB$3:BB$3,BB$3)=12,INDEX(販管費予算!$E$28:$I$28,MATCH(BB$3,販管費予算!$E$4:$I$4,0))-12*ROUND(INDEX(販管費予算!$E$28:$I$28,MATCH(BB$3,販管費予算!$E$4:$I$4,0))/12,0),0)</f>
        <v>666667.0</v>
      </c>
      <c r="BC71" s="409">
        <f>ROUND(INDEX(販管費予算!$E$28:$I$28,MATCH(BC$3,販管費予算!$E$4:$I$4,0))/12,0)+IF(COUNTIF($AB$3:BC$3,BC$3)=12,INDEX(販管費予算!$E$28:$I$28,MATCH(BC$3,販管費予算!$E$4:$I$4,0))-12*ROUND(INDEX(販管費予算!$E$28:$I$28,MATCH(BC$3,販管費予算!$E$4:$I$4,0))/12,0),0)</f>
        <v>666667.0</v>
      </c>
      <c r="BD71" s="409">
        <f>ROUND(INDEX(販管費予算!$E$28:$I$28,MATCH(BD$3,販管費予算!$E$4:$I$4,0))/12,0)+IF(COUNTIF($AB$3:BD$3,BD$3)=12,INDEX(販管費予算!$E$28:$I$28,MATCH(BD$3,販管費予算!$E$4:$I$4,0))-12*ROUND(INDEX(販管費予算!$E$28:$I$28,MATCH(BD$3,販管費予算!$E$4:$I$4,0))/12,0),0)</f>
        <v>666667.0</v>
      </c>
      <c r="BE71" s="409">
        <f>ROUND(INDEX(販管費予算!$E$28:$I$28,MATCH(BE$3,販管費予算!$E$4:$I$4,0))/12,0)+IF(COUNTIF($AB$3:BE$3,BE$3)=12,INDEX(販管費予算!$E$28:$I$28,MATCH(BE$3,販管費予算!$E$4:$I$4,0))-12*ROUND(INDEX(販管費予算!$E$28:$I$28,MATCH(BE$3,販管費予算!$E$4:$I$4,0))/12,0),0)</f>
        <v>666667.0</v>
      </c>
      <c r="BF71" s="409">
        <f>ROUND(INDEX(販管費予算!$E$28:$I$28,MATCH(BF$3,販管費予算!$E$4:$I$4,0))/12,0)+IF(COUNTIF($AB$3:BF$3,BF$3)=12,INDEX(販管費予算!$E$28:$I$28,MATCH(BF$3,販管費予算!$E$4:$I$4,0))-12*ROUND(INDEX(販管費予算!$E$28:$I$28,MATCH(BF$3,販管費予算!$E$4:$I$4,0))/12,0),0)</f>
        <v>666667.0</v>
      </c>
      <c r="BG71" s="409">
        <f>ROUND(INDEX(販管費予算!$E$28:$I$28,MATCH(BG$3,販管費予算!$E$4:$I$4,0))/12,0)+IF(COUNTIF($AB$3:BG$3,BG$3)=12,INDEX(販管費予算!$E$28:$I$28,MATCH(BG$3,販管費予算!$E$4:$I$4,0))-12*ROUND(INDEX(販管費予算!$E$28:$I$28,MATCH(BG$3,販管費予算!$E$4:$I$4,0))/12,0),0)</f>
        <v>666667.0</v>
      </c>
      <c r="BH71" s="409">
        <f>ROUND(INDEX(販管費予算!$E$28:$I$28,MATCH(BH$3,販管費予算!$E$4:$I$4,0))/12,0)+IF(COUNTIF($AB$3:BH$3,BH$3)=12,INDEX(販管費予算!$E$28:$I$28,MATCH(BH$3,販管費予算!$E$4:$I$4,0))-12*ROUND(INDEX(販管費予算!$E$28:$I$28,MATCH(BH$3,販管費予算!$E$4:$I$4,0))/12,0),0)</f>
        <v>666667.0</v>
      </c>
      <c r="BI71" s="409">
        <f>ROUND(INDEX(販管費予算!$E$28:$I$28,MATCH(BI$3,販管費予算!$E$4:$I$4,0))/12,0)+IF(COUNTIF($AB$3:BI$3,BI$3)=12,INDEX(販管費予算!$E$28:$I$28,MATCH(BI$3,販管費予算!$E$4:$I$4,0))-12*ROUND(INDEX(販管費予算!$E$28:$I$28,MATCH(BI$3,販管費予算!$E$4:$I$4,0))/12,0),0)</f>
        <v>666667.0</v>
      </c>
      <c r="BJ71" s="409">
        <f>ROUND(INDEX(販管費予算!$E$28:$I$28,MATCH(BJ$3,販管費予算!$E$4:$I$4,0))/12,0)+IF(COUNTIF($AB$3:BJ$3,BJ$3)=12,INDEX(販管費予算!$E$28:$I$28,MATCH(BJ$3,販管費予算!$E$4:$I$4,0))-12*ROUND(INDEX(販管費予算!$E$28:$I$28,MATCH(BJ$3,販管費予算!$E$4:$I$4,0))/12,0),0)</f>
        <v>666667.0</v>
      </c>
      <c r="BK71" s="412">
        <f>ROUND(INDEX(販管費予算!$E$28:$I$28,MATCH(BK$3,販管費予算!$E$4:$I$4,0))/12,0)+IF(COUNTIF($AB$3:BK$3,BK$3)=12,INDEX(販管費予算!$E$28:$I$28,MATCH(BK$3,販管費予算!$E$4:$I$4,0))-12*ROUND(INDEX(販管費予算!$E$28:$I$28,MATCH(BK$3,販管費予算!$E$4:$I$4,0))/12,0),0)</f>
        <v>666663.0</v>
      </c>
      <c r="BL71" s="408">
        <f>ROUND(INDEX(販管費予算!$E$28:$I$28,MATCH(BL$3,販管費予算!$E$4:$I$4,0))/12,0)+IF(COUNTIF($AB$3:BL$3,BL$3)=12,INDEX(販管費予算!$E$28:$I$28,MATCH(BL$3,販管費予算!$E$4:$I$4,0))-12*ROUND(INDEX(販管費予算!$E$28:$I$28,MATCH(BL$3,販管費予算!$E$4:$I$4,0))/12,0),0)</f>
        <v>1000000.0</v>
      </c>
      <c r="BM71" s="409">
        <f>ROUND(INDEX(販管費予算!$E$28:$I$28,MATCH(BM$3,販管費予算!$E$4:$I$4,0))/12,0)+IF(COUNTIF($AB$3:BM$3,BM$3)=12,INDEX(販管費予算!$E$28:$I$28,MATCH(BM$3,販管費予算!$E$4:$I$4,0))-12*ROUND(INDEX(販管費予算!$E$28:$I$28,MATCH(BM$3,販管費予算!$E$4:$I$4,0))/12,0),0)</f>
        <v>1000000.0</v>
      </c>
      <c r="BN71" s="409">
        <f>ROUND(INDEX(販管費予算!$E$28:$I$28,MATCH(BN$3,販管費予算!$E$4:$I$4,0))/12,0)+IF(COUNTIF($AB$3:BN$3,BN$3)=12,INDEX(販管費予算!$E$28:$I$28,MATCH(BN$3,販管費予算!$E$4:$I$4,0))-12*ROUND(INDEX(販管費予算!$E$28:$I$28,MATCH(BN$3,販管費予算!$E$4:$I$4,0))/12,0),0)</f>
        <v>1000000.0</v>
      </c>
      <c r="BO71" s="409">
        <f>ROUND(INDEX(販管費予算!$E$28:$I$28,MATCH(BO$3,販管費予算!$E$4:$I$4,0))/12,0)+IF(COUNTIF($AB$3:BO$3,BO$3)=12,INDEX(販管費予算!$E$28:$I$28,MATCH(BO$3,販管費予算!$E$4:$I$4,0))-12*ROUND(INDEX(販管費予算!$E$28:$I$28,MATCH(BO$3,販管費予算!$E$4:$I$4,0))/12,0),0)</f>
        <v>1000000.0</v>
      </c>
      <c r="BP71" s="409">
        <f>ROUND(INDEX(販管費予算!$E$28:$I$28,MATCH(BP$3,販管費予算!$E$4:$I$4,0))/12,0)+IF(COUNTIF($AB$3:BP$3,BP$3)=12,INDEX(販管費予算!$E$28:$I$28,MATCH(BP$3,販管費予算!$E$4:$I$4,0))-12*ROUND(INDEX(販管費予算!$E$28:$I$28,MATCH(BP$3,販管費予算!$E$4:$I$4,0))/12,0),0)</f>
        <v>1000000.0</v>
      </c>
      <c r="BQ71" s="409">
        <f>ROUND(INDEX(販管費予算!$E$28:$I$28,MATCH(BQ$3,販管費予算!$E$4:$I$4,0))/12,0)+IF(COUNTIF($AB$3:BQ$3,BQ$3)=12,INDEX(販管費予算!$E$28:$I$28,MATCH(BQ$3,販管費予算!$E$4:$I$4,0))-12*ROUND(INDEX(販管費予算!$E$28:$I$28,MATCH(BQ$3,販管費予算!$E$4:$I$4,0))/12,0),0)</f>
        <v>1000000.0</v>
      </c>
      <c r="BR71" s="409">
        <f>ROUND(INDEX(販管費予算!$E$28:$I$28,MATCH(BR$3,販管費予算!$E$4:$I$4,0))/12,0)+IF(COUNTIF($AB$3:BR$3,BR$3)=12,INDEX(販管費予算!$E$28:$I$28,MATCH(BR$3,販管費予算!$E$4:$I$4,0))-12*ROUND(INDEX(販管費予算!$E$28:$I$28,MATCH(BR$3,販管費予算!$E$4:$I$4,0))/12,0),0)</f>
        <v>1000000.0</v>
      </c>
      <c r="BS71" s="409">
        <f>ROUND(INDEX(販管費予算!$E$28:$I$28,MATCH(BS$3,販管費予算!$E$4:$I$4,0))/12,0)+IF(COUNTIF($AB$3:BS$3,BS$3)=12,INDEX(販管費予算!$E$28:$I$28,MATCH(BS$3,販管費予算!$E$4:$I$4,0))-12*ROUND(INDEX(販管費予算!$E$28:$I$28,MATCH(BS$3,販管費予算!$E$4:$I$4,0))/12,0),0)</f>
        <v>1000000.0</v>
      </c>
      <c r="BT71" s="409">
        <f>ROUND(INDEX(販管費予算!$E$28:$I$28,MATCH(BT$3,販管費予算!$E$4:$I$4,0))/12,0)+IF(COUNTIF($AB$3:BT$3,BT$3)=12,INDEX(販管費予算!$E$28:$I$28,MATCH(BT$3,販管費予算!$E$4:$I$4,0))-12*ROUND(INDEX(販管費予算!$E$28:$I$28,MATCH(BT$3,販管費予算!$E$4:$I$4,0))/12,0),0)</f>
        <v>1000000.0</v>
      </c>
      <c r="BU71" s="409">
        <f>ROUND(INDEX(販管費予算!$E$28:$I$28,MATCH(BU$3,販管費予算!$E$4:$I$4,0))/12,0)+IF(COUNTIF($AB$3:BU$3,BU$3)=12,INDEX(販管費予算!$E$28:$I$28,MATCH(BU$3,販管費予算!$E$4:$I$4,0))-12*ROUND(INDEX(販管費予算!$E$28:$I$28,MATCH(BU$3,販管費予算!$E$4:$I$4,0))/12,0),0)</f>
        <v>1000000.0</v>
      </c>
      <c r="BV71" s="409">
        <f>ROUND(INDEX(販管費予算!$E$28:$I$28,MATCH(BV$3,販管費予算!$E$4:$I$4,0))/12,0)+IF(COUNTIF($AB$3:BV$3,BV$3)=12,INDEX(販管費予算!$E$28:$I$28,MATCH(BV$3,販管費予算!$E$4:$I$4,0))-12*ROUND(INDEX(販管費予算!$E$28:$I$28,MATCH(BV$3,販管費予算!$E$4:$I$4,0))/12,0),0)</f>
        <v>1000000.0</v>
      </c>
      <c r="BW71" s="412">
        <f>ROUND(INDEX(販管費予算!$E$28:$I$28,MATCH(BW$3,販管費予算!$E$4:$I$4,0))/12,0)+IF(COUNTIF($AB$3:BW$3,BW$3)=12,INDEX(販管費予算!$E$28:$I$28,MATCH(BW$3,販管費予算!$E$4:$I$4,0))-12*ROUND(INDEX(販管費予算!$E$28:$I$28,MATCH(BW$3,販管費予算!$E$4:$I$4,0))/12,0),0)</f>
        <v>1000000.0</v>
      </c>
      <c r="BX71" s="408">
        <f>ROUND(INDEX(販管費予算!$E$28:$I$28,MATCH(BX$3,販管費予算!$E$4:$I$4,0))/12,0)+IF(COUNTIF($AB$3:BX$3,BX$3)=12,INDEX(販管費予算!$E$28:$I$28,MATCH(BX$3,販管費予算!$E$4:$I$4,0))-12*ROUND(INDEX(販管費予算!$E$28:$I$28,MATCH(BX$3,販管費予算!$E$4:$I$4,0))/12,0),0)</f>
        <v>1500000.0</v>
      </c>
      <c r="BY71" s="409">
        <f>ROUND(INDEX(販管費予算!$E$28:$I$28,MATCH(BY$3,販管費予算!$E$4:$I$4,0))/12,0)+IF(COUNTIF($AB$3:BY$3,BY$3)=12,INDEX(販管費予算!$E$28:$I$28,MATCH(BY$3,販管費予算!$E$4:$I$4,0))-12*ROUND(INDEX(販管費予算!$E$28:$I$28,MATCH(BY$3,販管費予算!$E$4:$I$4,0))/12,0),0)</f>
        <v>1500000.0</v>
      </c>
      <c r="BZ71" s="409">
        <f>ROUND(INDEX(販管費予算!$E$28:$I$28,MATCH(BZ$3,販管費予算!$E$4:$I$4,0))/12,0)+IF(COUNTIF($AB$3:BZ$3,BZ$3)=12,INDEX(販管費予算!$E$28:$I$28,MATCH(BZ$3,販管費予算!$E$4:$I$4,0))-12*ROUND(INDEX(販管費予算!$E$28:$I$28,MATCH(BZ$3,販管費予算!$E$4:$I$4,0))/12,0),0)</f>
        <v>1500000.0</v>
      </c>
      <c r="CA71" s="409">
        <f>ROUND(INDEX(販管費予算!$E$28:$I$28,MATCH(CA$3,販管費予算!$E$4:$I$4,0))/12,0)+IF(COUNTIF($AB$3:CA$3,CA$3)=12,INDEX(販管費予算!$E$28:$I$28,MATCH(CA$3,販管費予算!$E$4:$I$4,0))-12*ROUND(INDEX(販管費予算!$E$28:$I$28,MATCH(CA$3,販管費予算!$E$4:$I$4,0))/12,0),0)</f>
        <v>1500000.0</v>
      </c>
      <c r="CB71" s="409">
        <f>ROUND(INDEX(販管費予算!$E$28:$I$28,MATCH(CB$3,販管費予算!$E$4:$I$4,0))/12,0)+IF(COUNTIF($AB$3:CB$3,CB$3)=12,INDEX(販管費予算!$E$28:$I$28,MATCH(CB$3,販管費予算!$E$4:$I$4,0))-12*ROUND(INDEX(販管費予算!$E$28:$I$28,MATCH(CB$3,販管費予算!$E$4:$I$4,0))/12,0),0)</f>
        <v>1500000.0</v>
      </c>
      <c r="CC71" s="409">
        <f>ROUND(INDEX(販管費予算!$E$28:$I$28,MATCH(CC$3,販管費予算!$E$4:$I$4,0))/12,0)+IF(COUNTIF($AB$3:CC$3,CC$3)=12,INDEX(販管費予算!$E$28:$I$28,MATCH(CC$3,販管費予算!$E$4:$I$4,0))-12*ROUND(INDEX(販管費予算!$E$28:$I$28,MATCH(CC$3,販管費予算!$E$4:$I$4,0))/12,0),0)</f>
        <v>1500000.0</v>
      </c>
      <c r="CD71" s="409">
        <f>ROUND(INDEX(販管費予算!$E$28:$I$28,MATCH(CD$3,販管費予算!$E$4:$I$4,0))/12,0)+IF(COUNTIF($AB$3:CD$3,CD$3)=12,INDEX(販管費予算!$E$28:$I$28,MATCH(CD$3,販管費予算!$E$4:$I$4,0))-12*ROUND(INDEX(販管費予算!$E$28:$I$28,MATCH(CD$3,販管費予算!$E$4:$I$4,0))/12,0),0)</f>
        <v>1500000.0</v>
      </c>
      <c r="CE71" s="409">
        <f>ROUND(INDEX(販管費予算!$E$28:$I$28,MATCH(CE$3,販管費予算!$E$4:$I$4,0))/12,0)+IF(COUNTIF($AB$3:CE$3,CE$3)=12,INDEX(販管費予算!$E$28:$I$28,MATCH(CE$3,販管費予算!$E$4:$I$4,0))-12*ROUND(INDEX(販管費予算!$E$28:$I$28,MATCH(CE$3,販管費予算!$E$4:$I$4,0))/12,0),0)</f>
        <v>1500000.0</v>
      </c>
      <c r="CF71" s="409">
        <f>ROUND(INDEX(販管費予算!$E$28:$I$28,MATCH(CF$3,販管費予算!$E$4:$I$4,0))/12,0)+IF(COUNTIF($AB$3:CF$3,CF$3)=12,INDEX(販管費予算!$E$28:$I$28,MATCH(CF$3,販管費予算!$E$4:$I$4,0))-12*ROUND(INDEX(販管費予算!$E$28:$I$28,MATCH(CF$3,販管費予算!$E$4:$I$4,0))/12,0),0)</f>
        <v>1500000.0</v>
      </c>
      <c r="CG71" s="409">
        <f>ROUND(INDEX(販管費予算!$E$28:$I$28,MATCH(CG$3,販管費予算!$E$4:$I$4,0))/12,0)+IF(COUNTIF($AB$3:CG$3,CG$3)=12,INDEX(販管費予算!$E$28:$I$28,MATCH(CG$3,販管費予算!$E$4:$I$4,0))-12*ROUND(INDEX(販管費予算!$E$28:$I$28,MATCH(CG$3,販管費予算!$E$4:$I$4,0))/12,0),0)</f>
        <v>1500000.0</v>
      </c>
      <c r="CH71" s="409">
        <f>ROUND(INDEX(販管費予算!$E$28:$I$28,MATCH(CH$3,販管費予算!$E$4:$I$4,0))/12,0)+IF(COUNTIF($AB$3:CH$3,CH$3)=12,INDEX(販管費予算!$E$28:$I$28,MATCH(CH$3,販管費予算!$E$4:$I$4,0))-12*ROUND(INDEX(販管費予算!$E$28:$I$28,MATCH(CH$3,販管費予算!$E$4:$I$4,0))/12,0),0)</f>
        <v>1500000.0</v>
      </c>
      <c r="CI71" s="412">
        <f>ROUND(INDEX(販管費予算!$E$28:$I$28,MATCH(CI$3,販管費予算!$E$4:$I$4,0))/12,0)+IF(COUNTIF($AB$3:CI$3,CI$3)=12,INDEX(販管費予算!$E$28:$I$28,MATCH(CI$3,販管費予算!$E$4:$I$4,0))-12*ROUND(INDEX(販管費予算!$E$28:$I$28,MATCH(CI$3,販管費予算!$E$4:$I$4,0))/12,0),0)</f>
        <v>1500000.0</v>
      </c>
    </row>
    <row r="72" ht="18" customHeight="1" s="145">
      <c r="A72" s="233" t="n"/>
      <c r="B72" s="325" t="inlineStr">
        <is>
          <t>減価償却費</t>
        </is>
      </c>
      <c r="C72" s="483" t="n"/>
      <c r="D72" s="326" t="n"/>
      <c r="E72" s="469">
        <f>SUMIF($AB$3:$CI$3,E$4,$AB72:$CI72)</f>
        <v>0.0</v>
      </c>
      <c r="F72" s="470">
        <f>SUMIF($AB$3:$CI$3,F$4,$AB72:$CI72)</f>
        <v>500000.0</v>
      </c>
      <c r="G72" s="470">
        <f>SUMIF($AB$3:$CI$3,G$4,$AB72:$CI72)</f>
        <v>1000000.0</v>
      </c>
      <c r="H72" s="470">
        <f>SUMIF($AB$3:$CI$3,H$4,$AB72:$CI72)</f>
        <v>2000000.0</v>
      </c>
      <c r="I72" s="470">
        <f>SUMIF($AB$3:$CI$3,I$4,$AB72:$CI72)</f>
        <v>4000000.0</v>
      </c>
      <c r="J72" s="478">
        <f>SUM(E72:I72)</f>
        <v>7500000.0</v>
      </c>
      <c r="K72" s="478">
        <f>SUMIF($Q$3:$CN$3,K$4,$Q72:$CN72)</f>
        <v>0.0</v>
      </c>
      <c r="L72" s="478">
        <f>SUMIF($Q$3:$CN$3,L$4,$Q72:$CN72)</f>
        <v>0.0</v>
      </c>
      <c r="M72" s="478">
        <f>SUMIF($Q$3:$CN$3,M$4,$Q72:$CN72)</f>
        <v>0.0</v>
      </c>
      <c r="N72" s="478">
        <f>SUMIF($Q$3:$CN$3,N$4,$Q72:$CN72)</f>
        <v>0.0</v>
      </c>
      <c r="O72" s="316" t="n"/>
      <c r="P72" s="469" t="n"/>
      <c r="Q72" s="470" t="n"/>
      <c r="R72" s="470" t="n"/>
      <c r="S72" s="470" t="n"/>
      <c r="T72" s="470" t="n"/>
      <c r="U72" s="470" t="n"/>
      <c r="V72" s="470" t="n"/>
      <c r="W72" s="470" t="n"/>
      <c r="X72" s="470" t="n"/>
      <c r="Y72" s="470" t="n"/>
      <c r="Z72" s="470" t="n"/>
      <c r="AA72" s="471" t="n"/>
      <c r="AB72" s="479">
        <f>SUM(AB73:AB74)</f>
        <v>0.0</v>
      </c>
      <c r="AC72" s="480">
        <f>SUM(AC73:AC74)</f>
        <v>0.0</v>
      </c>
      <c r="AD72" s="480">
        <f>SUM(AD73:AD74)</f>
        <v>0.0</v>
      </c>
      <c r="AE72" s="480">
        <f>SUM(AE73:AE74)</f>
        <v>0.0</v>
      </c>
      <c r="AF72" s="480">
        <f>SUM(AF73:AF74)</f>
        <v>0.0</v>
      </c>
      <c r="AG72" s="470">
        <f>SUM(AG73:AG74)</f>
        <v>0.0</v>
      </c>
      <c r="AH72" s="470">
        <f>SUM(AH73:AH74)</f>
        <v>0.0</v>
      </c>
      <c r="AI72" s="470">
        <f>SUM(AI73:AI74)</f>
        <v>0.0</v>
      </c>
      <c r="AJ72" s="470">
        <f>SUM(AJ73:AJ74)</f>
        <v>0.0</v>
      </c>
      <c r="AK72" s="470">
        <f>SUM(AK73:AK74)</f>
        <v>0.0</v>
      </c>
      <c r="AL72" s="470">
        <f>SUM(AL73:AL74)</f>
        <v>0.0</v>
      </c>
      <c r="AM72" s="471">
        <f>SUM(AM73:AM74)</f>
        <v>0.0</v>
      </c>
      <c r="AN72" s="469">
        <f>SUM(AN73:AN74)</f>
        <v>41667.0</v>
      </c>
      <c r="AO72" s="470">
        <f>SUM(AO73:AO74)</f>
        <v>41667.0</v>
      </c>
      <c r="AP72" s="470">
        <f>SUM(AP73:AP74)</f>
        <v>41667.0</v>
      </c>
      <c r="AQ72" s="470">
        <f>SUM(AQ73:AQ74)</f>
        <v>41667.0</v>
      </c>
      <c r="AR72" s="470">
        <f>SUM(AR73:AR74)</f>
        <v>41667.0</v>
      </c>
      <c r="AS72" s="470">
        <f>SUM(AS73:AS74)</f>
        <v>41667.0</v>
      </c>
      <c r="AT72" s="470">
        <f>SUM(AT73:AT74)</f>
        <v>41667.0</v>
      </c>
      <c r="AU72" s="470">
        <f>SUM(AU73:AU74)</f>
        <v>41667.0</v>
      </c>
      <c r="AV72" s="470">
        <f>SUM(AV73:AV74)</f>
        <v>41667.0</v>
      </c>
      <c r="AW72" s="470">
        <f>SUM(AW73:AW74)</f>
        <v>41667.0</v>
      </c>
      <c r="AX72" s="470">
        <f>SUM(AX73:AX74)</f>
        <v>41667.0</v>
      </c>
      <c r="AY72" s="471">
        <f>SUM(AY73:AY74)</f>
        <v>41663.0</v>
      </c>
      <c r="AZ72" s="469">
        <f>SUM(AZ73:AZ74)</f>
        <v>83333.0</v>
      </c>
      <c r="BA72" s="470">
        <f>SUM(BA73:BA74)</f>
        <v>83333.0</v>
      </c>
      <c r="BB72" s="470">
        <f>SUM(BB73:BB74)</f>
        <v>83333.0</v>
      </c>
      <c r="BC72" s="470">
        <f>SUM(BC73:BC74)</f>
        <v>83333.0</v>
      </c>
      <c r="BD72" s="470">
        <f>SUM(BD73:BD74)</f>
        <v>83333.0</v>
      </c>
      <c r="BE72" s="470">
        <f>SUM(BE73:BE74)</f>
        <v>83333.0</v>
      </c>
      <c r="BF72" s="470">
        <f>SUM(BF73:BF74)</f>
        <v>83333.0</v>
      </c>
      <c r="BG72" s="470">
        <f>SUM(BG73:BG74)</f>
        <v>83333.0</v>
      </c>
      <c r="BH72" s="470">
        <f>SUM(BH73:BH74)</f>
        <v>83333.0</v>
      </c>
      <c r="BI72" s="470">
        <f>SUM(BI73:BI74)</f>
        <v>83333.0</v>
      </c>
      <c r="BJ72" s="470">
        <f>SUM(BJ73:BJ74)</f>
        <v>83333.0</v>
      </c>
      <c r="BK72" s="471">
        <f>SUM(BK73:BK74)</f>
        <v>83337.0</v>
      </c>
      <c r="BL72" s="469">
        <f>SUM(BL73:BL74)</f>
        <v>166667.0</v>
      </c>
      <c r="BM72" s="470">
        <f>SUM(BM73:BM74)</f>
        <v>166667.0</v>
      </c>
      <c r="BN72" s="470">
        <f>SUM(BN73:BN74)</f>
        <v>166667.0</v>
      </c>
      <c r="BO72" s="470">
        <f>SUM(BO73:BO74)</f>
        <v>166667.0</v>
      </c>
      <c r="BP72" s="470">
        <f>SUM(BP73:BP74)</f>
        <v>166667.0</v>
      </c>
      <c r="BQ72" s="470">
        <f>SUM(BQ73:BQ74)</f>
        <v>166667.0</v>
      </c>
      <c r="BR72" s="470">
        <f>SUM(BR73:BR74)</f>
        <v>166667.0</v>
      </c>
      <c r="BS72" s="470">
        <f>SUM(BS73:BS74)</f>
        <v>166667.0</v>
      </c>
      <c r="BT72" s="470">
        <f>SUM(BT73:BT74)</f>
        <v>166667.0</v>
      </c>
      <c r="BU72" s="470">
        <f>SUM(BU73:BU74)</f>
        <v>166667.0</v>
      </c>
      <c r="BV72" s="470">
        <f>SUM(BV73:BV74)</f>
        <v>166667.0</v>
      </c>
      <c r="BW72" s="471">
        <f>SUM(BW73:BW74)</f>
        <v>166663.0</v>
      </c>
      <c r="BX72" s="469">
        <f>SUM(BX73:BX74)</f>
        <v>333333.0</v>
      </c>
      <c r="BY72" s="470">
        <f>SUM(BY73:BY74)</f>
        <v>333333.0</v>
      </c>
      <c r="BZ72" s="470">
        <f>SUM(BZ73:BZ74)</f>
        <v>333333.0</v>
      </c>
      <c r="CA72" s="470">
        <f>SUM(CA73:CA74)</f>
        <v>333333.0</v>
      </c>
      <c r="CB72" s="470">
        <f>SUM(CB73:CB74)</f>
        <v>333333.0</v>
      </c>
      <c r="CC72" s="470">
        <f>SUM(CC73:CC74)</f>
        <v>333333.0</v>
      </c>
      <c r="CD72" s="470">
        <f>SUM(CD73:CD74)</f>
        <v>333333.0</v>
      </c>
      <c r="CE72" s="470">
        <f>SUM(CE73:CE74)</f>
        <v>333333.0</v>
      </c>
      <c r="CF72" s="470">
        <f>SUM(CF73:CF74)</f>
        <v>333333.0</v>
      </c>
      <c r="CG72" s="470">
        <f>SUM(CG73:CG74)</f>
        <v>333333.0</v>
      </c>
      <c r="CH72" s="470">
        <f>SUM(CH73:CH74)</f>
        <v>333333.0</v>
      </c>
      <c r="CI72" s="471">
        <f>SUM(CI73:CI74)</f>
        <v>333337.0</v>
      </c>
    </row>
    <row r="73" ht="18" customHeight="1" s="145">
      <c r="A73" s="233" t="n"/>
      <c r="B73" s="233" t="n"/>
      <c r="C73" s="233" t="inlineStr">
        <is>
          <t>全社</t>
        </is>
      </c>
      <c r="D73" s="234" t="n"/>
      <c r="E73" s="408">
        <f>SUMIF($AB$3:$CI$3,E$4,$AB73:$CI73)</f>
        <v>0.0</v>
      </c>
      <c r="F73" s="409">
        <f>SUMIF($AB$3:$CI$3,F$4,$AB73:$CI73)</f>
        <v>500000.0</v>
      </c>
      <c r="G73" s="409">
        <f>SUMIF($AB$3:$CI$3,G$4,$AB73:$CI73)</f>
        <v>1000000.0</v>
      </c>
      <c r="H73" s="409">
        <f>SUMIF($AB$3:$CI$3,H$4,$AB73:$CI73)</f>
        <v>2000000.0</v>
      </c>
      <c r="I73" s="409">
        <f>SUMIF($AB$3:$CI$3,I$4,$AB73:$CI73)</f>
        <v>4000000.0</v>
      </c>
      <c r="J73" s="407">
        <f>SUM(E73:I73)</f>
        <v>7500000.0</v>
      </c>
      <c r="K73" s="407" t="n"/>
      <c r="L73" s="407" t="n"/>
      <c r="M73" s="407" t="n"/>
      <c r="N73" s="407" t="n"/>
      <c r="O73" s="235" t="n"/>
      <c r="P73" s="408" t="n"/>
      <c r="Q73" s="409" t="n"/>
      <c r="R73" s="409" t="n"/>
      <c r="S73" s="409" t="n"/>
      <c r="T73" s="409" t="n"/>
      <c r="U73" s="409" t="n"/>
      <c r="V73" s="409" t="n"/>
      <c r="W73" s="409" t="n"/>
      <c r="X73" s="409" t="n"/>
      <c r="Y73" s="409" t="n"/>
      <c r="Z73" s="409" t="n"/>
      <c r="AA73" s="412" t="n"/>
      <c r="AB73" s="408">
        <f>ROUND(INDEX(販管費予算!$E$29:$I$29,MATCH(AB$3,販管費予算!$E$4:$I$4,0))/12,0)+IF(COUNTIF($AB$3:AB$3,AB$3)=12,INDEX(販管費予算!$E$29:$I$29,MATCH(AB$3,販管費予算!$E$4:$I$4,0))-12*ROUND(INDEX(販管費予算!$E$29:$I$29,MATCH(AB$3,販管費予算!$E$4:$I$4,0))/12,0),0)</f>
        <v>0.0</v>
      </c>
      <c r="AC73" s="409">
        <f>ROUND(INDEX(販管費予算!$E$29:$I$29,MATCH(AC$3,販管費予算!$E$4:$I$4,0))/12,0)+IF(COUNTIF($AB$3:AC$3,AC$3)=12,INDEX(販管費予算!$E$29:$I$29,MATCH(AC$3,販管費予算!$E$4:$I$4,0))-12*ROUND(INDEX(販管費予算!$E$29:$I$29,MATCH(AC$3,販管費予算!$E$4:$I$4,0))/12,0),0)</f>
        <v>0.0</v>
      </c>
      <c r="AD73" s="409">
        <f>ROUND(INDEX(販管費予算!$E$29:$I$29,MATCH(AD$3,販管費予算!$E$4:$I$4,0))/12,0)+IF(COUNTIF($AB$3:AD$3,AD$3)=12,INDEX(販管費予算!$E$29:$I$29,MATCH(AD$3,販管費予算!$E$4:$I$4,0))-12*ROUND(INDEX(販管費予算!$E$29:$I$29,MATCH(AD$3,販管費予算!$E$4:$I$4,0))/12,0),0)</f>
        <v>0.0</v>
      </c>
      <c r="AE73" s="409">
        <f>ROUND(INDEX(販管費予算!$E$29:$I$29,MATCH(AE$3,販管費予算!$E$4:$I$4,0))/12,0)+IF(COUNTIF($AB$3:AE$3,AE$3)=12,INDEX(販管費予算!$E$29:$I$29,MATCH(AE$3,販管費予算!$E$4:$I$4,0))-12*ROUND(INDEX(販管費予算!$E$29:$I$29,MATCH(AE$3,販管費予算!$E$4:$I$4,0))/12,0),0)</f>
        <v>0.0</v>
      </c>
      <c r="AF73" s="409">
        <f>ROUND(INDEX(販管費予算!$E$29:$I$29,MATCH(AF$3,販管費予算!$E$4:$I$4,0))/12,0)+IF(COUNTIF($AB$3:AF$3,AF$3)=12,INDEX(販管費予算!$E$29:$I$29,MATCH(AF$3,販管費予算!$E$4:$I$4,0))-12*ROUND(INDEX(販管費予算!$E$29:$I$29,MATCH(AF$3,販管費予算!$E$4:$I$4,0))/12,0),0)</f>
        <v>0.0</v>
      </c>
      <c r="AG73" s="409">
        <f>ROUND(INDEX(販管費予算!$E$29:$I$29,MATCH(AG$3,販管費予算!$E$4:$I$4,0))/12,0)+IF(COUNTIF($AB$3:AG$3,AG$3)=12,INDEX(販管費予算!$E$29:$I$29,MATCH(AG$3,販管費予算!$E$4:$I$4,0))-12*ROUND(INDEX(販管費予算!$E$29:$I$29,MATCH(AG$3,販管費予算!$E$4:$I$4,0))/12,0),0)</f>
        <v>0.0</v>
      </c>
      <c r="AH73" s="409">
        <f>ROUND(INDEX(販管費予算!$E$29:$I$29,MATCH(AH$3,販管費予算!$E$4:$I$4,0))/12,0)+IF(COUNTIF($AB$3:AH$3,AH$3)=12,INDEX(販管費予算!$E$29:$I$29,MATCH(AH$3,販管費予算!$E$4:$I$4,0))-12*ROUND(INDEX(販管費予算!$E$29:$I$29,MATCH(AH$3,販管費予算!$E$4:$I$4,0))/12,0),0)</f>
        <v>0.0</v>
      </c>
      <c r="AI73" s="409">
        <f>ROUND(INDEX(販管費予算!$E$29:$I$29,MATCH(AI$3,販管費予算!$E$4:$I$4,0))/12,0)+IF(COUNTIF($AB$3:AI$3,AI$3)=12,INDEX(販管費予算!$E$29:$I$29,MATCH(AI$3,販管費予算!$E$4:$I$4,0))-12*ROUND(INDEX(販管費予算!$E$29:$I$29,MATCH(AI$3,販管費予算!$E$4:$I$4,0))/12,0),0)</f>
        <v>0.0</v>
      </c>
      <c r="AJ73" s="409">
        <f>ROUND(INDEX(販管費予算!$E$29:$I$29,MATCH(AJ$3,販管費予算!$E$4:$I$4,0))/12,0)+IF(COUNTIF($AB$3:AJ$3,AJ$3)=12,INDEX(販管費予算!$E$29:$I$29,MATCH(AJ$3,販管費予算!$E$4:$I$4,0))-12*ROUND(INDEX(販管費予算!$E$29:$I$29,MATCH(AJ$3,販管費予算!$E$4:$I$4,0))/12,0),0)</f>
        <v>0.0</v>
      </c>
      <c r="AK73" s="409">
        <f>ROUND(INDEX(販管費予算!$E$29:$I$29,MATCH(AK$3,販管費予算!$E$4:$I$4,0))/12,0)+IF(COUNTIF($AB$3:AK$3,AK$3)=12,INDEX(販管費予算!$E$29:$I$29,MATCH(AK$3,販管費予算!$E$4:$I$4,0))-12*ROUND(INDEX(販管費予算!$E$29:$I$29,MATCH(AK$3,販管費予算!$E$4:$I$4,0))/12,0),0)</f>
        <v>0.0</v>
      </c>
      <c r="AL73" s="409">
        <f>ROUND(INDEX(販管費予算!$E$29:$I$29,MATCH(AL$3,販管費予算!$E$4:$I$4,0))/12,0)+IF(COUNTIF($AB$3:AL$3,AL$3)=12,INDEX(販管費予算!$E$29:$I$29,MATCH(AL$3,販管費予算!$E$4:$I$4,0))-12*ROUND(INDEX(販管費予算!$E$29:$I$29,MATCH(AL$3,販管費予算!$E$4:$I$4,0))/12,0),0)</f>
        <v>0.0</v>
      </c>
      <c r="AM73" s="412">
        <f>ROUND(INDEX(販管費予算!$E$29:$I$29,MATCH(AM$3,販管費予算!$E$4:$I$4,0))/12,0)+IF(COUNTIF($AB$3:AM$3,AM$3)=12,INDEX(販管費予算!$E$29:$I$29,MATCH(AM$3,販管費予算!$E$4:$I$4,0))-12*ROUND(INDEX(販管費予算!$E$29:$I$29,MATCH(AM$3,販管費予算!$E$4:$I$4,0))/12,0),0)</f>
        <v>0.0</v>
      </c>
      <c r="AN73" s="408">
        <f>ROUND(INDEX(販管費予算!$E$29:$I$29,MATCH(AN$3,販管費予算!$E$4:$I$4,0))/12,0)+IF(COUNTIF($AB$3:AN$3,AN$3)=12,INDEX(販管費予算!$E$29:$I$29,MATCH(AN$3,販管費予算!$E$4:$I$4,0))-12*ROUND(INDEX(販管費予算!$E$29:$I$29,MATCH(AN$3,販管費予算!$E$4:$I$4,0))/12,0),0)</f>
        <v>41667.0</v>
      </c>
      <c r="AO73" s="409">
        <f>ROUND(INDEX(販管費予算!$E$29:$I$29,MATCH(AO$3,販管費予算!$E$4:$I$4,0))/12,0)+IF(COUNTIF($AB$3:AO$3,AO$3)=12,INDEX(販管費予算!$E$29:$I$29,MATCH(AO$3,販管費予算!$E$4:$I$4,0))-12*ROUND(INDEX(販管費予算!$E$29:$I$29,MATCH(AO$3,販管費予算!$E$4:$I$4,0))/12,0),0)</f>
        <v>41667.0</v>
      </c>
      <c r="AP73" s="409">
        <f>ROUND(INDEX(販管費予算!$E$29:$I$29,MATCH(AP$3,販管費予算!$E$4:$I$4,0))/12,0)+IF(COUNTIF($AB$3:AP$3,AP$3)=12,INDEX(販管費予算!$E$29:$I$29,MATCH(AP$3,販管費予算!$E$4:$I$4,0))-12*ROUND(INDEX(販管費予算!$E$29:$I$29,MATCH(AP$3,販管費予算!$E$4:$I$4,0))/12,0),0)</f>
        <v>41667.0</v>
      </c>
      <c r="AQ73" s="409">
        <f>ROUND(INDEX(販管費予算!$E$29:$I$29,MATCH(AQ$3,販管費予算!$E$4:$I$4,0))/12,0)+IF(COUNTIF($AB$3:AQ$3,AQ$3)=12,INDEX(販管費予算!$E$29:$I$29,MATCH(AQ$3,販管費予算!$E$4:$I$4,0))-12*ROUND(INDEX(販管費予算!$E$29:$I$29,MATCH(AQ$3,販管費予算!$E$4:$I$4,0))/12,0),0)</f>
        <v>41667.0</v>
      </c>
      <c r="AR73" s="409">
        <f>ROUND(INDEX(販管費予算!$E$29:$I$29,MATCH(AR$3,販管費予算!$E$4:$I$4,0))/12,0)+IF(COUNTIF($AB$3:AR$3,AR$3)=12,INDEX(販管費予算!$E$29:$I$29,MATCH(AR$3,販管費予算!$E$4:$I$4,0))-12*ROUND(INDEX(販管費予算!$E$29:$I$29,MATCH(AR$3,販管費予算!$E$4:$I$4,0))/12,0),0)</f>
        <v>41667.0</v>
      </c>
      <c r="AS73" s="409">
        <f>ROUND(INDEX(販管費予算!$E$29:$I$29,MATCH(AS$3,販管費予算!$E$4:$I$4,0))/12,0)+IF(COUNTIF($AB$3:AS$3,AS$3)=12,INDEX(販管費予算!$E$29:$I$29,MATCH(AS$3,販管費予算!$E$4:$I$4,0))-12*ROUND(INDEX(販管費予算!$E$29:$I$29,MATCH(AS$3,販管費予算!$E$4:$I$4,0))/12,0),0)</f>
        <v>41667.0</v>
      </c>
      <c r="AT73" s="409">
        <f>ROUND(INDEX(販管費予算!$E$29:$I$29,MATCH(AT$3,販管費予算!$E$4:$I$4,0))/12,0)+IF(COUNTIF($AB$3:AT$3,AT$3)=12,INDEX(販管費予算!$E$29:$I$29,MATCH(AT$3,販管費予算!$E$4:$I$4,0))-12*ROUND(INDEX(販管費予算!$E$29:$I$29,MATCH(AT$3,販管費予算!$E$4:$I$4,0))/12,0),0)</f>
        <v>41667.0</v>
      </c>
      <c r="AU73" s="409">
        <f>ROUND(INDEX(販管費予算!$E$29:$I$29,MATCH(AU$3,販管費予算!$E$4:$I$4,0))/12,0)+IF(COUNTIF($AB$3:AU$3,AU$3)=12,INDEX(販管費予算!$E$29:$I$29,MATCH(AU$3,販管費予算!$E$4:$I$4,0))-12*ROUND(INDEX(販管費予算!$E$29:$I$29,MATCH(AU$3,販管費予算!$E$4:$I$4,0))/12,0),0)</f>
        <v>41667.0</v>
      </c>
      <c r="AV73" s="409">
        <f>ROUND(INDEX(販管費予算!$E$29:$I$29,MATCH(AV$3,販管費予算!$E$4:$I$4,0))/12,0)+IF(COUNTIF($AB$3:AV$3,AV$3)=12,INDEX(販管費予算!$E$29:$I$29,MATCH(AV$3,販管費予算!$E$4:$I$4,0))-12*ROUND(INDEX(販管費予算!$E$29:$I$29,MATCH(AV$3,販管費予算!$E$4:$I$4,0))/12,0),0)</f>
        <v>41667.0</v>
      </c>
      <c r="AW73" s="409">
        <f>ROUND(INDEX(販管費予算!$E$29:$I$29,MATCH(AW$3,販管費予算!$E$4:$I$4,0))/12,0)+IF(COUNTIF($AB$3:AW$3,AW$3)=12,INDEX(販管費予算!$E$29:$I$29,MATCH(AW$3,販管費予算!$E$4:$I$4,0))-12*ROUND(INDEX(販管費予算!$E$29:$I$29,MATCH(AW$3,販管費予算!$E$4:$I$4,0))/12,0),0)</f>
        <v>41667.0</v>
      </c>
      <c r="AX73" s="409">
        <f>ROUND(INDEX(販管費予算!$E$29:$I$29,MATCH(AX$3,販管費予算!$E$4:$I$4,0))/12,0)+IF(COUNTIF($AB$3:AX$3,AX$3)=12,INDEX(販管費予算!$E$29:$I$29,MATCH(AX$3,販管費予算!$E$4:$I$4,0))-12*ROUND(INDEX(販管費予算!$E$29:$I$29,MATCH(AX$3,販管費予算!$E$4:$I$4,0))/12,0),0)</f>
        <v>41667.0</v>
      </c>
      <c r="AY73" s="412">
        <f>ROUND(INDEX(販管費予算!$E$29:$I$29,MATCH(AY$3,販管費予算!$E$4:$I$4,0))/12,0)+IF(COUNTIF($AB$3:AY$3,AY$3)=12,INDEX(販管費予算!$E$29:$I$29,MATCH(AY$3,販管費予算!$E$4:$I$4,0))-12*ROUND(INDEX(販管費予算!$E$29:$I$29,MATCH(AY$3,販管費予算!$E$4:$I$4,0))/12,0),0)</f>
        <v>41663.0</v>
      </c>
      <c r="AZ73" s="408">
        <f>ROUND(INDEX(販管費予算!$E$29:$I$29,MATCH(AZ$3,販管費予算!$E$4:$I$4,0))/12,0)+IF(COUNTIF($AB$3:AZ$3,AZ$3)=12,INDEX(販管費予算!$E$29:$I$29,MATCH(AZ$3,販管費予算!$E$4:$I$4,0))-12*ROUND(INDEX(販管費予算!$E$29:$I$29,MATCH(AZ$3,販管費予算!$E$4:$I$4,0))/12,0),0)</f>
        <v>83333.0</v>
      </c>
      <c r="BA73" s="409">
        <f>ROUND(INDEX(販管費予算!$E$29:$I$29,MATCH(BA$3,販管費予算!$E$4:$I$4,0))/12,0)+IF(COUNTIF($AB$3:BA$3,BA$3)=12,INDEX(販管費予算!$E$29:$I$29,MATCH(BA$3,販管費予算!$E$4:$I$4,0))-12*ROUND(INDEX(販管費予算!$E$29:$I$29,MATCH(BA$3,販管費予算!$E$4:$I$4,0))/12,0),0)</f>
        <v>83333.0</v>
      </c>
      <c r="BB73" s="409">
        <f>ROUND(INDEX(販管費予算!$E$29:$I$29,MATCH(BB$3,販管費予算!$E$4:$I$4,0))/12,0)+IF(COUNTIF($AB$3:BB$3,BB$3)=12,INDEX(販管費予算!$E$29:$I$29,MATCH(BB$3,販管費予算!$E$4:$I$4,0))-12*ROUND(INDEX(販管費予算!$E$29:$I$29,MATCH(BB$3,販管費予算!$E$4:$I$4,0))/12,0),0)</f>
        <v>83333.0</v>
      </c>
      <c r="BC73" s="409">
        <f>ROUND(INDEX(販管費予算!$E$29:$I$29,MATCH(BC$3,販管費予算!$E$4:$I$4,0))/12,0)+IF(COUNTIF($AB$3:BC$3,BC$3)=12,INDEX(販管費予算!$E$29:$I$29,MATCH(BC$3,販管費予算!$E$4:$I$4,0))-12*ROUND(INDEX(販管費予算!$E$29:$I$29,MATCH(BC$3,販管費予算!$E$4:$I$4,0))/12,0),0)</f>
        <v>83333.0</v>
      </c>
      <c r="BD73" s="409">
        <f>ROUND(INDEX(販管費予算!$E$29:$I$29,MATCH(BD$3,販管費予算!$E$4:$I$4,0))/12,0)+IF(COUNTIF($AB$3:BD$3,BD$3)=12,INDEX(販管費予算!$E$29:$I$29,MATCH(BD$3,販管費予算!$E$4:$I$4,0))-12*ROUND(INDEX(販管費予算!$E$29:$I$29,MATCH(BD$3,販管費予算!$E$4:$I$4,0))/12,0),0)</f>
        <v>83333.0</v>
      </c>
      <c r="BE73" s="409">
        <f>ROUND(INDEX(販管費予算!$E$29:$I$29,MATCH(BE$3,販管費予算!$E$4:$I$4,0))/12,0)+IF(COUNTIF($AB$3:BE$3,BE$3)=12,INDEX(販管費予算!$E$29:$I$29,MATCH(BE$3,販管費予算!$E$4:$I$4,0))-12*ROUND(INDEX(販管費予算!$E$29:$I$29,MATCH(BE$3,販管費予算!$E$4:$I$4,0))/12,0),0)</f>
        <v>83333.0</v>
      </c>
      <c r="BF73" s="409">
        <f>ROUND(INDEX(販管費予算!$E$29:$I$29,MATCH(BF$3,販管費予算!$E$4:$I$4,0))/12,0)+IF(COUNTIF($AB$3:BF$3,BF$3)=12,INDEX(販管費予算!$E$29:$I$29,MATCH(BF$3,販管費予算!$E$4:$I$4,0))-12*ROUND(INDEX(販管費予算!$E$29:$I$29,MATCH(BF$3,販管費予算!$E$4:$I$4,0))/12,0),0)</f>
        <v>83333.0</v>
      </c>
      <c r="BG73" s="409">
        <f>ROUND(INDEX(販管費予算!$E$29:$I$29,MATCH(BG$3,販管費予算!$E$4:$I$4,0))/12,0)+IF(COUNTIF($AB$3:BG$3,BG$3)=12,INDEX(販管費予算!$E$29:$I$29,MATCH(BG$3,販管費予算!$E$4:$I$4,0))-12*ROUND(INDEX(販管費予算!$E$29:$I$29,MATCH(BG$3,販管費予算!$E$4:$I$4,0))/12,0),0)</f>
        <v>83333.0</v>
      </c>
      <c r="BH73" s="409">
        <f>ROUND(INDEX(販管費予算!$E$29:$I$29,MATCH(BH$3,販管費予算!$E$4:$I$4,0))/12,0)+IF(COUNTIF($AB$3:BH$3,BH$3)=12,INDEX(販管費予算!$E$29:$I$29,MATCH(BH$3,販管費予算!$E$4:$I$4,0))-12*ROUND(INDEX(販管費予算!$E$29:$I$29,MATCH(BH$3,販管費予算!$E$4:$I$4,0))/12,0),0)</f>
        <v>83333.0</v>
      </c>
      <c r="BI73" s="409">
        <f>ROUND(INDEX(販管費予算!$E$29:$I$29,MATCH(BI$3,販管費予算!$E$4:$I$4,0))/12,0)+IF(COUNTIF($AB$3:BI$3,BI$3)=12,INDEX(販管費予算!$E$29:$I$29,MATCH(BI$3,販管費予算!$E$4:$I$4,0))-12*ROUND(INDEX(販管費予算!$E$29:$I$29,MATCH(BI$3,販管費予算!$E$4:$I$4,0))/12,0),0)</f>
        <v>83333.0</v>
      </c>
      <c r="BJ73" s="409">
        <f>ROUND(INDEX(販管費予算!$E$29:$I$29,MATCH(BJ$3,販管費予算!$E$4:$I$4,0))/12,0)+IF(COUNTIF($AB$3:BJ$3,BJ$3)=12,INDEX(販管費予算!$E$29:$I$29,MATCH(BJ$3,販管費予算!$E$4:$I$4,0))-12*ROUND(INDEX(販管費予算!$E$29:$I$29,MATCH(BJ$3,販管費予算!$E$4:$I$4,0))/12,0),0)</f>
        <v>83333.0</v>
      </c>
      <c r="BK73" s="412">
        <f>ROUND(INDEX(販管費予算!$E$29:$I$29,MATCH(BK$3,販管費予算!$E$4:$I$4,0))/12,0)+IF(COUNTIF($AB$3:BK$3,BK$3)=12,INDEX(販管費予算!$E$29:$I$29,MATCH(BK$3,販管費予算!$E$4:$I$4,0))-12*ROUND(INDEX(販管費予算!$E$29:$I$29,MATCH(BK$3,販管費予算!$E$4:$I$4,0))/12,0),0)</f>
        <v>83337.0</v>
      </c>
      <c r="BL73" s="408">
        <f>ROUND(INDEX(販管費予算!$E$29:$I$29,MATCH(BL$3,販管費予算!$E$4:$I$4,0))/12,0)+IF(COUNTIF($AB$3:BL$3,BL$3)=12,INDEX(販管費予算!$E$29:$I$29,MATCH(BL$3,販管費予算!$E$4:$I$4,0))-12*ROUND(INDEX(販管費予算!$E$29:$I$29,MATCH(BL$3,販管費予算!$E$4:$I$4,0))/12,0),0)</f>
        <v>166667.0</v>
      </c>
      <c r="BM73" s="409">
        <f>ROUND(INDEX(販管費予算!$E$29:$I$29,MATCH(BM$3,販管費予算!$E$4:$I$4,0))/12,0)+IF(COUNTIF($AB$3:BM$3,BM$3)=12,INDEX(販管費予算!$E$29:$I$29,MATCH(BM$3,販管費予算!$E$4:$I$4,0))-12*ROUND(INDEX(販管費予算!$E$29:$I$29,MATCH(BM$3,販管費予算!$E$4:$I$4,0))/12,0),0)</f>
        <v>166667.0</v>
      </c>
      <c r="BN73" s="409">
        <f>ROUND(INDEX(販管費予算!$E$29:$I$29,MATCH(BN$3,販管費予算!$E$4:$I$4,0))/12,0)+IF(COUNTIF($AB$3:BN$3,BN$3)=12,INDEX(販管費予算!$E$29:$I$29,MATCH(BN$3,販管費予算!$E$4:$I$4,0))-12*ROUND(INDEX(販管費予算!$E$29:$I$29,MATCH(BN$3,販管費予算!$E$4:$I$4,0))/12,0),0)</f>
        <v>166667.0</v>
      </c>
      <c r="BO73" s="409">
        <f>ROUND(INDEX(販管費予算!$E$29:$I$29,MATCH(BO$3,販管費予算!$E$4:$I$4,0))/12,0)+IF(COUNTIF($AB$3:BO$3,BO$3)=12,INDEX(販管費予算!$E$29:$I$29,MATCH(BO$3,販管費予算!$E$4:$I$4,0))-12*ROUND(INDEX(販管費予算!$E$29:$I$29,MATCH(BO$3,販管費予算!$E$4:$I$4,0))/12,0),0)</f>
        <v>166667.0</v>
      </c>
      <c r="BP73" s="409">
        <f>ROUND(INDEX(販管費予算!$E$29:$I$29,MATCH(BP$3,販管費予算!$E$4:$I$4,0))/12,0)+IF(COUNTIF($AB$3:BP$3,BP$3)=12,INDEX(販管費予算!$E$29:$I$29,MATCH(BP$3,販管費予算!$E$4:$I$4,0))-12*ROUND(INDEX(販管費予算!$E$29:$I$29,MATCH(BP$3,販管費予算!$E$4:$I$4,0))/12,0),0)</f>
        <v>166667.0</v>
      </c>
      <c r="BQ73" s="409">
        <f>ROUND(INDEX(販管費予算!$E$29:$I$29,MATCH(BQ$3,販管費予算!$E$4:$I$4,0))/12,0)+IF(COUNTIF($AB$3:BQ$3,BQ$3)=12,INDEX(販管費予算!$E$29:$I$29,MATCH(BQ$3,販管費予算!$E$4:$I$4,0))-12*ROUND(INDEX(販管費予算!$E$29:$I$29,MATCH(BQ$3,販管費予算!$E$4:$I$4,0))/12,0),0)</f>
        <v>166667.0</v>
      </c>
      <c r="BR73" s="409">
        <f>ROUND(INDEX(販管費予算!$E$29:$I$29,MATCH(BR$3,販管費予算!$E$4:$I$4,0))/12,0)+IF(COUNTIF($AB$3:BR$3,BR$3)=12,INDEX(販管費予算!$E$29:$I$29,MATCH(BR$3,販管費予算!$E$4:$I$4,0))-12*ROUND(INDEX(販管費予算!$E$29:$I$29,MATCH(BR$3,販管費予算!$E$4:$I$4,0))/12,0),0)</f>
        <v>166667.0</v>
      </c>
      <c r="BS73" s="409">
        <f>ROUND(INDEX(販管費予算!$E$29:$I$29,MATCH(BS$3,販管費予算!$E$4:$I$4,0))/12,0)+IF(COUNTIF($AB$3:BS$3,BS$3)=12,INDEX(販管費予算!$E$29:$I$29,MATCH(BS$3,販管費予算!$E$4:$I$4,0))-12*ROUND(INDEX(販管費予算!$E$29:$I$29,MATCH(BS$3,販管費予算!$E$4:$I$4,0))/12,0),0)</f>
        <v>166667.0</v>
      </c>
      <c r="BT73" s="409">
        <f>ROUND(INDEX(販管費予算!$E$29:$I$29,MATCH(BT$3,販管費予算!$E$4:$I$4,0))/12,0)+IF(COUNTIF($AB$3:BT$3,BT$3)=12,INDEX(販管費予算!$E$29:$I$29,MATCH(BT$3,販管費予算!$E$4:$I$4,0))-12*ROUND(INDEX(販管費予算!$E$29:$I$29,MATCH(BT$3,販管費予算!$E$4:$I$4,0))/12,0),0)</f>
        <v>166667.0</v>
      </c>
      <c r="BU73" s="409">
        <f>ROUND(INDEX(販管費予算!$E$29:$I$29,MATCH(BU$3,販管費予算!$E$4:$I$4,0))/12,0)+IF(COUNTIF($AB$3:BU$3,BU$3)=12,INDEX(販管費予算!$E$29:$I$29,MATCH(BU$3,販管費予算!$E$4:$I$4,0))-12*ROUND(INDEX(販管費予算!$E$29:$I$29,MATCH(BU$3,販管費予算!$E$4:$I$4,0))/12,0),0)</f>
        <v>166667.0</v>
      </c>
      <c r="BV73" s="409">
        <f>ROUND(INDEX(販管費予算!$E$29:$I$29,MATCH(BV$3,販管費予算!$E$4:$I$4,0))/12,0)+IF(COUNTIF($AB$3:BV$3,BV$3)=12,INDEX(販管費予算!$E$29:$I$29,MATCH(BV$3,販管費予算!$E$4:$I$4,0))-12*ROUND(INDEX(販管費予算!$E$29:$I$29,MATCH(BV$3,販管費予算!$E$4:$I$4,0))/12,0),0)</f>
        <v>166667.0</v>
      </c>
      <c r="BW73" s="412">
        <f>ROUND(INDEX(販管費予算!$E$29:$I$29,MATCH(BW$3,販管費予算!$E$4:$I$4,0))/12,0)+IF(COUNTIF($AB$3:BW$3,BW$3)=12,INDEX(販管費予算!$E$29:$I$29,MATCH(BW$3,販管費予算!$E$4:$I$4,0))-12*ROUND(INDEX(販管費予算!$E$29:$I$29,MATCH(BW$3,販管費予算!$E$4:$I$4,0))/12,0),0)</f>
        <v>166663.0</v>
      </c>
      <c r="BX73" s="408">
        <f>ROUND(INDEX(販管費予算!$E$29:$I$29,MATCH(BX$3,販管費予算!$E$4:$I$4,0))/12,0)+IF(COUNTIF($AB$3:BX$3,BX$3)=12,INDEX(販管費予算!$E$29:$I$29,MATCH(BX$3,販管費予算!$E$4:$I$4,0))-12*ROUND(INDEX(販管費予算!$E$29:$I$29,MATCH(BX$3,販管費予算!$E$4:$I$4,0))/12,0),0)</f>
        <v>333333.0</v>
      </c>
      <c r="BY73" s="409">
        <f>ROUND(INDEX(販管費予算!$E$29:$I$29,MATCH(BY$3,販管費予算!$E$4:$I$4,0))/12,0)+IF(COUNTIF($AB$3:BY$3,BY$3)=12,INDEX(販管費予算!$E$29:$I$29,MATCH(BY$3,販管費予算!$E$4:$I$4,0))-12*ROUND(INDEX(販管費予算!$E$29:$I$29,MATCH(BY$3,販管費予算!$E$4:$I$4,0))/12,0),0)</f>
        <v>333333.0</v>
      </c>
      <c r="BZ73" s="409">
        <f>ROUND(INDEX(販管費予算!$E$29:$I$29,MATCH(BZ$3,販管費予算!$E$4:$I$4,0))/12,0)+IF(COUNTIF($AB$3:BZ$3,BZ$3)=12,INDEX(販管費予算!$E$29:$I$29,MATCH(BZ$3,販管費予算!$E$4:$I$4,0))-12*ROUND(INDEX(販管費予算!$E$29:$I$29,MATCH(BZ$3,販管費予算!$E$4:$I$4,0))/12,0),0)</f>
        <v>333333.0</v>
      </c>
      <c r="CA73" s="409">
        <f>ROUND(INDEX(販管費予算!$E$29:$I$29,MATCH(CA$3,販管費予算!$E$4:$I$4,0))/12,0)+IF(COUNTIF($AB$3:CA$3,CA$3)=12,INDEX(販管費予算!$E$29:$I$29,MATCH(CA$3,販管費予算!$E$4:$I$4,0))-12*ROUND(INDEX(販管費予算!$E$29:$I$29,MATCH(CA$3,販管費予算!$E$4:$I$4,0))/12,0),0)</f>
        <v>333333.0</v>
      </c>
      <c r="CB73" s="409">
        <f>ROUND(INDEX(販管費予算!$E$29:$I$29,MATCH(CB$3,販管費予算!$E$4:$I$4,0))/12,0)+IF(COUNTIF($AB$3:CB$3,CB$3)=12,INDEX(販管費予算!$E$29:$I$29,MATCH(CB$3,販管費予算!$E$4:$I$4,0))-12*ROUND(INDEX(販管費予算!$E$29:$I$29,MATCH(CB$3,販管費予算!$E$4:$I$4,0))/12,0),0)</f>
        <v>333333.0</v>
      </c>
      <c r="CC73" s="409">
        <f>ROUND(INDEX(販管費予算!$E$29:$I$29,MATCH(CC$3,販管費予算!$E$4:$I$4,0))/12,0)+IF(COUNTIF($AB$3:CC$3,CC$3)=12,INDEX(販管費予算!$E$29:$I$29,MATCH(CC$3,販管費予算!$E$4:$I$4,0))-12*ROUND(INDEX(販管費予算!$E$29:$I$29,MATCH(CC$3,販管費予算!$E$4:$I$4,0))/12,0),0)</f>
        <v>333333.0</v>
      </c>
      <c r="CD73" s="409">
        <f>ROUND(INDEX(販管費予算!$E$29:$I$29,MATCH(CD$3,販管費予算!$E$4:$I$4,0))/12,0)+IF(COUNTIF($AB$3:CD$3,CD$3)=12,INDEX(販管費予算!$E$29:$I$29,MATCH(CD$3,販管費予算!$E$4:$I$4,0))-12*ROUND(INDEX(販管費予算!$E$29:$I$29,MATCH(CD$3,販管費予算!$E$4:$I$4,0))/12,0),0)</f>
        <v>333333.0</v>
      </c>
      <c r="CE73" s="409">
        <f>ROUND(INDEX(販管費予算!$E$29:$I$29,MATCH(CE$3,販管費予算!$E$4:$I$4,0))/12,0)+IF(COUNTIF($AB$3:CE$3,CE$3)=12,INDEX(販管費予算!$E$29:$I$29,MATCH(CE$3,販管費予算!$E$4:$I$4,0))-12*ROUND(INDEX(販管費予算!$E$29:$I$29,MATCH(CE$3,販管費予算!$E$4:$I$4,0))/12,0),0)</f>
        <v>333333.0</v>
      </c>
      <c r="CF73" s="409">
        <f>ROUND(INDEX(販管費予算!$E$29:$I$29,MATCH(CF$3,販管費予算!$E$4:$I$4,0))/12,0)+IF(COUNTIF($AB$3:CF$3,CF$3)=12,INDEX(販管費予算!$E$29:$I$29,MATCH(CF$3,販管費予算!$E$4:$I$4,0))-12*ROUND(INDEX(販管費予算!$E$29:$I$29,MATCH(CF$3,販管費予算!$E$4:$I$4,0))/12,0),0)</f>
        <v>333333.0</v>
      </c>
      <c r="CG73" s="409">
        <f>ROUND(INDEX(販管費予算!$E$29:$I$29,MATCH(CG$3,販管費予算!$E$4:$I$4,0))/12,0)+IF(COUNTIF($AB$3:CG$3,CG$3)=12,INDEX(販管費予算!$E$29:$I$29,MATCH(CG$3,販管費予算!$E$4:$I$4,0))-12*ROUND(INDEX(販管費予算!$E$29:$I$29,MATCH(CG$3,販管費予算!$E$4:$I$4,0))/12,0),0)</f>
        <v>333333.0</v>
      </c>
      <c r="CH73" s="409">
        <f>ROUND(INDEX(販管費予算!$E$29:$I$29,MATCH(CH$3,販管費予算!$E$4:$I$4,0))/12,0)+IF(COUNTIF($AB$3:CH$3,CH$3)=12,INDEX(販管費予算!$E$29:$I$29,MATCH(CH$3,販管費予算!$E$4:$I$4,0))-12*ROUND(INDEX(販管費予算!$E$29:$I$29,MATCH(CH$3,販管費予算!$E$4:$I$4,0))/12,0),0)</f>
        <v>333333.0</v>
      </c>
      <c r="CI73" s="412">
        <f>ROUND(INDEX(販管費予算!$E$29:$I$29,MATCH(CI$3,販管費予算!$E$4:$I$4,0))/12,0)+IF(COUNTIF($AB$3:CI$3,CI$3)=12,INDEX(販管費予算!$E$29:$I$29,MATCH(CI$3,販管費予算!$E$4:$I$4,0))-12*ROUND(INDEX(販管費予算!$E$29:$I$29,MATCH(CI$3,販管費予算!$E$4:$I$4,0))/12,0),0)</f>
        <v>333337.0</v>
      </c>
    </row>
    <row r="74" ht="18" customHeight="1" s="145">
      <c r="A74" s="233" t="n"/>
      <c r="B74" s="233" t="n"/>
      <c r="C74" s="233" t="inlineStr">
        <is>
          <t>プロダクト</t>
        </is>
      </c>
      <c r="D74" s="234" t="n"/>
      <c r="E74" s="408">
        <f>SUMIF($AB$3:$CI$3,E$4,$AB74:$CI74)</f>
        <v>0.0</v>
      </c>
      <c r="F74" s="409">
        <f>SUMIF($AB$3:$CI$3,F$4,$AB74:$CI74)</f>
        <v>0.0</v>
      </c>
      <c r="G74" s="409">
        <f>SUMIF($AB$3:$CI$3,G$4,$AB74:$CI74)</f>
        <v>0.0</v>
      </c>
      <c r="H74" s="409">
        <f>SUMIF($AB$3:$CI$3,H$4,$AB74:$CI74)</f>
        <v>0.0</v>
      </c>
      <c r="I74" s="409">
        <f>SUMIF($AB$3:$CI$3,I$4,$AB74:$CI74)</f>
        <v>0.0</v>
      </c>
      <c r="J74" s="407">
        <f>SUM(E74:I74)</f>
        <v>0.0</v>
      </c>
      <c r="K74" s="407" t="n"/>
      <c r="L74" s="407" t="n"/>
      <c r="M74" s="407" t="n"/>
      <c r="N74" s="407" t="n"/>
      <c r="O74" s="235" t="n"/>
      <c r="P74" s="408" t="n"/>
      <c r="Q74" s="409" t="n"/>
      <c r="R74" s="409" t="n"/>
      <c r="S74" s="409" t="n"/>
      <c r="T74" s="409" t="n"/>
      <c r="U74" s="409" t="n"/>
      <c r="V74" s="409" t="n"/>
      <c r="W74" s="409" t="n"/>
      <c r="X74" s="409" t="n"/>
      <c r="Y74" s="409" t="n"/>
      <c r="Z74" s="409" t="n"/>
      <c r="AA74" s="412" t="n"/>
      <c r="AB74" s="408" t="n"/>
      <c r="AC74" s="409" t="n"/>
      <c r="AD74" s="409" t="n"/>
      <c r="AE74" s="409" t="n"/>
      <c r="AF74" s="409" t="n"/>
      <c r="AG74" s="409" t="n"/>
      <c r="AH74" s="409" t="n"/>
      <c r="AI74" s="409" t="n"/>
      <c r="AJ74" s="409" t="n"/>
      <c r="AK74" s="409" t="n"/>
      <c r="AL74" s="409" t="n"/>
      <c r="AM74" s="412" t="n"/>
      <c r="AN74" s="408" t="n"/>
      <c r="AO74" s="409" t="n"/>
      <c r="AP74" s="409" t="n"/>
      <c r="AQ74" s="409" t="n"/>
      <c r="AR74" s="409" t="n"/>
      <c r="AS74" s="409" t="n"/>
      <c r="AT74" s="409" t="n"/>
      <c r="AU74" s="409" t="n"/>
      <c r="AV74" s="409" t="n"/>
      <c r="AW74" s="409" t="n"/>
      <c r="AX74" s="409" t="n"/>
      <c r="AY74" s="412" t="n"/>
      <c r="AZ74" s="408" t="n"/>
      <c r="BA74" s="409" t="n"/>
      <c r="BB74" s="409" t="n"/>
      <c r="BC74" s="409" t="n"/>
      <c r="BD74" s="409" t="n"/>
      <c r="BE74" s="409" t="n"/>
      <c r="BF74" s="409" t="n"/>
      <c r="BG74" s="409" t="n"/>
      <c r="BH74" s="409" t="n"/>
      <c r="BI74" s="409" t="n"/>
      <c r="BJ74" s="409" t="n"/>
      <c r="BK74" s="412" t="n"/>
      <c r="BL74" s="408" t="n"/>
      <c r="BM74" s="409" t="n"/>
      <c r="BN74" s="409" t="n"/>
      <c r="BO74" s="409" t="n"/>
      <c r="BP74" s="409" t="n"/>
      <c r="BQ74" s="409" t="n"/>
      <c r="BR74" s="409" t="n"/>
      <c r="BS74" s="409" t="n"/>
      <c r="BT74" s="409" t="n"/>
      <c r="BU74" s="409" t="n"/>
      <c r="BV74" s="409" t="n"/>
      <c r="BW74" s="412" t="n"/>
      <c r="BX74" s="408" t="n"/>
      <c r="BY74" s="409" t="n"/>
      <c r="BZ74" s="409" t="n"/>
      <c r="CA74" s="409" t="n"/>
      <c r="CB74" s="409" t="n"/>
      <c r="CC74" s="409" t="n"/>
      <c r="CD74" s="409" t="n"/>
      <c r="CE74" s="409" t="n"/>
      <c r="CF74" s="409" t="n"/>
      <c r="CG74" s="409" t="n"/>
      <c r="CH74" s="409" t="n"/>
      <c r="CI74" s="412" t="n"/>
    </row>
    <row r="75" ht="18" customHeight="1" s="145">
      <c r="A75" s="233" t="n"/>
      <c r="B75" s="325" t="inlineStr">
        <is>
          <t>研究開発費</t>
        </is>
      </c>
      <c r="C75" s="325" t="n"/>
      <c r="D75" s="326" t="n"/>
      <c r="E75" s="469">
        <f>SUMIF($AB$3:$CI$3,E$4,$AB75:$CI75)</f>
        <v>6000000.0</v>
      </c>
      <c r="F75" s="470">
        <f>SUMIF($AB$3:$CI$3,F$4,$AB75:$CI75)</f>
        <v>12000000.0</v>
      </c>
      <c r="G75" s="470">
        <f>SUMIF($AB$3:$CI$3,G$4,$AB75:$CI75)</f>
        <v>24000000.0</v>
      </c>
      <c r="H75" s="470">
        <f>SUMIF($AB$3:$CI$3,H$4,$AB75:$CI75)</f>
        <v>36000000.0</v>
      </c>
      <c r="I75" s="470">
        <f>SUMIF($AB$3:$CI$3,I$4,$AB75:$CI75)</f>
        <v>60000000.0</v>
      </c>
      <c r="J75" s="478">
        <f>SUM(E75:I75)</f>
        <v>138000000.0</v>
      </c>
      <c r="K75" s="478">
        <f>SUMIF($Q$3:$CN$3,K$4,$Q75:$CN75)</f>
        <v>0.0</v>
      </c>
      <c r="L75" s="478">
        <f>SUMIF($Q$3:$CN$3,L$4,$Q75:$CN75)</f>
        <v>0.0</v>
      </c>
      <c r="M75" s="478">
        <f>SUMIF($Q$3:$CN$3,M$4,$Q75:$CN75)</f>
        <v>0.0</v>
      </c>
      <c r="N75" s="478">
        <f>SUMIF($Q$3:$CN$3,N$4,$Q75:$CN75)</f>
        <v>0.0</v>
      </c>
      <c r="O75" s="316" t="n"/>
      <c r="P75" s="469" t="n"/>
      <c r="Q75" s="470" t="n"/>
      <c r="R75" s="470" t="n"/>
      <c r="S75" s="470" t="n"/>
      <c r="T75" s="470" t="n"/>
      <c r="U75" s="470" t="n"/>
      <c r="V75" s="470" t="n"/>
      <c r="W75" s="470" t="n"/>
      <c r="X75" s="470" t="n"/>
      <c r="Y75" s="470" t="n"/>
      <c r="Z75" s="470" t="n"/>
      <c r="AA75" s="471" t="n"/>
      <c r="AB75" s="479">
        <f>SUM(AB76:AB77)</f>
        <v>500000.0</v>
      </c>
      <c r="AC75" s="480">
        <f>SUM(AC76:AC77)</f>
        <v>500000.0</v>
      </c>
      <c r="AD75" s="480">
        <f>SUM(AD76:AD77)</f>
        <v>500000.0</v>
      </c>
      <c r="AE75" s="480">
        <f>SUM(AE76:AE77)</f>
        <v>500000.0</v>
      </c>
      <c r="AF75" s="480">
        <f>SUM(AF76:AF77)</f>
        <v>500000.0</v>
      </c>
      <c r="AG75" s="470">
        <f>SUM(AG76:AG77)</f>
        <v>500000.0</v>
      </c>
      <c r="AH75" s="470">
        <f>SUM(AH76:AH77)</f>
        <v>500000.0</v>
      </c>
      <c r="AI75" s="470">
        <f>SUM(AI76:AI77)</f>
        <v>500000.0</v>
      </c>
      <c r="AJ75" s="470">
        <f>SUM(AJ76:AJ77)</f>
        <v>500000.0</v>
      </c>
      <c r="AK75" s="470">
        <f>SUM(AK76:AK77)</f>
        <v>500000.0</v>
      </c>
      <c r="AL75" s="470">
        <f>SUM(AL76:AL77)</f>
        <v>500000.0</v>
      </c>
      <c r="AM75" s="471">
        <f>SUM(AM76:AM77)</f>
        <v>500000.0</v>
      </c>
      <c r="AN75" s="469">
        <f>SUM(AN76:AN77)</f>
        <v>1000000.0</v>
      </c>
      <c r="AO75" s="470">
        <f>SUM(AO76:AO77)</f>
        <v>1000000.0</v>
      </c>
      <c r="AP75" s="470">
        <f>SUM(AP76:AP77)</f>
        <v>1000000.0</v>
      </c>
      <c r="AQ75" s="470">
        <f>SUM(AQ76:AQ77)</f>
        <v>1000000.0</v>
      </c>
      <c r="AR75" s="470">
        <f>SUM(AR76:AR77)</f>
        <v>1000000.0</v>
      </c>
      <c r="AS75" s="470">
        <f>SUM(AS76:AS77)</f>
        <v>1000000.0</v>
      </c>
      <c r="AT75" s="470">
        <f>SUM(AT76:AT77)</f>
        <v>1000000.0</v>
      </c>
      <c r="AU75" s="470">
        <f>SUM(AU76:AU77)</f>
        <v>1000000.0</v>
      </c>
      <c r="AV75" s="470">
        <f>SUM(AV76:AV77)</f>
        <v>1000000.0</v>
      </c>
      <c r="AW75" s="470">
        <f>SUM(AW76:AW77)</f>
        <v>1000000.0</v>
      </c>
      <c r="AX75" s="470">
        <f>SUM(AX76:AX77)</f>
        <v>1000000.0</v>
      </c>
      <c r="AY75" s="471">
        <f>SUM(AY76:AY77)</f>
        <v>1000000.0</v>
      </c>
      <c r="AZ75" s="469">
        <f>SUM(AZ76:AZ77)</f>
        <v>2000000.0</v>
      </c>
      <c r="BA75" s="470">
        <f>SUM(BA76:BA77)</f>
        <v>2000000.0</v>
      </c>
      <c r="BB75" s="470">
        <f>SUM(BB76:BB77)</f>
        <v>2000000.0</v>
      </c>
      <c r="BC75" s="470">
        <f>SUM(BC76:BC77)</f>
        <v>2000000.0</v>
      </c>
      <c r="BD75" s="470">
        <f>SUM(BD76:BD77)</f>
        <v>2000000.0</v>
      </c>
      <c r="BE75" s="470">
        <f>SUM(BE76:BE77)</f>
        <v>2000000.0</v>
      </c>
      <c r="BF75" s="470">
        <f>SUM(BF76:BF77)</f>
        <v>2000000.0</v>
      </c>
      <c r="BG75" s="470">
        <f>SUM(BG76:BG77)</f>
        <v>2000000.0</v>
      </c>
      <c r="BH75" s="470">
        <f>SUM(BH76:BH77)</f>
        <v>2000000.0</v>
      </c>
      <c r="BI75" s="470">
        <f>SUM(BI76:BI77)</f>
        <v>2000000.0</v>
      </c>
      <c r="BJ75" s="470">
        <f>SUM(BJ76:BJ77)</f>
        <v>2000000.0</v>
      </c>
      <c r="BK75" s="471">
        <f>SUM(BK76:BK77)</f>
        <v>2000000.0</v>
      </c>
      <c r="BL75" s="469">
        <f>SUM(BL76:BL77)</f>
        <v>3000000.0</v>
      </c>
      <c r="BM75" s="470">
        <f>SUM(BM76:BM77)</f>
        <v>3000000.0</v>
      </c>
      <c r="BN75" s="470">
        <f>SUM(BN76:BN77)</f>
        <v>3000000.0</v>
      </c>
      <c r="BO75" s="470">
        <f>SUM(BO76:BO77)</f>
        <v>3000000.0</v>
      </c>
      <c r="BP75" s="470">
        <f>SUM(BP76:BP77)</f>
        <v>3000000.0</v>
      </c>
      <c r="BQ75" s="470">
        <f>SUM(BQ76:BQ77)</f>
        <v>3000000.0</v>
      </c>
      <c r="BR75" s="470">
        <f>SUM(BR76:BR77)</f>
        <v>3000000.0</v>
      </c>
      <c r="BS75" s="470">
        <f>SUM(BS76:BS77)</f>
        <v>3000000.0</v>
      </c>
      <c r="BT75" s="470">
        <f>SUM(BT76:BT77)</f>
        <v>3000000.0</v>
      </c>
      <c r="BU75" s="470">
        <f>SUM(BU76:BU77)</f>
        <v>3000000.0</v>
      </c>
      <c r="BV75" s="470">
        <f>SUM(BV76:BV77)</f>
        <v>3000000.0</v>
      </c>
      <c r="BW75" s="471">
        <f>SUM(BW76:BW77)</f>
        <v>3000000.0</v>
      </c>
      <c r="BX75" s="469">
        <f>SUM(BX76:BX77)</f>
        <v>5000000.0</v>
      </c>
      <c r="BY75" s="470">
        <f>SUM(BY76:BY77)</f>
        <v>5000000.0</v>
      </c>
      <c r="BZ75" s="470">
        <f>SUM(BZ76:BZ77)</f>
        <v>5000000.0</v>
      </c>
      <c r="CA75" s="470">
        <f>SUM(CA76:CA77)</f>
        <v>5000000.0</v>
      </c>
      <c r="CB75" s="470">
        <f>SUM(CB76:CB77)</f>
        <v>5000000.0</v>
      </c>
      <c r="CC75" s="470">
        <f>SUM(CC76:CC77)</f>
        <v>5000000.0</v>
      </c>
      <c r="CD75" s="470">
        <f>SUM(CD76:CD77)</f>
        <v>5000000.0</v>
      </c>
      <c r="CE75" s="470">
        <f>SUM(CE76:CE77)</f>
        <v>5000000.0</v>
      </c>
      <c r="CF75" s="470">
        <f>SUM(CF76:CF77)</f>
        <v>5000000.0</v>
      </c>
      <c r="CG75" s="470">
        <f>SUM(CG76:CG77)</f>
        <v>5000000.0</v>
      </c>
      <c r="CH75" s="470">
        <f>SUM(CH76:CH77)</f>
        <v>5000000.0</v>
      </c>
      <c r="CI75" s="471">
        <f>SUM(CI76:CI77)</f>
        <v>5000000.0</v>
      </c>
    </row>
    <row r="76" ht="18" customHeight="1" s="145">
      <c r="A76" s="233" t="n"/>
      <c r="B76" s="233" t="n"/>
      <c r="C76" s="233" t="inlineStr">
        <is>
          <t>全社</t>
        </is>
      </c>
      <c r="D76" s="234" t="n"/>
      <c r="E76" s="408">
        <f>SUMIF($AB$3:$CI$3,E$4,$AB76:$CI76)</f>
        <v>6000000.0</v>
      </c>
      <c r="F76" s="409">
        <f>SUMIF($AB$3:$CI$3,F$4,$AB76:$CI76)</f>
        <v>12000000.0</v>
      </c>
      <c r="G76" s="409">
        <f>SUMIF($AB$3:$CI$3,G$4,$AB76:$CI76)</f>
        <v>24000000.0</v>
      </c>
      <c r="H76" s="409">
        <f>SUMIF($AB$3:$CI$3,H$4,$AB76:$CI76)</f>
        <v>36000000.0</v>
      </c>
      <c r="I76" s="409">
        <f>SUMIF($AB$3:$CI$3,I$4,$AB76:$CI76)</f>
        <v>60000000.0</v>
      </c>
      <c r="J76" s="407">
        <f>SUM(E76:I76)</f>
        <v>138000000.0</v>
      </c>
      <c r="K76" s="407">
        <f>SUMIF($Q$3:$CN$3,K$4,$Q76:$CN76)</f>
        <v>0.0</v>
      </c>
      <c r="L76" s="407">
        <f>SUMIF($Q$3:$CN$3,L$4,$Q76:$CN76)</f>
        <v>0.0</v>
      </c>
      <c r="M76" s="407">
        <f>SUMIF($Q$3:$CN$3,M$4,$Q76:$CN76)</f>
        <v>0.0</v>
      </c>
      <c r="N76" s="407">
        <f>SUMIF($Q$3:$CN$3,N$4,$Q76:$CN76)</f>
        <v>0.0</v>
      </c>
      <c r="O76" s="235" t="n"/>
      <c r="P76" s="408" t="n"/>
      <c r="Q76" s="409" t="n"/>
      <c r="R76" s="409" t="n"/>
      <c r="S76" s="409" t="n"/>
      <c r="T76" s="409" t="n"/>
      <c r="U76" s="409" t="n"/>
      <c r="V76" s="409" t="n"/>
      <c r="W76" s="409" t="n"/>
      <c r="X76" s="409" t="n"/>
      <c r="Y76" s="409" t="n"/>
      <c r="Z76" s="409" t="n"/>
      <c r="AA76" s="412" t="n"/>
      <c r="AB76" s="408">
        <f>ROUND(INDEX(販管費予算!$E$30:$I$30,MATCH(AB$3,販管費予算!$E$4:$I$4,0))/12,0)+IF(COUNTIF($AB$3:AB$3,AB$3)=12,INDEX(販管費予算!$E$30:$I$30,MATCH(AB$3,販管費予算!$E$4:$I$4,0))-12*ROUND(INDEX(販管費予算!$E$30:$I$30,MATCH(AB$3,販管費予算!$E$4:$I$4,0))/12,0),0)</f>
        <v>500000.0</v>
      </c>
      <c r="AC76" s="409">
        <f>ROUND(INDEX(販管費予算!$E$30:$I$30,MATCH(AC$3,販管費予算!$E$4:$I$4,0))/12,0)+IF(COUNTIF($AB$3:AC$3,AC$3)=12,INDEX(販管費予算!$E$30:$I$30,MATCH(AC$3,販管費予算!$E$4:$I$4,0))-12*ROUND(INDEX(販管費予算!$E$30:$I$30,MATCH(AC$3,販管費予算!$E$4:$I$4,0))/12,0),0)</f>
        <v>500000.0</v>
      </c>
      <c r="AD76" s="409">
        <f>ROUND(INDEX(販管費予算!$E$30:$I$30,MATCH(AD$3,販管費予算!$E$4:$I$4,0))/12,0)+IF(COUNTIF($AB$3:AD$3,AD$3)=12,INDEX(販管費予算!$E$30:$I$30,MATCH(AD$3,販管費予算!$E$4:$I$4,0))-12*ROUND(INDEX(販管費予算!$E$30:$I$30,MATCH(AD$3,販管費予算!$E$4:$I$4,0))/12,0),0)</f>
        <v>500000.0</v>
      </c>
      <c r="AE76" s="409">
        <f>ROUND(INDEX(販管費予算!$E$30:$I$30,MATCH(AE$3,販管費予算!$E$4:$I$4,0))/12,0)+IF(COUNTIF($AB$3:AE$3,AE$3)=12,INDEX(販管費予算!$E$30:$I$30,MATCH(AE$3,販管費予算!$E$4:$I$4,0))-12*ROUND(INDEX(販管費予算!$E$30:$I$30,MATCH(AE$3,販管費予算!$E$4:$I$4,0))/12,0),0)</f>
        <v>500000.0</v>
      </c>
      <c r="AF76" s="409">
        <f>ROUND(INDEX(販管費予算!$E$30:$I$30,MATCH(AF$3,販管費予算!$E$4:$I$4,0))/12,0)+IF(COUNTIF($AB$3:AF$3,AF$3)=12,INDEX(販管費予算!$E$30:$I$30,MATCH(AF$3,販管費予算!$E$4:$I$4,0))-12*ROUND(INDEX(販管費予算!$E$30:$I$30,MATCH(AF$3,販管費予算!$E$4:$I$4,0))/12,0),0)</f>
        <v>500000.0</v>
      </c>
      <c r="AG76" s="409">
        <f>ROUND(INDEX(販管費予算!$E$30:$I$30,MATCH(AG$3,販管費予算!$E$4:$I$4,0))/12,0)+IF(COUNTIF($AB$3:AG$3,AG$3)=12,INDEX(販管費予算!$E$30:$I$30,MATCH(AG$3,販管費予算!$E$4:$I$4,0))-12*ROUND(INDEX(販管費予算!$E$30:$I$30,MATCH(AG$3,販管費予算!$E$4:$I$4,0))/12,0),0)</f>
        <v>500000.0</v>
      </c>
      <c r="AH76" s="409">
        <f>ROUND(INDEX(販管費予算!$E$30:$I$30,MATCH(AH$3,販管費予算!$E$4:$I$4,0))/12,0)+IF(COUNTIF($AB$3:AH$3,AH$3)=12,INDEX(販管費予算!$E$30:$I$30,MATCH(AH$3,販管費予算!$E$4:$I$4,0))-12*ROUND(INDEX(販管費予算!$E$30:$I$30,MATCH(AH$3,販管費予算!$E$4:$I$4,0))/12,0),0)</f>
        <v>500000.0</v>
      </c>
      <c r="AI76" s="409">
        <f>ROUND(INDEX(販管費予算!$E$30:$I$30,MATCH(AI$3,販管費予算!$E$4:$I$4,0))/12,0)+IF(COUNTIF($AB$3:AI$3,AI$3)=12,INDEX(販管費予算!$E$30:$I$30,MATCH(AI$3,販管費予算!$E$4:$I$4,0))-12*ROUND(INDEX(販管費予算!$E$30:$I$30,MATCH(AI$3,販管費予算!$E$4:$I$4,0))/12,0),0)</f>
        <v>500000.0</v>
      </c>
      <c r="AJ76" s="409">
        <f>ROUND(INDEX(販管費予算!$E$30:$I$30,MATCH(AJ$3,販管費予算!$E$4:$I$4,0))/12,0)+IF(COUNTIF($AB$3:AJ$3,AJ$3)=12,INDEX(販管費予算!$E$30:$I$30,MATCH(AJ$3,販管費予算!$E$4:$I$4,0))-12*ROUND(INDEX(販管費予算!$E$30:$I$30,MATCH(AJ$3,販管費予算!$E$4:$I$4,0))/12,0),0)</f>
        <v>500000.0</v>
      </c>
      <c r="AK76" s="409">
        <f>ROUND(INDEX(販管費予算!$E$30:$I$30,MATCH(AK$3,販管費予算!$E$4:$I$4,0))/12,0)+IF(COUNTIF($AB$3:AK$3,AK$3)=12,INDEX(販管費予算!$E$30:$I$30,MATCH(AK$3,販管費予算!$E$4:$I$4,0))-12*ROUND(INDEX(販管費予算!$E$30:$I$30,MATCH(AK$3,販管費予算!$E$4:$I$4,0))/12,0),0)</f>
        <v>500000.0</v>
      </c>
      <c r="AL76" s="409">
        <f>ROUND(INDEX(販管費予算!$E$30:$I$30,MATCH(AL$3,販管費予算!$E$4:$I$4,0))/12,0)+IF(COUNTIF($AB$3:AL$3,AL$3)=12,INDEX(販管費予算!$E$30:$I$30,MATCH(AL$3,販管費予算!$E$4:$I$4,0))-12*ROUND(INDEX(販管費予算!$E$30:$I$30,MATCH(AL$3,販管費予算!$E$4:$I$4,0))/12,0),0)</f>
        <v>500000.0</v>
      </c>
      <c r="AM76" s="412">
        <f>ROUND(INDEX(販管費予算!$E$30:$I$30,MATCH(AM$3,販管費予算!$E$4:$I$4,0))/12,0)+IF(COUNTIF($AB$3:AM$3,AM$3)=12,INDEX(販管費予算!$E$30:$I$30,MATCH(AM$3,販管費予算!$E$4:$I$4,0))-12*ROUND(INDEX(販管費予算!$E$30:$I$30,MATCH(AM$3,販管費予算!$E$4:$I$4,0))/12,0),0)</f>
        <v>500000.0</v>
      </c>
      <c r="AN76" s="408">
        <f>ROUND(INDEX(販管費予算!$E$30:$I$30,MATCH(AN$3,販管費予算!$E$4:$I$4,0))/12,0)+IF(COUNTIF($AB$3:AN$3,AN$3)=12,INDEX(販管費予算!$E$30:$I$30,MATCH(AN$3,販管費予算!$E$4:$I$4,0))-12*ROUND(INDEX(販管費予算!$E$30:$I$30,MATCH(AN$3,販管費予算!$E$4:$I$4,0))/12,0),0)</f>
        <v>1000000.0</v>
      </c>
      <c r="AO76" s="409">
        <f>ROUND(INDEX(販管費予算!$E$30:$I$30,MATCH(AO$3,販管費予算!$E$4:$I$4,0))/12,0)+IF(COUNTIF($AB$3:AO$3,AO$3)=12,INDEX(販管費予算!$E$30:$I$30,MATCH(AO$3,販管費予算!$E$4:$I$4,0))-12*ROUND(INDEX(販管費予算!$E$30:$I$30,MATCH(AO$3,販管費予算!$E$4:$I$4,0))/12,0),0)</f>
        <v>1000000.0</v>
      </c>
      <c r="AP76" s="409">
        <f>ROUND(INDEX(販管費予算!$E$30:$I$30,MATCH(AP$3,販管費予算!$E$4:$I$4,0))/12,0)+IF(COUNTIF($AB$3:AP$3,AP$3)=12,INDEX(販管費予算!$E$30:$I$30,MATCH(AP$3,販管費予算!$E$4:$I$4,0))-12*ROUND(INDEX(販管費予算!$E$30:$I$30,MATCH(AP$3,販管費予算!$E$4:$I$4,0))/12,0),0)</f>
        <v>1000000.0</v>
      </c>
      <c r="AQ76" s="409">
        <f>ROUND(INDEX(販管費予算!$E$30:$I$30,MATCH(AQ$3,販管費予算!$E$4:$I$4,0))/12,0)+IF(COUNTIF($AB$3:AQ$3,AQ$3)=12,INDEX(販管費予算!$E$30:$I$30,MATCH(AQ$3,販管費予算!$E$4:$I$4,0))-12*ROUND(INDEX(販管費予算!$E$30:$I$30,MATCH(AQ$3,販管費予算!$E$4:$I$4,0))/12,0),0)</f>
        <v>1000000.0</v>
      </c>
      <c r="AR76" s="409">
        <f>ROUND(INDEX(販管費予算!$E$30:$I$30,MATCH(AR$3,販管費予算!$E$4:$I$4,0))/12,0)+IF(COUNTIF($AB$3:AR$3,AR$3)=12,INDEX(販管費予算!$E$30:$I$30,MATCH(AR$3,販管費予算!$E$4:$I$4,0))-12*ROUND(INDEX(販管費予算!$E$30:$I$30,MATCH(AR$3,販管費予算!$E$4:$I$4,0))/12,0),0)</f>
        <v>1000000.0</v>
      </c>
      <c r="AS76" s="409">
        <f>ROUND(INDEX(販管費予算!$E$30:$I$30,MATCH(AS$3,販管費予算!$E$4:$I$4,0))/12,0)+IF(COUNTIF($AB$3:AS$3,AS$3)=12,INDEX(販管費予算!$E$30:$I$30,MATCH(AS$3,販管費予算!$E$4:$I$4,0))-12*ROUND(INDEX(販管費予算!$E$30:$I$30,MATCH(AS$3,販管費予算!$E$4:$I$4,0))/12,0),0)</f>
        <v>1000000.0</v>
      </c>
      <c r="AT76" s="409">
        <f>ROUND(INDEX(販管費予算!$E$30:$I$30,MATCH(AT$3,販管費予算!$E$4:$I$4,0))/12,0)+IF(COUNTIF($AB$3:AT$3,AT$3)=12,INDEX(販管費予算!$E$30:$I$30,MATCH(AT$3,販管費予算!$E$4:$I$4,0))-12*ROUND(INDEX(販管費予算!$E$30:$I$30,MATCH(AT$3,販管費予算!$E$4:$I$4,0))/12,0),0)</f>
        <v>1000000.0</v>
      </c>
      <c r="AU76" s="409">
        <f>ROUND(INDEX(販管費予算!$E$30:$I$30,MATCH(AU$3,販管費予算!$E$4:$I$4,0))/12,0)+IF(COUNTIF($AB$3:AU$3,AU$3)=12,INDEX(販管費予算!$E$30:$I$30,MATCH(AU$3,販管費予算!$E$4:$I$4,0))-12*ROUND(INDEX(販管費予算!$E$30:$I$30,MATCH(AU$3,販管費予算!$E$4:$I$4,0))/12,0),0)</f>
        <v>1000000.0</v>
      </c>
      <c r="AV76" s="409">
        <f>ROUND(INDEX(販管費予算!$E$30:$I$30,MATCH(AV$3,販管費予算!$E$4:$I$4,0))/12,0)+IF(COUNTIF($AB$3:AV$3,AV$3)=12,INDEX(販管費予算!$E$30:$I$30,MATCH(AV$3,販管費予算!$E$4:$I$4,0))-12*ROUND(INDEX(販管費予算!$E$30:$I$30,MATCH(AV$3,販管費予算!$E$4:$I$4,0))/12,0),0)</f>
        <v>1000000.0</v>
      </c>
      <c r="AW76" s="409">
        <f>ROUND(INDEX(販管費予算!$E$30:$I$30,MATCH(AW$3,販管費予算!$E$4:$I$4,0))/12,0)+IF(COUNTIF($AB$3:AW$3,AW$3)=12,INDEX(販管費予算!$E$30:$I$30,MATCH(AW$3,販管費予算!$E$4:$I$4,0))-12*ROUND(INDEX(販管費予算!$E$30:$I$30,MATCH(AW$3,販管費予算!$E$4:$I$4,0))/12,0),0)</f>
        <v>1000000.0</v>
      </c>
      <c r="AX76" s="409">
        <f>ROUND(INDEX(販管費予算!$E$30:$I$30,MATCH(AX$3,販管費予算!$E$4:$I$4,0))/12,0)+IF(COUNTIF($AB$3:AX$3,AX$3)=12,INDEX(販管費予算!$E$30:$I$30,MATCH(AX$3,販管費予算!$E$4:$I$4,0))-12*ROUND(INDEX(販管費予算!$E$30:$I$30,MATCH(AX$3,販管費予算!$E$4:$I$4,0))/12,0),0)</f>
        <v>1000000.0</v>
      </c>
      <c r="AY76" s="412">
        <f>ROUND(INDEX(販管費予算!$E$30:$I$30,MATCH(AY$3,販管費予算!$E$4:$I$4,0))/12,0)+IF(COUNTIF($AB$3:AY$3,AY$3)=12,INDEX(販管費予算!$E$30:$I$30,MATCH(AY$3,販管費予算!$E$4:$I$4,0))-12*ROUND(INDEX(販管費予算!$E$30:$I$30,MATCH(AY$3,販管費予算!$E$4:$I$4,0))/12,0),0)</f>
        <v>1000000.0</v>
      </c>
      <c r="AZ76" s="408">
        <f>ROUND(INDEX(販管費予算!$E$30:$I$30,MATCH(AZ$3,販管費予算!$E$4:$I$4,0))/12,0)+IF(COUNTIF($AB$3:AZ$3,AZ$3)=12,INDEX(販管費予算!$E$30:$I$30,MATCH(AZ$3,販管費予算!$E$4:$I$4,0))-12*ROUND(INDEX(販管費予算!$E$30:$I$30,MATCH(AZ$3,販管費予算!$E$4:$I$4,0))/12,0),0)</f>
        <v>2000000.0</v>
      </c>
      <c r="BA76" s="409">
        <f>ROUND(INDEX(販管費予算!$E$30:$I$30,MATCH(BA$3,販管費予算!$E$4:$I$4,0))/12,0)+IF(COUNTIF($AB$3:BA$3,BA$3)=12,INDEX(販管費予算!$E$30:$I$30,MATCH(BA$3,販管費予算!$E$4:$I$4,0))-12*ROUND(INDEX(販管費予算!$E$30:$I$30,MATCH(BA$3,販管費予算!$E$4:$I$4,0))/12,0),0)</f>
        <v>2000000.0</v>
      </c>
      <c r="BB76" s="409">
        <f>ROUND(INDEX(販管費予算!$E$30:$I$30,MATCH(BB$3,販管費予算!$E$4:$I$4,0))/12,0)+IF(COUNTIF($AB$3:BB$3,BB$3)=12,INDEX(販管費予算!$E$30:$I$30,MATCH(BB$3,販管費予算!$E$4:$I$4,0))-12*ROUND(INDEX(販管費予算!$E$30:$I$30,MATCH(BB$3,販管費予算!$E$4:$I$4,0))/12,0),0)</f>
        <v>2000000.0</v>
      </c>
      <c r="BC76" s="409">
        <f>ROUND(INDEX(販管費予算!$E$30:$I$30,MATCH(BC$3,販管費予算!$E$4:$I$4,0))/12,0)+IF(COUNTIF($AB$3:BC$3,BC$3)=12,INDEX(販管費予算!$E$30:$I$30,MATCH(BC$3,販管費予算!$E$4:$I$4,0))-12*ROUND(INDEX(販管費予算!$E$30:$I$30,MATCH(BC$3,販管費予算!$E$4:$I$4,0))/12,0),0)</f>
        <v>2000000.0</v>
      </c>
      <c r="BD76" s="409">
        <f>ROUND(INDEX(販管費予算!$E$30:$I$30,MATCH(BD$3,販管費予算!$E$4:$I$4,0))/12,0)+IF(COUNTIF($AB$3:BD$3,BD$3)=12,INDEX(販管費予算!$E$30:$I$30,MATCH(BD$3,販管費予算!$E$4:$I$4,0))-12*ROUND(INDEX(販管費予算!$E$30:$I$30,MATCH(BD$3,販管費予算!$E$4:$I$4,0))/12,0),0)</f>
        <v>2000000.0</v>
      </c>
      <c r="BE76" s="409">
        <f>ROUND(INDEX(販管費予算!$E$30:$I$30,MATCH(BE$3,販管費予算!$E$4:$I$4,0))/12,0)+IF(COUNTIF($AB$3:BE$3,BE$3)=12,INDEX(販管費予算!$E$30:$I$30,MATCH(BE$3,販管費予算!$E$4:$I$4,0))-12*ROUND(INDEX(販管費予算!$E$30:$I$30,MATCH(BE$3,販管費予算!$E$4:$I$4,0))/12,0),0)</f>
        <v>2000000.0</v>
      </c>
      <c r="BF76" s="409">
        <f>ROUND(INDEX(販管費予算!$E$30:$I$30,MATCH(BF$3,販管費予算!$E$4:$I$4,0))/12,0)+IF(COUNTIF($AB$3:BF$3,BF$3)=12,INDEX(販管費予算!$E$30:$I$30,MATCH(BF$3,販管費予算!$E$4:$I$4,0))-12*ROUND(INDEX(販管費予算!$E$30:$I$30,MATCH(BF$3,販管費予算!$E$4:$I$4,0))/12,0),0)</f>
        <v>2000000.0</v>
      </c>
      <c r="BG76" s="409">
        <f>ROUND(INDEX(販管費予算!$E$30:$I$30,MATCH(BG$3,販管費予算!$E$4:$I$4,0))/12,0)+IF(COUNTIF($AB$3:BG$3,BG$3)=12,INDEX(販管費予算!$E$30:$I$30,MATCH(BG$3,販管費予算!$E$4:$I$4,0))-12*ROUND(INDEX(販管費予算!$E$30:$I$30,MATCH(BG$3,販管費予算!$E$4:$I$4,0))/12,0),0)</f>
        <v>2000000.0</v>
      </c>
      <c r="BH76" s="409">
        <f>ROUND(INDEX(販管費予算!$E$30:$I$30,MATCH(BH$3,販管費予算!$E$4:$I$4,0))/12,0)+IF(COUNTIF($AB$3:BH$3,BH$3)=12,INDEX(販管費予算!$E$30:$I$30,MATCH(BH$3,販管費予算!$E$4:$I$4,0))-12*ROUND(INDEX(販管費予算!$E$30:$I$30,MATCH(BH$3,販管費予算!$E$4:$I$4,0))/12,0),0)</f>
        <v>2000000.0</v>
      </c>
      <c r="BI76" s="409">
        <f>ROUND(INDEX(販管費予算!$E$30:$I$30,MATCH(BI$3,販管費予算!$E$4:$I$4,0))/12,0)+IF(COUNTIF($AB$3:BI$3,BI$3)=12,INDEX(販管費予算!$E$30:$I$30,MATCH(BI$3,販管費予算!$E$4:$I$4,0))-12*ROUND(INDEX(販管費予算!$E$30:$I$30,MATCH(BI$3,販管費予算!$E$4:$I$4,0))/12,0),0)</f>
        <v>2000000.0</v>
      </c>
      <c r="BJ76" s="409">
        <f>ROUND(INDEX(販管費予算!$E$30:$I$30,MATCH(BJ$3,販管費予算!$E$4:$I$4,0))/12,0)+IF(COUNTIF($AB$3:BJ$3,BJ$3)=12,INDEX(販管費予算!$E$30:$I$30,MATCH(BJ$3,販管費予算!$E$4:$I$4,0))-12*ROUND(INDEX(販管費予算!$E$30:$I$30,MATCH(BJ$3,販管費予算!$E$4:$I$4,0))/12,0),0)</f>
        <v>2000000.0</v>
      </c>
      <c r="BK76" s="412">
        <f>ROUND(INDEX(販管費予算!$E$30:$I$30,MATCH(BK$3,販管費予算!$E$4:$I$4,0))/12,0)+IF(COUNTIF($AB$3:BK$3,BK$3)=12,INDEX(販管費予算!$E$30:$I$30,MATCH(BK$3,販管費予算!$E$4:$I$4,0))-12*ROUND(INDEX(販管費予算!$E$30:$I$30,MATCH(BK$3,販管費予算!$E$4:$I$4,0))/12,0),0)</f>
        <v>2000000.0</v>
      </c>
      <c r="BL76" s="408">
        <f>ROUND(INDEX(販管費予算!$E$30:$I$30,MATCH(BL$3,販管費予算!$E$4:$I$4,0))/12,0)+IF(COUNTIF($AB$3:BL$3,BL$3)=12,INDEX(販管費予算!$E$30:$I$30,MATCH(BL$3,販管費予算!$E$4:$I$4,0))-12*ROUND(INDEX(販管費予算!$E$30:$I$30,MATCH(BL$3,販管費予算!$E$4:$I$4,0))/12,0),0)</f>
        <v>3000000.0</v>
      </c>
      <c r="BM76" s="409">
        <f>ROUND(INDEX(販管費予算!$E$30:$I$30,MATCH(BM$3,販管費予算!$E$4:$I$4,0))/12,0)+IF(COUNTIF($AB$3:BM$3,BM$3)=12,INDEX(販管費予算!$E$30:$I$30,MATCH(BM$3,販管費予算!$E$4:$I$4,0))-12*ROUND(INDEX(販管費予算!$E$30:$I$30,MATCH(BM$3,販管費予算!$E$4:$I$4,0))/12,0),0)</f>
        <v>3000000.0</v>
      </c>
      <c r="BN76" s="409">
        <f>ROUND(INDEX(販管費予算!$E$30:$I$30,MATCH(BN$3,販管費予算!$E$4:$I$4,0))/12,0)+IF(COUNTIF($AB$3:BN$3,BN$3)=12,INDEX(販管費予算!$E$30:$I$30,MATCH(BN$3,販管費予算!$E$4:$I$4,0))-12*ROUND(INDEX(販管費予算!$E$30:$I$30,MATCH(BN$3,販管費予算!$E$4:$I$4,0))/12,0),0)</f>
        <v>3000000.0</v>
      </c>
      <c r="BO76" s="409">
        <f>ROUND(INDEX(販管費予算!$E$30:$I$30,MATCH(BO$3,販管費予算!$E$4:$I$4,0))/12,0)+IF(COUNTIF($AB$3:BO$3,BO$3)=12,INDEX(販管費予算!$E$30:$I$30,MATCH(BO$3,販管費予算!$E$4:$I$4,0))-12*ROUND(INDEX(販管費予算!$E$30:$I$30,MATCH(BO$3,販管費予算!$E$4:$I$4,0))/12,0),0)</f>
        <v>3000000.0</v>
      </c>
      <c r="BP76" s="409">
        <f>ROUND(INDEX(販管費予算!$E$30:$I$30,MATCH(BP$3,販管費予算!$E$4:$I$4,0))/12,0)+IF(COUNTIF($AB$3:BP$3,BP$3)=12,INDEX(販管費予算!$E$30:$I$30,MATCH(BP$3,販管費予算!$E$4:$I$4,0))-12*ROUND(INDEX(販管費予算!$E$30:$I$30,MATCH(BP$3,販管費予算!$E$4:$I$4,0))/12,0),0)</f>
        <v>3000000.0</v>
      </c>
      <c r="BQ76" s="409">
        <f>ROUND(INDEX(販管費予算!$E$30:$I$30,MATCH(BQ$3,販管費予算!$E$4:$I$4,0))/12,0)+IF(COUNTIF($AB$3:BQ$3,BQ$3)=12,INDEX(販管費予算!$E$30:$I$30,MATCH(BQ$3,販管費予算!$E$4:$I$4,0))-12*ROUND(INDEX(販管費予算!$E$30:$I$30,MATCH(BQ$3,販管費予算!$E$4:$I$4,0))/12,0),0)</f>
        <v>3000000.0</v>
      </c>
      <c r="BR76" s="409">
        <f>ROUND(INDEX(販管費予算!$E$30:$I$30,MATCH(BR$3,販管費予算!$E$4:$I$4,0))/12,0)+IF(COUNTIF($AB$3:BR$3,BR$3)=12,INDEX(販管費予算!$E$30:$I$30,MATCH(BR$3,販管費予算!$E$4:$I$4,0))-12*ROUND(INDEX(販管費予算!$E$30:$I$30,MATCH(BR$3,販管費予算!$E$4:$I$4,0))/12,0),0)</f>
        <v>3000000.0</v>
      </c>
      <c r="BS76" s="409">
        <f>ROUND(INDEX(販管費予算!$E$30:$I$30,MATCH(BS$3,販管費予算!$E$4:$I$4,0))/12,0)+IF(COUNTIF($AB$3:BS$3,BS$3)=12,INDEX(販管費予算!$E$30:$I$30,MATCH(BS$3,販管費予算!$E$4:$I$4,0))-12*ROUND(INDEX(販管費予算!$E$30:$I$30,MATCH(BS$3,販管費予算!$E$4:$I$4,0))/12,0),0)</f>
        <v>3000000.0</v>
      </c>
      <c r="BT76" s="409">
        <f>ROUND(INDEX(販管費予算!$E$30:$I$30,MATCH(BT$3,販管費予算!$E$4:$I$4,0))/12,0)+IF(COUNTIF($AB$3:BT$3,BT$3)=12,INDEX(販管費予算!$E$30:$I$30,MATCH(BT$3,販管費予算!$E$4:$I$4,0))-12*ROUND(INDEX(販管費予算!$E$30:$I$30,MATCH(BT$3,販管費予算!$E$4:$I$4,0))/12,0),0)</f>
        <v>3000000.0</v>
      </c>
      <c r="BU76" s="409">
        <f>ROUND(INDEX(販管費予算!$E$30:$I$30,MATCH(BU$3,販管費予算!$E$4:$I$4,0))/12,0)+IF(COUNTIF($AB$3:BU$3,BU$3)=12,INDEX(販管費予算!$E$30:$I$30,MATCH(BU$3,販管費予算!$E$4:$I$4,0))-12*ROUND(INDEX(販管費予算!$E$30:$I$30,MATCH(BU$3,販管費予算!$E$4:$I$4,0))/12,0),0)</f>
        <v>3000000.0</v>
      </c>
      <c r="BV76" s="409">
        <f>ROUND(INDEX(販管費予算!$E$30:$I$30,MATCH(BV$3,販管費予算!$E$4:$I$4,0))/12,0)+IF(COUNTIF($AB$3:BV$3,BV$3)=12,INDEX(販管費予算!$E$30:$I$30,MATCH(BV$3,販管費予算!$E$4:$I$4,0))-12*ROUND(INDEX(販管費予算!$E$30:$I$30,MATCH(BV$3,販管費予算!$E$4:$I$4,0))/12,0),0)</f>
        <v>3000000.0</v>
      </c>
      <c r="BW76" s="412">
        <f>ROUND(INDEX(販管費予算!$E$30:$I$30,MATCH(BW$3,販管費予算!$E$4:$I$4,0))/12,0)+IF(COUNTIF($AB$3:BW$3,BW$3)=12,INDEX(販管費予算!$E$30:$I$30,MATCH(BW$3,販管費予算!$E$4:$I$4,0))-12*ROUND(INDEX(販管費予算!$E$30:$I$30,MATCH(BW$3,販管費予算!$E$4:$I$4,0))/12,0),0)</f>
        <v>3000000.0</v>
      </c>
      <c r="BX76" s="408">
        <f>ROUND(INDEX(販管費予算!$E$30:$I$30,MATCH(BX$3,販管費予算!$E$4:$I$4,0))/12,0)+IF(COUNTIF($AB$3:BX$3,BX$3)=12,INDEX(販管費予算!$E$30:$I$30,MATCH(BX$3,販管費予算!$E$4:$I$4,0))-12*ROUND(INDEX(販管費予算!$E$30:$I$30,MATCH(BX$3,販管費予算!$E$4:$I$4,0))/12,0),0)</f>
        <v>5000000.0</v>
      </c>
      <c r="BY76" s="409">
        <f>ROUND(INDEX(販管費予算!$E$30:$I$30,MATCH(BY$3,販管費予算!$E$4:$I$4,0))/12,0)+IF(COUNTIF($AB$3:BY$3,BY$3)=12,INDEX(販管費予算!$E$30:$I$30,MATCH(BY$3,販管費予算!$E$4:$I$4,0))-12*ROUND(INDEX(販管費予算!$E$30:$I$30,MATCH(BY$3,販管費予算!$E$4:$I$4,0))/12,0),0)</f>
        <v>5000000.0</v>
      </c>
      <c r="BZ76" s="409">
        <f>ROUND(INDEX(販管費予算!$E$30:$I$30,MATCH(BZ$3,販管費予算!$E$4:$I$4,0))/12,0)+IF(COUNTIF($AB$3:BZ$3,BZ$3)=12,INDEX(販管費予算!$E$30:$I$30,MATCH(BZ$3,販管費予算!$E$4:$I$4,0))-12*ROUND(INDEX(販管費予算!$E$30:$I$30,MATCH(BZ$3,販管費予算!$E$4:$I$4,0))/12,0),0)</f>
        <v>5000000.0</v>
      </c>
      <c r="CA76" s="409">
        <f>ROUND(INDEX(販管費予算!$E$30:$I$30,MATCH(CA$3,販管費予算!$E$4:$I$4,0))/12,0)+IF(COUNTIF($AB$3:CA$3,CA$3)=12,INDEX(販管費予算!$E$30:$I$30,MATCH(CA$3,販管費予算!$E$4:$I$4,0))-12*ROUND(INDEX(販管費予算!$E$30:$I$30,MATCH(CA$3,販管費予算!$E$4:$I$4,0))/12,0),0)</f>
        <v>5000000.0</v>
      </c>
      <c r="CB76" s="409">
        <f>ROUND(INDEX(販管費予算!$E$30:$I$30,MATCH(CB$3,販管費予算!$E$4:$I$4,0))/12,0)+IF(COUNTIF($AB$3:CB$3,CB$3)=12,INDEX(販管費予算!$E$30:$I$30,MATCH(CB$3,販管費予算!$E$4:$I$4,0))-12*ROUND(INDEX(販管費予算!$E$30:$I$30,MATCH(CB$3,販管費予算!$E$4:$I$4,0))/12,0),0)</f>
        <v>5000000.0</v>
      </c>
      <c r="CC76" s="409">
        <f>ROUND(INDEX(販管費予算!$E$30:$I$30,MATCH(CC$3,販管費予算!$E$4:$I$4,0))/12,0)+IF(COUNTIF($AB$3:CC$3,CC$3)=12,INDEX(販管費予算!$E$30:$I$30,MATCH(CC$3,販管費予算!$E$4:$I$4,0))-12*ROUND(INDEX(販管費予算!$E$30:$I$30,MATCH(CC$3,販管費予算!$E$4:$I$4,0))/12,0),0)</f>
        <v>5000000.0</v>
      </c>
      <c r="CD76" s="409">
        <f>ROUND(INDEX(販管費予算!$E$30:$I$30,MATCH(CD$3,販管費予算!$E$4:$I$4,0))/12,0)+IF(COUNTIF($AB$3:CD$3,CD$3)=12,INDEX(販管費予算!$E$30:$I$30,MATCH(CD$3,販管費予算!$E$4:$I$4,0))-12*ROUND(INDEX(販管費予算!$E$30:$I$30,MATCH(CD$3,販管費予算!$E$4:$I$4,0))/12,0),0)</f>
        <v>5000000.0</v>
      </c>
      <c r="CE76" s="409">
        <f>ROUND(INDEX(販管費予算!$E$30:$I$30,MATCH(CE$3,販管費予算!$E$4:$I$4,0))/12,0)+IF(COUNTIF($AB$3:CE$3,CE$3)=12,INDEX(販管費予算!$E$30:$I$30,MATCH(CE$3,販管費予算!$E$4:$I$4,0))-12*ROUND(INDEX(販管費予算!$E$30:$I$30,MATCH(CE$3,販管費予算!$E$4:$I$4,0))/12,0),0)</f>
        <v>5000000.0</v>
      </c>
      <c r="CF76" s="409">
        <f>ROUND(INDEX(販管費予算!$E$30:$I$30,MATCH(CF$3,販管費予算!$E$4:$I$4,0))/12,0)+IF(COUNTIF($AB$3:CF$3,CF$3)=12,INDEX(販管費予算!$E$30:$I$30,MATCH(CF$3,販管費予算!$E$4:$I$4,0))-12*ROUND(INDEX(販管費予算!$E$30:$I$30,MATCH(CF$3,販管費予算!$E$4:$I$4,0))/12,0),0)</f>
        <v>5000000.0</v>
      </c>
      <c r="CG76" s="409">
        <f>ROUND(INDEX(販管費予算!$E$30:$I$30,MATCH(CG$3,販管費予算!$E$4:$I$4,0))/12,0)+IF(COUNTIF($AB$3:CG$3,CG$3)=12,INDEX(販管費予算!$E$30:$I$30,MATCH(CG$3,販管費予算!$E$4:$I$4,0))-12*ROUND(INDEX(販管費予算!$E$30:$I$30,MATCH(CG$3,販管費予算!$E$4:$I$4,0))/12,0),0)</f>
        <v>5000000.0</v>
      </c>
      <c r="CH76" s="409">
        <f>ROUND(INDEX(販管費予算!$E$30:$I$30,MATCH(CH$3,販管費予算!$E$4:$I$4,0))/12,0)+IF(COUNTIF($AB$3:CH$3,CH$3)=12,INDEX(販管費予算!$E$30:$I$30,MATCH(CH$3,販管費予算!$E$4:$I$4,0))-12*ROUND(INDEX(販管費予算!$E$30:$I$30,MATCH(CH$3,販管費予算!$E$4:$I$4,0))/12,0),0)</f>
        <v>5000000.0</v>
      </c>
      <c r="CI76" s="412">
        <f>ROUND(INDEX(販管費予算!$E$30:$I$30,MATCH(CI$3,販管費予算!$E$4:$I$4,0))/12,0)+IF(COUNTIF($AB$3:CI$3,CI$3)=12,INDEX(販管費予算!$E$30:$I$30,MATCH(CI$3,販管費予算!$E$4:$I$4,0))-12*ROUND(INDEX(販管費予算!$E$30:$I$30,MATCH(CI$3,販管費予算!$E$4:$I$4,0))/12,0),0)</f>
        <v>5000000.0</v>
      </c>
    </row>
    <row r="77" ht="18" customHeight="1" s="145">
      <c r="A77" s="233" t="n"/>
      <c r="B77" s="233" t="n"/>
      <c r="C77" s="233" t="inlineStr">
        <is>
          <t>プロダクト</t>
        </is>
      </c>
      <c r="D77" s="234" t="n"/>
      <c r="E77" s="408">
        <f>SUMIF($AB$3:$CI$3,E$4,$AB77:$CI77)</f>
        <v>0.0</v>
      </c>
      <c r="F77" s="409">
        <f>SUMIF($AB$3:$CI$3,F$4,$AB77:$CI77)</f>
        <v>0.0</v>
      </c>
      <c r="G77" s="409">
        <f>SUMIF($AB$3:$CI$3,G$4,$AB77:$CI77)</f>
        <v>0.0</v>
      </c>
      <c r="H77" s="409">
        <f>SUMIF($AB$3:$CI$3,H$4,$AB77:$CI77)</f>
        <v>0.0</v>
      </c>
      <c r="I77" s="409">
        <f>SUMIF($AB$3:$CI$3,I$4,$AB77:$CI77)</f>
        <v>0.0</v>
      </c>
      <c r="J77" s="407">
        <f>SUM(E77:I77)</f>
        <v>0.0</v>
      </c>
      <c r="K77" s="407">
        <f>SUMIF($Q$3:$CN$3,K$4,$Q77:$CN77)</f>
        <v>0.0</v>
      </c>
      <c r="L77" s="407">
        <f>SUMIF($Q$3:$CN$3,L$4,$Q77:$CN77)</f>
        <v>0.0</v>
      </c>
      <c r="M77" s="407">
        <f>SUMIF($Q$3:$CN$3,M$4,$Q77:$CN77)</f>
        <v>0.0</v>
      </c>
      <c r="N77" s="407">
        <f>SUMIF($Q$3:$CN$3,N$4,$Q77:$CN77)</f>
        <v>0.0</v>
      </c>
      <c r="O77" s="235" t="n"/>
      <c r="P77" s="408" t="n"/>
      <c r="Q77" s="409" t="n"/>
      <c r="R77" s="409" t="n"/>
      <c r="S77" s="409" t="n"/>
      <c r="T77" s="409" t="n"/>
      <c r="U77" s="409" t="n"/>
      <c r="V77" s="409" t="n"/>
      <c r="W77" s="409" t="n"/>
      <c r="X77" s="409" t="n"/>
      <c r="Y77" s="409" t="n"/>
      <c r="Z77" s="409" t="n"/>
      <c r="AA77" s="412" t="n"/>
      <c r="AB77" s="408" t="n"/>
      <c r="AC77" s="409" t="n"/>
      <c r="AD77" s="409" t="n"/>
      <c r="AE77" s="409" t="n"/>
      <c r="AF77" s="409" t="n"/>
      <c r="AG77" s="409" t="n"/>
      <c r="AH77" s="409" t="n"/>
      <c r="AI77" s="409" t="n"/>
      <c r="AJ77" s="409" t="n"/>
      <c r="AK77" s="409" t="n"/>
      <c r="AL77" s="409" t="n"/>
      <c r="AM77" s="412" t="n"/>
      <c r="AN77" s="408" t="n"/>
      <c r="AO77" s="409" t="n"/>
      <c r="AP77" s="409" t="n"/>
      <c r="AQ77" s="409" t="n"/>
      <c r="AR77" s="409" t="n"/>
      <c r="AS77" s="409" t="n"/>
      <c r="AT77" s="409" t="n"/>
      <c r="AU77" s="409" t="n"/>
      <c r="AV77" s="409" t="n"/>
      <c r="AW77" s="409" t="n"/>
      <c r="AX77" s="409" t="n"/>
      <c r="AY77" s="412" t="n"/>
      <c r="AZ77" s="408" t="n"/>
      <c r="BA77" s="409" t="n"/>
      <c r="BB77" s="409" t="n"/>
      <c r="BC77" s="409" t="n"/>
      <c r="BD77" s="409" t="n"/>
      <c r="BE77" s="409" t="n"/>
      <c r="BF77" s="409" t="n"/>
      <c r="BG77" s="409" t="n"/>
      <c r="BH77" s="409" t="n"/>
      <c r="BI77" s="409" t="n"/>
      <c r="BJ77" s="409" t="n"/>
      <c r="BK77" s="412" t="n"/>
      <c r="BL77" s="408" t="n"/>
      <c r="BM77" s="409" t="n"/>
      <c r="BN77" s="409" t="n"/>
      <c r="BO77" s="409" t="n"/>
      <c r="BP77" s="409" t="n"/>
      <c r="BQ77" s="409" t="n"/>
      <c r="BR77" s="409" t="n"/>
      <c r="BS77" s="409" t="n"/>
      <c r="BT77" s="409" t="n"/>
      <c r="BU77" s="409" t="n"/>
      <c r="BV77" s="409" t="n"/>
      <c r="BW77" s="412" t="n"/>
      <c r="BX77" s="408" t="n"/>
      <c r="BY77" s="409" t="n"/>
      <c r="BZ77" s="409" t="n"/>
      <c r="CA77" s="409" t="n"/>
      <c r="CB77" s="409" t="n"/>
      <c r="CC77" s="409" t="n"/>
      <c r="CD77" s="409" t="n"/>
      <c r="CE77" s="409" t="n"/>
      <c r="CF77" s="409" t="n"/>
      <c r="CG77" s="409" t="n"/>
      <c r="CH77" s="409" t="n"/>
      <c r="CI77" s="412" t="n"/>
    </row>
    <row r="78" ht="18" customHeight="1" s="145">
      <c r="A78" s="233" t="n"/>
      <c r="B78" s="233" t="inlineStr">
        <is>
          <t>諸会費</t>
        </is>
      </c>
      <c r="C78" s="233" t="inlineStr">
        <is>
          <t>全社</t>
        </is>
      </c>
      <c r="D78" s="234" t="n"/>
      <c r="E78" s="408">
        <f>SUMIF($AB$3:$CI$3,E$4,$AB78:$CI78)</f>
        <v>300000.0</v>
      </c>
      <c r="F78" s="409">
        <f>SUMIF($AB$3:$CI$3,F$4,$AB78:$CI78)</f>
        <v>500000.0</v>
      </c>
      <c r="G78" s="409">
        <f>SUMIF($AB$3:$CI$3,G$4,$AB78:$CI78)</f>
        <v>800000.0</v>
      </c>
      <c r="H78" s="409">
        <f>SUMIF($AB$3:$CI$3,H$4,$AB78:$CI78)</f>
        <v>1000000.0</v>
      </c>
      <c r="I78" s="409">
        <f>SUMIF($AB$3:$CI$3,I$4,$AB78:$CI78)</f>
        <v>2000000.0</v>
      </c>
      <c r="J78" s="407">
        <f>SUM(E78:I78)</f>
        <v>4600000.0</v>
      </c>
      <c r="K78" s="407">
        <f>SUMIF($Q$3:$CN$3,K$4,$Q78:$CN78)</f>
        <v>0.0</v>
      </c>
      <c r="L78" s="407">
        <f>SUMIF($Q$3:$CN$3,L$4,$Q78:$CN78)</f>
        <v>0.0</v>
      </c>
      <c r="M78" s="407">
        <f>SUMIF($Q$3:$CN$3,M$4,$Q78:$CN78)</f>
        <v>0.0</v>
      </c>
      <c r="N78" s="407">
        <f>SUMIF($Q$3:$CN$3,N$4,$Q78:$CN78)</f>
        <v>0.0</v>
      </c>
      <c r="O78" s="235" t="n"/>
      <c r="P78" s="408" t="n"/>
      <c r="Q78" s="409" t="n"/>
      <c r="R78" s="409" t="n"/>
      <c r="S78" s="409" t="n"/>
      <c r="T78" s="409" t="n"/>
      <c r="U78" s="409" t="n"/>
      <c r="V78" s="409" t="n"/>
      <c r="W78" s="409" t="n"/>
      <c r="X78" s="409" t="n"/>
      <c r="Y78" s="409" t="n"/>
      <c r="Z78" s="409" t="n"/>
      <c r="AA78" s="412" t="n"/>
      <c r="AB78" s="476">
        <f>ROUND(INDEX(販管費予算!$E$31:$I$31,MATCH(AB$3,販管費予算!$E$4:$I$4,0))/12,0)+IF(COUNTIF($AB$3:AB$3,AB$3)=12,INDEX(販管費予算!$E$31:$I$31,MATCH(AB$3,販管費予算!$E$4:$I$4,0))-12*ROUND(INDEX(販管費予算!$E$31:$I$31,MATCH(AB$3,販管費予算!$E$4:$I$4,0))/12,0),0)</f>
        <v>25000.0</v>
      </c>
      <c r="AC78" s="477">
        <f>ROUND(INDEX(販管費予算!$E$31:$I$31,MATCH(AC$3,販管費予算!$E$4:$I$4,0))/12,0)+IF(COUNTIF($AB$3:AC$3,AC$3)=12,INDEX(販管費予算!$E$31:$I$31,MATCH(AC$3,販管費予算!$E$4:$I$4,0))-12*ROUND(INDEX(販管費予算!$E$31:$I$31,MATCH(AC$3,販管費予算!$E$4:$I$4,0))/12,0),0)</f>
        <v>25000.0</v>
      </c>
      <c r="AD78" s="477">
        <f>ROUND(INDEX(販管費予算!$E$31:$I$31,MATCH(AD$3,販管費予算!$E$4:$I$4,0))/12,0)+IF(COUNTIF($AB$3:AD$3,AD$3)=12,INDEX(販管費予算!$E$31:$I$31,MATCH(AD$3,販管費予算!$E$4:$I$4,0))-12*ROUND(INDEX(販管費予算!$E$31:$I$31,MATCH(AD$3,販管費予算!$E$4:$I$4,0))/12,0),0)</f>
        <v>25000.0</v>
      </c>
      <c r="AE78" s="477">
        <f>ROUND(INDEX(販管費予算!$E$31:$I$31,MATCH(AE$3,販管費予算!$E$4:$I$4,0))/12,0)+IF(COUNTIF($AB$3:AE$3,AE$3)=12,INDEX(販管費予算!$E$31:$I$31,MATCH(AE$3,販管費予算!$E$4:$I$4,0))-12*ROUND(INDEX(販管費予算!$E$31:$I$31,MATCH(AE$3,販管費予算!$E$4:$I$4,0))/12,0),0)</f>
        <v>25000.0</v>
      </c>
      <c r="AF78" s="477">
        <f>ROUND(INDEX(販管費予算!$E$31:$I$31,MATCH(AF$3,販管費予算!$E$4:$I$4,0))/12,0)+IF(COUNTIF($AB$3:AF$3,AF$3)=12,INDEX(販管費予算!$E$31:$I$31,MATCH(AF$3,販管費予算!$E$4:$I$4,0))-12*ROUND(INDEX(販管費予算!$E$31:$I$31,MATCH(AF$3,販管費予算!$E$4:$I$4,0))/12,0),0)</f>
        <v>25000.0</v>
      </c>
      <c r="AG78" s="409">
        <f>ROUND(INDEX(販管費予算!$E$31:$I$31,MATCH(AG$3,販管費予算!$E$4:$I$4,0))/12,0)+IF(COUNTIF($AB$3:AG$3,AG$3)=12,INDEX(販管費予算!$E$31:$I$31,MATCH(AG$3,販管費予算!$E$4:$I$4,0))-12*ROUND(INDEX(販管費予算!$E$31:$I$31,MATCH(AG$3,販管費予算!$E$4:$I$4,0))/12,0),0)</f>
        <v>25000.0</v>
      </c>
      <c r="AH78" s="409">
        <f>ROUND(INDEX(販管費予算!$E$31:$I$31,MATCH(AH$3,販管費予算!$E$4:$I$4,0))/12,0)+IF(COUNTIF($AB$3:AH$3,AH$3)=12,INDEX(販管費予算!$E$31:$I$31,MATCH(AH$3,販管費予算!$E$4:$I$4,0))-12*ROUND(INDEX(販管費予算!$E$31:$I$31,MATCH(AH$3,販管費予算!$E$4:$I$4,0))/12,0),0)</f>
        <v>25000.0</v>
      </c>
      <c r="AI78" s="409">
        <f>ROUND(INDEX(販管費予算!$E$31:$I$31,MATCH(AI$3,販管費予算!$E$4:$I$4,0))/12,0)+IF(COUNTIF($AB$3:AI$3,AI$3)=12,INDEX(販管費予算!$E$31:$I$31,MATCH(AI$3,販管費予算!$E$4:$I$4,0))-12*ROUND(INDEX(販管費予算!$E$31:$I$31,MATCH(AI$3,販管費予算!$E$4:$I$4,0))/12,0),0)</f>
        <v>25000.0</v>
      </c>
      <c r="AJ78" s="409">
        <f>ROUND(INDEX(販管費予算!$E$31:$I$31,MATCH(AJ$3,販管費予算!$E$4:$I$4,0))/12,0)+IF(COUNTIF($AB$3:AJ$3,AJ$3)=12,INDEX(販管費予算!$E$31:$I$31,MATCH(AJ$3,販管費予算!$E$4:$I$4,0))-12*ROUND(INDEX(販管費予算!$E$31:$I$31,MATCH(AJ$3,販管費予算!$E$4:$I$4,0))/12,0),0)</f>
        <v>25000.0</v>
      </c>
      <c r="AK78" s="409">
        <f>ROUND(INDEX(販管費予算!$E$31:$I$31,MATCH(AK$3,販管費予算!$E$4:$I$4,0))/12,0)+IF(COUNTIF($AB$3:AK$3,AK$3)=12,INDEX(販管費予算!$E$31:$I$31,MATCH(AK$3,販管費予算!$E$4:$I$4,0))-12*ROUND(INDEX(販管費予算!$E$31:$I$31,MATCH(AK$3,販管費予算!$E$4:$I$4,0))/12,0),0)</f>
        <v>25000.0</v>
      </c>
      <c r="AL78" s="409">
        <f>ROUND(INDEX(販管費予算!$E$31:$I$31,MATCH(AL$3,販管費予算!$E$4:$I$4,0))/12,0)+IF(COUNTIF($AB$3:AL$3,AL$3)=12,INDEX(販管費予算!$E$31:$I$31,MATCH(AL$3,販管費予算!$E$4:$I$4,0))-12*ROUND(INDEX(販管費予算!$E$31:$I$31,MATCH(AL$3,販管費予算!$E$4:$I$4,0))/12,0),0)</f>
        <v>25000.0</v>
      </c>
      <c r="AM78" s="412">
        <f>ROUND(INDEX(販管費予算!$E$31:$I$31,MATCH(AM$3,販管費予算!$E$4:$I$4,0))/12,0)+IF(COUNTIF($AB$3:AM$3,AM$3)=12,INDEX(販管費予算!$E$31:$I$31,MATCH(AM$3,販管費予算!$E$4:$I$4,0))-12*ROUND(INDEX(販管費予算!$E$31:$I$31,MATCH(AM$3,販管費予算!$E$4:$I$4,0))/12,0),0)</f>
        <v>25000.0</v>
      </c>
      <c r="AN78" s="408">
        <f>ROUND(INDEX(販管費予算!$E$31:$I$31,MATCH(AN$3,販管費予算!$E$4:$I$4,0))/12,0)+IF(COUNTIF($AB$3:AN$3,AN$3)=12,INDEX(販管費予算!$E$31:$I$31,MATCH(AN$3,販管費予算!$E$4:$I$4,0))-12*ROUND(INDEX(販管費予算!$E$31:$I$31,MATCH(AN$3,販管費予算!$E$4:$I$4,0))/12,0),0)</f>
        <v>41667.0</v>
      </c>
      <c r="AO78" s="409">
        <f>ROUND(INDEX(販管費予算!$E$31:$I$31,MATCH(AO$3,販管費予算!$E$4:$I$4,0))/12,0)+IF(COUNTIF($AB$3:AO$3,AO$3)=12,INDEX(販管費予算!$E$31:$I$31,MATCH(AO$3,販管費予算!$E$4:$I$4,0))-12*ROUND(INDEX(販管費予算!$E$31:$I$31,MATCH(AO$3,販管費予算!$E$4:$I$4,0))/12,0),0)</f>
        <v>41667.0</v>
      </c>
      <c r="AP78" s="409">
        <f>ROUND(INDEX(販管費予算!$E$31:$I$31,MATCH(AP$3,販管費予算!$E$4:$I$4,0))/12,0)+IF(COUNTIF($AB$3:AP$3,AP$3)=12,INDEX(販管費予算!$E$31:$I$31,MATCH(AP$3,販管費予算!$E$4:$I$4,0))-12*ROUND(INDEX(販管費予算!$E$31:$I$31,MATCH(AP$3,販管費予算!$E$4:$I$4,0))/12,0),0)</f>
        <v>41667.0</v>
      </c>
      <c r="AQ78" s="409">
        <f>ROUND(INDEX(販管費予算!$E$31:$I$31,MATCH(AQ$3,販管費予算!$E$4:$I$4,0))/12,0)+IF(COUNTIF($AB$3:AQ$3,AQ$3)=12,INDEX(販管費予算!$E$31:$I$31,MATCH(AQ$3,販管費予算!$E$4:$I$4,0))-12*ROUND(INDEX(販管費予算!$E$31:$I$31,MATCH(AQ$3,販管費予算!$E$4:$I$4,0))/12,0),0)</f>
        <v>41667.0</v>
      </c>
      <c r="AR78" s="409">
        <f>ROUND(INDEX(販管費予算!$E$31:$I$31,MATCH(AR$3,販管費予算!$E$4:$I$4,0))/12,0)+IF(COUNTIF($AB$3:AR$3,AR$3)=12,INDEX(販管費予算!$E$31:$I$31,MATCH(AR$3,販管費予算!$E$4:$I$4,0))-12*ROUND(INDEX(販管費予算!$E$31:$I$31,MATCH(AR$3,販管費予算!$E$4:$I$4,0))/12,0),0)</f>
        <v>41667.0</v>
      </c>
      <c r="AS78" s="409">
        <f>ROUND(INDEX(販管費予算!$E$31:$I$31,MATCH(AS$3,販管費予算!$E$4:$I$4,0))/12,0)+IF(COUNTIF($AB$3:AS$3,AS$3)=12,INDEX(販管費予算!$E$31:$I$31,MATCH(AS$3,販管費予算!$E$4:$I$4,0))-12*ROUND(INDEX(販管費予算!$E$31:$I$31,MATCH(AS$3,販管費予算!$E$4:$I$4,0))/12,0),0)</f>
        <v>41667.0</v>
      </c>
      <c r="AT78" s="409">
        <f>ROUND(INDEX(販管費予算!$E$31:$I$31,MATCH(AT$3,販管費予算!$E$4:$I$4,0))/12,0)+IF(COUNTIF($AB$3:AT$3,AT$3)=12,INDEX(販管費予算!$E$31:$I$31,MATCH(AT$3,販管費予算!$E$4:$I$4,0))-12*ROUND(INDEX(販管費予算!$E$31:$I$31,MATCH(AT$3,販管費予算!$E$4:$I$4,0))/12,0),0)</f>
        <v>41667.0</v>
      </c>
      <c r="AU78" s="409">
        <f>ROUND(INDEX(販管費予算!$E$31:$I$31,MATCH(AU$3,販管費予算!$E$4:$I$4,0))/12,0)+IF(COUNTIF($AB$3:AU$3,AU$3)=12,INDEX(販管費予算!$E$31:$I$31,MATCH(AU$3,販管費予算!$E$4:$I$4,0))-12*ROUND(INDEX(販管費予算!$E$31:$I$31,MATCH(AU$3,販管費予算!$E$4:$I$4,0))/12,0),0)</f>
        <v>41667.0</v>
      </c>
      <c r="AV78" s="409">
        <f>ROUND(INDEX(販管費予算!$E$31:$I$31,MATCH(AV$3,販管費予算!$E$4:$I$4,0))/12,0)+IF(COUNTIF($AB$3:AV$3,AV$3)=12,INDEX(販管費予算!$E$31:$I$31,MATCH(AV$3,販管費予算!$E$4:$I$4,0))-12*ROUND(INDEX(販管費予算!$E$31:$I$31,MATCH(AV$3,販管費予算!$E$4:$I$4,0))/12,0),0)</f>
        <v>41667.0</v>
      </c>
      <c r="AW78" s="409">
        <f>ROUND(INDEX(販管費予算!$E$31:$I$31,MATCH(AW$3,販管費予算!$E$4:$I$4,0))/12,0)+IF(COUNTIF($AB$3:AW$3,AW$3)=12,INDEX(販管費予算!$E$31:$I$31,MATCH(AW$3,販管費予算!$E$4:$I$4,0))-12*ROUND(INDEX(販管費予算!$E$31:$I$31,MATCH(AW$3,販管費予算!$E$4:$I$4,0))/12,0),0)</f>
        <v>41667.0</v>
      </c>
      <c r="AX78" s="409">
        <f>ROUND(INDEX(販管費予算!$E$31:$I$31,MATCH(AX$3,販管費予算!$E$4:$I$4,0))/12,0)+IF(COUNTIF($AB$3:AX$3,AX$3)=12,INDEX(販管費予算!$E$31:$I$31,MATCH(AX$3,販管費予算!$E$4:$I$4,0))-12*ROUND(INDEX(販管費予算!$E$31:$I$31,MATCH(AX$3,販管費予算!$E$4:$I$4,0))/12,0),0)</f>
        <v>41667.0</v>
      </c>
      <c r="AY78" s="412">
        <f>ROUND(INDEX(販管費予算!$E$31:$I$31,MATCH(AY$3,販管費予算!$E$4:$I$4,0))/12,0)+IF(COUNTIF($AB$3:AY$3,AY$3)=12,INDEX(販管費予算!$E$31:$I$31,MATCH(AY$3,販管費予算!$E$4:$I$4,0))-12*ROUND(INDEX(販管費予算!$E$31:$I$31,MATCH(AY$3,販管費予算!$E$4:$I$4,0))/12,0),0)</f>
        <v>41663.0</v>
      </c>
      <c r="AZ78" s="408">
        <f>ROUND(INDEX(販管費予算!$E$31:$I$31,MATCH(AZ$3,販管費予算!$E$4:$I$4,0))/12,0)+IF(COUNTIF($AB$3:AZ$3,AZ$3)=12,INDEX(販管費予算!$E$31:$I$31,MATCH(AZ$3,販管費予算!$E$4:$I$4,0))-12*ROUND(INDEX(販管費予算!$E$31:$I$31,MATCH(AZ$3,販管費予算!$E$4:$I$4,0))/12,0),0)</f>
        <v>66667.0</v>
      </c>
      <c r="BA78" s="409">
        <f>ROUND(INDEX(販管費予算!$E$31:$I$31,MATCH(BA$3,販管費予算!$E$4:$I$4,0))/12,0)+IF(COUNTIF($AB$3:BA$3,BA$3)=12,INDEX(販管費予算!$E$31:$I$31,MATCH(BA$3,販管費予算!$E$4:$I$4,0))-12*ROUND(INDEX(販管費予算!$E$31:$I$31,MATCH(BA$3,販管費予算!$E$4:$I$4,0))/12,0),0)</f>
        <v>66667.0</v>
      </c>
      <c r="BB78" s="409">
        <f>ROUND(INDEX(販管費予算!$E$31:$I$31,MATCH(BB$3,販管費予算!$E$4:$I$4,0))/12,0)+IF(COUNTIF($AB$3:BB$3,BB$3)=12,INDEX(販管費予算!$E$31:$I$31,MATCH(BB$3,販管費予算!$E$4:$I$4,0))-12*ROUND(INDEX(販管費予算!$E$31:$I$31,MATCH(BB$3,販管費予算!$E$4:$I$4,0))/12,0),0)</f>
        <v>66667.0</v>
      </c>
      <c r="BC78" s="409">
        <f>ROUND(INDEX(販管費予算!$E$31:$I$31,MATCH(BC$3,販管費予算!$E$4:$I$4,0))/12,0)+IF(COUNTIF($AB$3:BC$3,BC$3)=12,INDEX(販管費予算!$E$31:$I$31,MATCH(BC$3,販管費予算!$E$4:$I$4,0))-12*ROUND(INDEX(販管費予算!$E$31:$I$31,MATCH(BC$3,販管費予算!$E$4:$I$4,0))/12,0),0)</f>
        <v>66667.0</v>
      </c>
      <c r="BD78" s="409">
        <f>ROUND(INDEX(販管費予算!$E$31:$I$31,MATCH(BD$3,販管費予算!$E$4:$I$4,0))/12,0)+IF(COUNTIF($AB$3:BD$3,BD$3)=12,INDEX(販管費予算!$E$31:$I$31,MATCH(BD$3,販管費予算!$E$4:$I$4,0))-12*ROUND(INDEX(販管費予算!$E$31:$I$31,MATCH(BD$3,販管費予算!$E$4:$I$4,0))/12,0),0)</f>
        <v>66667.0</v>
      </c>
      <c r="BE78" s="409">
        <f>ROUND(INDEX(販管費予算!$E$31:$I$31,MATCH(BE$3,販管費予算!$E$4:$I$4,0))/12,0)+IF(COUNTIF($AB$3:BE$3,BE$3)=12,INDEX(販管費予算!$E$31:$I$31,MATCH(BE$3,販管費予算!$E$4:$I$4,0))-12*ROUND(INDEX(販管費予算!$E$31:$I$31,MATCH(BE$3,販管費予算!$E$4:$I$4,0))/12,0),0)</f>
        <v>66667.0</v>
      </c>
      <c r="BF78" s="409">
        <f>ROUND(INDEX(販管費予算!$E$31:$I$31,MATCH(BF$3,販管費予算!$E$4:$I$4,0))/12,0)+IF(COUNTIF($AB$3:BF$3,BF$3)=12,INDEX(販管費予算!$E$31:$I$31,MATCH(BF$3,販管費予算!$E$4:$I$4,0))-12*ROUND(INDEX(販管費予算!$E$31:$I$31,MATCH(BF$3,販管費予算!$E$4:$I$4,0))/12,0),0)</f>
        <v>66667.0</v>
      </c>
      <c r="BG78" s="409">
        <f>ROUND(INDEX(販管費予算!$E$31:$I$31,MATCH(BG$3,販管費予算!$E$4:$I$4,0))/12,0)+IF(COUNTIF($AB$3:BG$3,BG$3)=12,INDEX(販管費予算!$E$31:$I$31,MATCH(BG$3,販管費予算!$E$4:$I$4,0))-12*ROUND(INDEX(販管費予算!$E$31:$I$31,MATCH(BG$3,販管費予算!$E$4:$I$4,0))/12,0),0)</f>
        <v>66667.0</v>
      </c>
      <c r="BH78" s="409">
        <f>ROUND(INDEX(販管費予算!$E$31:$I$31,MATCH(BH$3,販管費予算!$E$4:$I$4,0))/12,0)+IF(COUNTIF($AB$3:BH$3,BH$3)=12,INDEX(販管費予算!$E$31:$I$31,MATCH(BH$3,販管費予算!$E$4:$I$4,0))-12*ROUND(INDEX(販管費予算!$E$31:$I$31,MATCH(BH$3,販管費予算!$E$4:$I$4,0))/12,0),0)</f>
        <v>66667.0</v>
      </c>
      <c r="BI78" s="409">
        <f>ROUND(INDEX(販管費予算!$E$31:$I$31,MATCH(BI$3,販管費予算!$E$4:$I$4,0))/12,0)+IF(COUNTIF($AB$3:BI$3,BI$3)=12,INDEX(販管費予算!$E$31:$I$31,MATCH(BI$3,販管費予算!$E$4:$I$4,0))-12*ROUND(INDEX(販管費予算!$E$31:$I$31,MATCH(BI$3,販管費予算!$E$4:$I$4,0))/12,0),0)</f>
        <v>66667.0</v>
      </c>
      <c r="BJ78" s="409">
        <f>ROUND(INDEX(販管費予算!$E$31:$I$31,MATCH(BJ$3,販管費予算!$E$4:$I$4,0))/12,0)+IF(COUNTIF($AB$3:BJ$3,BJ$3)=12,INDEX(販管費予算!$E$31:$I$31,MATCH(BJ$3,販管費予算!$E$4:$I$4,0))-12*ROUND(INDEX(販管費予算!$E$31:$I$31,MATCH(BJ$3,販管費予算!$E$4:$I$4,0))/12,0),0)</f>
        <v>66667.0</v>
      </c>
      <c r="BK78" s="412">
        <f>ROUND(INDEX(販管費予算!$E$31:$I$31,MATCH(BK$3,販管費予算!$E$4:$I$4,0))/12,0)+IF(COUNTIF($AB$3:BK$3,BK$3)=12,INDEX(販管費予算!$E$31:$I$31,MATCH(BK$3,販管費予算!$E$4:$I$4,0))-12*ROUND(INDEX(販管費予算!$E$31:$I$31,MATCH(BK$3,販管費予算!$E$4:$I$4,0))/12,0),0)</f>
        <v>66663.0</v>
      </c>
      <c r="BL78" s="408">
        <f>ROUND(INDEX(販管費予算!$E$31:$I$31,MATCH(BL$3,販管費予算!$E$4:$I$4,0))/12,0)+IF(COUNTIF($AB$3:BL$3,BL$3)=12,INDEX(販管費予算!$E$31:$I$31,MATCH(BL$3,販管費予算!$E$4:$I$4,0))-12*ROUND(INDEX(販管費予算!$E$31:$I$31,MATCH(BL$3,販管費予算!$E$4:$I$4,0))/12,0),0)</f>
        <v>83333.0</v>
      </c>
      <c r="BM78" s="409">
        <f>ROUND(INDEX(販管費予算!$E$31:$I$31,MATCH(BM$3,販管費予算!$E$4:$I$4,0))/12,0)+IF(COUNTIF($AB$3:BM$3,BM$3)=12,INDEX(販管費予算!$E$31:$I$31,MATCH(BM$3,販管費予算!$E$4:$I$4,0))-12*ROUND(INDEX(販管費予算!$E$31:$I$31,MATCH(BM$3,販管費予算!$E$4:$I$4,0))/12,0),0)</f>
        <v>83333.0</v>
      </c>
      <c r="BN78" s="409">
        <f>ROUND(INDEX(販管費予算!$E$31:$I$31,MATCH(BN$3,販管費予算!$E$4:$I$4,0))/12,0)+IF(COUNTIF($AB$3:BN$3,BN$3)=12,INDEX(販管費予算!$E$31:$I$31,MATCH(BN$3,販管費予算!$E$4:$I$4,0))-12*ROUND(INDEX(販管費予算!$E$31:$I$31,MATCH(BN$3,販管費予算!$E$4:$I$4,0))/12,0),0)</f>
        <v>83333.0</v>
      </c>
      <c r="BO78" s="409">
        <f>ROUND(INDEX(販管費予算!$E$31:$I$31,MATCH(BO$3,販管費予算!$E$4:$I$4,0))/12,0)+IF(COUNTIF($AB$3:BO$3,BO$3)=12,INDEX(販管費予算!$E$31:$I$31,MATCH(BO$3,販管費予算!$E$4:$I$4,0))-12*ROUND(INDEX(販管費予算!$E$31:$I$31,MATCH(BO$3,販管費予算!$E$4:$I$4,0))/12,0),0)</f>
        <v>83333.0</v>
      </c>
      <c r="BP78" s="409">
        <f>ROUND(INDEX(販管費予算!$E$31:$I$31,MATCH(BP$3,販管費予算!$E$4:$I$4,0))/12,0)+IF(COUNTIF($AB$3:BP$3,BP$3)=12,INDEX(販管費予算!$E$31:$I$31,MATCH(BP$3,販管費予算!$E$4:$I$4,0))-12*ROUND(INDEX(販管費予算!$E$31:$I$31,MATCH(BP$3,販管費予算!$E$4:$I$4,0))/12,0),0)</f>
        <v>83333.0</v>
      </c>
      <c r="BQ78" s="409">
        <f>ROUND(INDEX(販管費予算!$E$31:$I$31,MATCH(BQ$3,販管費予算!$E$4:$I$4,0))/12,0)+IF(COUNTIF($AB$3:BQ$3,BQ$3)=12,INDEX(販管費予算!$E$31:$I$31,MATCH(BQ$3,販管費予算!$E$4:$I$4,0))-12*ROUND(INDEX(販管費予算!$E$31:$I$31,MATCH(BQ$3,販管費予算!$E$4:$I$4,0))/12,0),0)</f>
        <v>83333.0</v>
      </c>
      <c r="BR78" s="409">
        <f>ROUND(INDEX(販管費予算!$E$31:$I$31,MATCH(BR$3,販管費予算!$E$4:$I$4,0))/12,0)+IF(COUNTIF($AB$3:BR$3,BR$3)=12,INDEX(販管費予算!$E$31:$I$31,MATCH(BR$3,販管費予算!$E$4:$I$4,0))-12*ROUND(INDEX(販管費予算!$E$31:$I$31,MATCH(BR$3,販管費予算!$E$4:$I$4,0))/12,0),0)</f>
        <v>83333.0</v>
      </c>
      <c r="BS78" s="409">
        <f>ROUND(INDEX(販管費予算!$E$31:$I$31,MATCH(BS$3,販管費予算!$E$4:$I$4,0))/12,0)+IF(COUNTIF($AB$3:BS$3,BS$3)=12,INDEX(販管費予算!$E$31:$I$31,MATCH(BS$3,販管費予算!$E$4:$I$4,0))-12*ROUND(INDEX(販管費予算!$E$31:$I$31,MATCH(BS$3,販管費予算!$E$4:$I$4,0))/12,0),0)</f>
        <v>83333.0</v>
      </c>
      <c r="BT78" s="409">
        <f>ROUND(INDEX(販管費予算!$E$31:$I$31,MATCH(BT$3,販管費予算!$E$4:$I$4,0))/12,0)+IF(COUNTIF($AB$3:BT$3,BT$3)=12,INDEX(販管費予算!$E$31:$I$31,MATCH(BT$3,販管費予算!$E$4:$I$4,0))-12*ROUND(INDEX(販管費予算!$E$31:$I$31,MATCH(BT$3,販管費予算!$E$4:$I$4,0))/12,0),0)</f>
        <v>83333.0</v>
      </c>
      <c r="BU78" s="409">
        <f>ROUND(INDEX(販管費予算!$E$31:$I$31,MATCH(BU$3,販管費予算!$E$4:$I$4,0))/12,0)+IF(COUNTIF($AB$3:BU$3,BU$3)=12,INDEX(販管費予算!$E$31:$I$31,MATCH(BU$3,販管費予算!$E$4:$I$4,0))-12*ROUND(INDEX(販管費予算!$E$31:$I$31,MATCH(BU$3,販管費予算!$E$4:$I$4,0))/12,0),0)</f>
        <v>83333.0</v>
      </c>
      <c r="BV78" s="409">
        <f>ROUND(INDEX(販管費予算!$E$31:$I$31,MATCH(BV$3,販管費予算!$E$4:$I$4,0))/12,0)+IF(COUNTIF($AB$3:BV$3,BV$3)=12,INDEX(販管費予算!$E$31:$I$31,MATCH(BV$3,販管費予算!$E$4:$I$4,0))-12*ROUND(INDEX(販管費予算!$E$31:$I$31,MATCH(BV$3,販管費予算!$E$4:$I$4,0))/12,0),0)</f>
        <v>83333.0</v>
      </c>
      <c r="BW78" s="412">
        <f>ROUND(INDEX(販管費予算!$E$31:$I$31,MATCH(BW$3,販管費予算!$E$4:$I$4,0))/12,0)+IF(COUNTIF($AB$3:BW$3,BW$3)=12,INDEX(販管費予算!$E$31:$I$31,MATCH(BW$3,販管費予算!$E$4:$I$4,0))-12*ROUND(INDEX(販管費予算!$E$31:$I$31,MATCH(BW$3,販管費予算!$E$4:$I$4,0))/12,0),0)</f>
        <v>83337.0</v>
      </c>
      <c r="BX78" s="408">
        <f>ROUND(INDEX(販管費予算!$E$31:$I$31,MATCH(BX$3,販管費予算!$E$4:$I$4,0))/12,0)+IF(COUNTIF($AB$3:BX$3,BX$3)=12,INDEX(販管費予算!$E$31:$I$31,MATCH(BX$3,販管費予算!$E$4:$I$4,0))-12*ROUND(INDEX(販管費予算!$E$31:$I$31,MATCH(BX$3,販管費予算!$E$4:$I$4,0))/12,0),0)</f>
        <v>166667.0</v>
      </c>
      <c r="BY78" s="409">
        <f>ROUND(INDEX(販管費予算!$E$31:$I$31,MATCH(BY$3,販管費予算!$E$4:$I$4,0))/12,0)+IF(COUNTIF($AB$3:BY$3,BY$3)=12,INDEX(販管費予算!$E$31:$I$31,MATCH(BY$3,販管費予算!$E$4:$I$4,0))-12*ROUND(INDEX(販管費予算!$E$31:$I$31,MATCH(BY$3,販管費予算!$E$4:$I$4,0))/12,0),0)</f>
        <v>166667.0</v>
      </c>
      <c r="BZ78" s="409">
        <f>ROUND(INDEX(販管費予算!$E$31:$I$31,MATCH(BZ$3,販管費予算!$E$4:$I$4,0))/12,0)+IF(COUNTIF($AB$3:BZ$3,BZ$3)=12,INDEX(販管費予算!$E$31:$I$31,MATCH(BZ$3,販管費予算!$E$4:$I$4,0))-12*ROUND(INDEX(販管費予算!$E$31:$I$31,MATCH(BZ$3,販管費予算!$E$4:$I$4,0))/12,0),0)</f>
        <v>166667.0</v>
      </c>
      <c r="CA78" s="409">
        <f>ROUND(INDEX(販管費予算!$E$31:$I$31,MATCH(CA$3,販管費予算!$E$4:$I$4,0))/12,0)+IF(COUNTIF($AB$3:CA$3,CA$3)=12,INDEX(販管費予算!$E$31:$I$31,MATCH(CA$3,販管費予算!$E$4:$I$4,0))-12*ROUND(INDEX(販管費予算!$E$31:$I$31,MATCH(CA$3,販管費予算!$E$4:$I$4,0))/12,0),0)</f>
        <v>166667.0</v>
      </c>
      <c r="CB78" s="409">
        <f>ROUND(INDEX(販管費予算!$E$31:$I$31,MATCH(CB$3,販管費予算!$E$4:$I$4,0))/12,0)+IF(COUNTIF($AB$3:CB$3,CB$3)=12,INDEX(販管費予算!$E$31:$I$31,MATCH(CB$3,販管費予算!$E$4:$I$4,0))-12*ROUND(INDEX(販管費予算!$E$31:$I$31,MATCH(CB$3,販管費予算!$E$4:$I$4,0))/12,0),0)</f>
        <v>166667.0</v>
      </c>
      <c r="CC78" s="409">
        <f>ROUND(INDEX(販管費予算!$E$31:$I$31,MATCH(CC$3,販管費予算!$E$4:$I$4,0))/12,0)+IF(COUNTIF($AB$3:CC$3,CC$3)=12,INDEX(販管費予算!$E$31:$I$31,MATCH(CC$3,販管費予算!$E$4:$I$4,0))-12*ROUND(INDEX(販管費予算!$E$31:$I$31,MATCH(CC$3,販管費予算!$E$4:$I$4,0))/12,0),0)</f>
        <v>166667.0</v>
      </c>
      <c r="CD78" s="409">
        <f>ROUND(INDEX(販管費予算!$E$31:$I$31,MATCH(CD$3,販管費予算!$E$4:$I$4,0))/12,0)+IF(COUNTIF($AB$3:CD$3,CD$3)=12,INDEX(販管費予算!$E$31:$I$31,MATCH(CD$3,販管費予算!$E$4:$I$4,0))-12*ROUND(INDEX(販管費予算!$E$31:$I$31,MATCH(CD$3,販管費予算!$E$4:$I$4,0))/12,0),0)</f>
        <v>166667.0</v>
      </c>
      <c r="CE78" s="409">
        <f>ROUND(INDEX(販管費予算!$E$31:$I$31,MATCH(CE$3,販管費予算!$E$4:$I$4,0))/12,0)+IF(COUNTIF($AB$3:CE$3,CE$3)=12,INDEX(販管費予算!$E$31:$I$31,MATCH(CE$3,販管費予算!$E$4:$I$4,0))-12*ROUND(INDEX(販管費予算!$E$31:$I$31,MATCH(CE$3,販管費予算!$E$4:$I$4,0))/12,0),0)</f>
        <v>166667.0</v>
      </c>
      <c r="CF78" s="409">
        <f>ROUND(INDEX(販管費予算!$E$31:$I$31,MATCH(CF$3,販管費予算!$E$4:$I$4,0))/12,0)+IF(COUNTIF($AB$3:CF$3,CF$3)=12,INDEX(販管費予算!$E$31:$I$31,MATCH(CF$3,販管費予算!$E$4:$I$4,0))-12*ROUND(INDEX(販管費予算!$E$31:$I$31,MATCH(CF$3,販管費予算!$E$4:$I$4,0))/12,0),0)</f>
        <v>166667.0</v>
      </c>
      <c r="CG78" s="409">
        <f>ROUND(INDEX(販管費予算!$E$31:$I$31,MATCH(CG$3,販管費予算!$E$4:$I$4,0))/12,0)+IF(COUNTIF($AB$3:CG$3,CG$3)=12,INDEX(販管費予算!$E$31:$I$31,MATCH(CG$3,販管費予算!$E$4:$I$4,0))-12*ROUND(INDEX(販管費予算!$E$31:$I$31,MATCH(CG$3,販管費予算!$E$4:$I$4,0))/12,0),0)</f>
        <v>166667.0</v>
      </c>
      <c r="CH78" s="409">
        <f>ROUND(INDEX(販管費予算!$E$31:$I$31,MATCH(CH$3,販管費予算!$E$4:$I$4,0))/12,0)+IF(COUNTIF($AB$3:CH$3,CH$3)=12,INDEX(販管費予算!$E$31:$I$31,MATCH(CH$3,販管費予算!$E$4:$I$4,0))-12*ROUND(INDEX(販管費予算!$E$31:$I$31,MATCH(CH$3,販管費予算!$E$4:$I$4,0))/12,0),0)</f>
        <v>166667.0</v>
      </c>
      <c r="CI78" s="412">
        <f>ROUND(INDEX(販管費予算!$E$31:$I$31,MATCH(CI$3,販管費予算!$E$4:$I$4,0))/12,0)+IF(COUNTIF($AB$3:CI$3,CI$3)=12,INDEX(販管費予算!$E$31:$I$31,MATCH(CI$3,販管費予算!$E$4:$I$4,0))-12*ROUND(INDEX(販管費予算!$E$31:$I$31,MATCH(CI$3,販管費予算!$E$4:$I$4,0))/12,0),0)</f>
        <v>166663.0</v>
      </c>
    </row>
    <row r="79" ht="18" customHeight="1" s="145">
      <c r="A79" s="293" t="n"/>
      <c r="B79" s="293" t="inlineStr">
        <is>
          <t>雑費</t>
        </is>
      </c>
      <c r="C79" s="293" t="inlineStr">
        <is>
          <t>全社</t>
        </is>
      </c>
      <c r="D79" s="333" t="n"/>
      <c r="E79" s="429">
        <f>SUMIF($AB$3:$CI$3,E$4,$AB79:$CI79)</f>
        <v>200000.0</v>
      </c>
      <c r="F79" s="430">
        <f>SUMIF($AB$3:$CI$3,F$4,$AB79:$CI79)</f>
        <v>300000.0</v>
      </c>
      <c r="G79" s="430">
        <f>SUMIF($AB$3:$CI$3,G$4,$AB79:$CI79)</f>
        <v>500000.0</v>
      </c>
      <c r="H79" s="430">
        <f>SUMIF($AB$3:$CI$3,H$4,$AB79:$CI79)</f>
        <v>700000.0</v>
      </c>
      <c r="I79" s="430">
        <f>SUMIF($AB$3:$CI$3,I$4,$AB79:$CI79)</f>
        <v>1000000.0</v>
      </c>
      <c r="J79" s="484">
        <f>SUM(E79:I79)</f>
        <v>2700000.0</v>
      </c>
      <c r="K79" s="484">
        <f>SUMIF($Q$3:$CN$3,K$4,$Q79:$CN79)</f>
        <v>0.0</v>
      </c>
      <c r="L79" s="484">
        <f>SUMIF($Q$3:$CN$3,L$4,$Q79:$CN79)</f>
        <v>0.0</v>
      </c>
      <c r="M79" s="484">
        <f>SUMIF($Q$3:$CN$3,M$4,$Q79:$CN79)</f>
        <v>0.0</v>
      </c>
      <c r="N79" s="484">
        <f>SUMIF($Q$3:$CN$3,N$4,$Q79:$CN79)</f>
        <v>0.0</v>
      </c>
      <c r="O79" s="235" t="n"/>
      <c r="P79" s="429" t="n"/>
      <c r="Q79" s="430" t="n"/>
      <c r="R79" s="430" t="n"/>
      <c r="S79" s="430" t="n"/>
      <c r="T79" s="430" t="n"/>
      <c r="U79" s="430" t="n"/>
      <c r="V79" s="430" t="n"/>
      <c r="W79" s="430" t="n"/>
      <c r="X79" s="430" t="n"/>
      <c r="Y79" s="430" t="n"/>
      <c r="Z79" s="430" t="n"/>
      <c r="AA79" s="431" t="n"/>
      <c r="AB79" s="485">
        <f>ROUND(INDEX(販管費予算!$E$32:$I$32,MATCH(AB$3,販管費予算!$E$4:$I$4,0))/12,0)+IF(COUNTIF($AB$3:AB$3,AB$3)=12,INDEX(販管費予算!$E$32:$I$32,MATCH(AB$3,販管費予算!$E$4:$I$4,0))-12*ROUND(INDEX(販管費予算!$E$32:$I$32,MATCH(AB$3,販管費予算!$E$4:$I$4,0))/12,0),0)</f>
        <v>16667.0</v>
      </c>
      <c r="AC79" s="486">
        <f>ROUND(INDEX(販管費予算!$E$32:$I$32,MATCH(AC$3,販管費予算!$E$4:$I$4,0))/12,0)+IF(COUNTIF($AB$3:AC$3,AC$3)=12,INDEX(販管費予算!$E$32:$I$32,MATCH(AC$3,販管費予算!$E$4:$I$4,0))-12*ROUND(INDEX(販管費予算!$E$32:$I$32,MATCH(AC$3,販管費予算!$E$4:$I$4,0))/12,0),0)</f>
        <v>16667.0</v>
      </c>
      <c r="AD79" s="486">
        <f>ROUND(INDEX(販管費予算!$E$32:$I$32,MATCH(AD$3,販管費予算!$E$4:$I$4,0))/12,0)+IF(COUNTIF($AB$3:AD$3,AD$3)=12,INDEX(販管費予算!$E$32:$I$32,MATCH(AD$3,販管費予算!$E$4:$I$4,0))-12*ROUND(INDEX(販管費予算!$E$32:$I$32,MATCH(AD$3,販管費予算!$E$4:$I$4,0))/12,0),0)</f>
        <v>16667.0</v>
      </c>
      <c r="AE79" s="486">
        <f>ROUND(INDEX(販管費予算!$E$32:$I$32,MATCH(AE$3,販管費予算!$E$4:$I$4,0))/12,0)+IF(COUNTIF($AB$3:AE$3,AE$3)=12,INDEX(販管費予算!$E$32:$I$32,MATCH(AE$3,販管費予算!$E$4:$I$4,0))-12*ROUND(INDEX(販管費予算!$E$32:$I$32,MATCH(AE$3,販管費予算!$E$4:$I$4,0))/12,0),0)</f>
        <v>16667.0</v>
      </c>
      <c r="AF79" s="486">
        <f>ROUND(INDEX(販管費予算!$E$32:$I$32,MATCH(AF$3,販管費予算!$E$4:$I$4,0))/12,0)+IF(COUNTIF($AB$3:AF$3,AF$3)=12,INDEX(販管費予算!$E$32:$I$32,MATCH(AF$3,販管費予算!$E$4:$I$4,0))-12*ROUND(INDEX(販管費予算!$E$32:$I$32,MATCH(AF$3,販管費予算!$E$4:$I$4,0))/12,0),0)</f>
        <v>16667.0</v>
      </c>
      <c r="AG79" s="430">
        <f>ROUND(INDEX(販管費予算!$E$32:$I$32,MATCH(AG$3,販管費予算!$E$4:$I$4,0))/12,0)+IF(COUNTIF($AB$3:AG$3,AG$3)=12,INDEX(販管費予算!$E$32:$I$32,MATCH(AG$3,販管費予算!$E$4:$I$4,0))-12*ROUND(INDEX(販管費予算!$E$32:$I$32,MATCH(AG$3,販管費予算!$E$4:$I$4,0))/12,0),0)</f>
        <v>16667.0</v>
      </c>
      <c r="AH79" s="430">
        <f>ROUND(INDEX(販管費予算!$E$32:$I$32,MATCH(AH$3,販管費予算!$E$4:$I$4,0))/12,0)+IF(COUNTIF($AB$3:AH$3,AH$3)=12,INDEX(販管費予算!$E$32:$I$32,MATCH(AH$3,販管費予算!$E$4:$I$4,0))-12*ROUND(INDEX(販管費予算!$E$32:$I$32,MATCH(AH$3,販管費予算!$E$4:$I$4,0))/12,0),0)</f>
        <v>16667.0</v>
      </c>
      <c r="AI79" s="430">
        <f>ROUND(INDEX(販管費予算!$E$32:$I$32,MATCH(AI$3,販管費予算!$E$4:$I$4,0))/12,0)+IF(COUNTIF($AB$3:AI$3,AI$3)=12,INDEX(販管費予算!$E$32:$I$32,MATCH(AI$3,販管費予算!$E$4:$I$4,0))-12*ROUND(INDEX(販管費予算!$E$32:$I$32,MATCH(AI$3,販管費予算!$E$4:$I$4,0))/12,0),0)</f>
        <v>16667.0</v>
      </c>
      <c r="AJ79" s="430">
        <f>ROUND(INDEX(販管費予算!$E$32:$I$32,MATCH(AJ$3,販管費予算!$E$4:$I$4,0))/12,0)+IF(COUNTIF($AB$3:AJ$3,AJ$3)=12,INDEX(販管費予算!$E$32:$I$32,MATCH(AJ$3,販管費予算!$E$4:$I$4,0))-12*ROUND(INDEX(販管費予算!$E$32:$I$32,MATCH(AJ$3,販管費予算!$E$4:$I$4,0))/12,0),0)</f>
        <v>16667.0</v>
      </c>
      <c r="AK79" s="430">
        <f>ROUND(INDEX(販管費予算!$E$32:$I$32,MATCH(AK$3,販管費予算!$E$4:$I$4,0))/12,0)+IF(COUNTIF($AB$3:AK$3,AK$3)=12,INDEX(販管費予算!$E$32:$I$32,MATCH(AK$3,販管費予算!$E$4:$I$4,0))-12*ROUND(INDEX(販管費予算!$E$32:$I$32,MATCH(AK$3,販管費予算!$E$4:$I$4,0))/12,0),0)</f>
        <v>16667.0</v>
      </c>
      <c r="AL79" s="430">
        <f>ROUND(INDEX(販管費予算!$E$32:$I$32,MATCH(AL$3,販管費予算!$E$4:$I$4,0))/12,0)+IF(COUNTIF($AB$3:AL$3,AL$3)=12,INDEX(販管費予算!$E$32:$I$32,MATCH(AL$3,販管費予算!$E$4:$I$4,0))-12*ROUND(INDEX(販管費予算!$E$32:$I$32,MATCH(AL$3,販管費予算!$E$4:$I$4,0))/12,0),0)</f>
        <v>16667.0</v>
      </c>
      <c r="AM79" s="431">
        <f>ROUND(INDEX(販管費予算!$E$32:$I$32,MATCH(AM$3,販管費予算!$E$4:$I$4,0))/12,0)+IF(COUNTIF($AB$3:AM$3,AM$3)=12,INDEX(販管費予算!$E$32:$I$32,MATCH(AM$3,販管費予算!$E$4:$I$4,0))-12*ROUND(INDEX(販管費予算!$E$32:$I$32,MATCH(AM$3,販管費予算!$E$4:$I$4,0))/12,0),0)</f>
        <v>16663.0</v>
      </c>
      <c r="AN79" s="429">
        <f>ROUND(INDEX(販管費予算!$E$32:$I$32,MATCH(AN$3,販管費予算!$E$4:$I$4,0))/12,0)+IF(COUNTIF($AB$3:AN$3,AN$3)=12,INDEX(販管費予算!$E$32:$I$32,MATCH(AN$3,販管費予算!$E$4:$I$4,0))-12*ROUND(INDEX(販管費予算!$E$32:$I$32,MATCH(AN$3,販管費予算!$E$4:$I$4,0))/12,0),0)</f>
        <v>25000.0</v>
      </c>
      <c r="AO79" s="430">
        <f>ROUND(INDEX(販管費予算!$E$32:$I$32,MATCH(AO$3,販管費予算!$E$4:$I$4,0))/12,0)+IF(COUNTIF($AB$3:AO$3,AO$3)=12,INDEX(販管費予算!$E$32:$I$32,MATCH(AO$3,販管費予算!$E$4:$I$4,0))-12*ROUND(INDEX(販管費予算!$E$32:$I$32,MATCH(AO$3,販管費予算!$E$4:$I$4,0))/12,0),0)</f>
        <v>25000.0</v>
      </c>
      <c r="AP79" s="430">
        <f>ROUND(INDEX(販管費予算!$E$32:$I$32,MATCH(AP$3,販管費予算!$E$4:$I$4,0))/12,0)+IF(COUNTIF($AB$3:AP$3,AP$3)=12,INDEX(販管費予算!$E$32:$I$32,MATCH(AP$3,販管費予算!$E$4:$I$4,0))-12*ROUND(INDEX(販管費予算!$E$32:$I$32,MATCH(AP$3,販管費予算!$E$4:$I$4,0))/12,0),0)</f>
        <v>25000.0</v>
      </c>
      <c r="AQ79" s="430">
        <f>ROUND(INDEX(販管費予算!$E$32:$I$32,MATCH(AQ$3,販管費予算!$E$4:$I$4,0))/12,0)+IF(COUNTIF($AB$3:AQ$3,AQ$3)=12,INDEX(販管費予算!$E$32:$I$32,MATCH(AQ$3,販管費予算!$E$4:$I$4,0))-12*ROUND(INDEX(販管費予算!$E$32:$I$32,MATCH(AQ$3,販管費予算!$E$4:$I$4,0))/12,0),0)</f>
        <v>25000.0</v>
      </c>
      <c r="AR79" s="430">
        <f>ROUND(INDEX(販管費予算!$E$32:$I$32,MATCH(AR$3,販管費予算!$E$4:$I$4,0))/12,0)+IF(COUNTIF($AB$3:AR$3,AR$3)=12,INDEX(販管費予算!$E$32:$I$32,MATCH(AR$3,販管費予算!$E$4:$I$4,0))-12*ROUND(INDEX(販管費予算!$E$32:$I$32,MATCH(AR$3,販管費予算!$E$4:$I$4,0))/12,0),0)</f>
        <v>25000.0</v>
      </c>
      <c r="AS79" s="430">
        <f>ROUND(INDEX(販管費予算!$E$32:$I$32,MATCH(AS$3,販管費予算!$E$4:$I$4,0))/12,0)+IF(COUNTIF($AB$3:AS$3,AS$3)=12,INDEX(販管費予算!$E$32:$I$32,MATCH(AS$3,販管費予算!$E$4:$I$4,0))-12*ROUND(INDEX(販管費予算!$E$32:$I$32,MATCH(AS$3,販管費予算!$E$4:$I$4,0))/12,0),0)</f>
        <v>25000.0</v>
      </c>
      <c r="AT79" s="430">
        <f>ROUND(INDEX(販管費予算!$E$32:$I$32,MATCH(AT$3,販管費予算!$E$4:$I$4,0))/12,0)+IF(COUNTIF($AB$3:AT$3,AT$3)=12,INDEX(販管費予算!$E$32:$I$32,MATCH(AT$3,販管費予算!$E$4:$I$4,0))-12*ROUND(INDEX(販管費予算!$E$32:$I$32,MATCH(AT$3,販管費予算!$E$4:$I$4,0))/12,0),0)</f>
        <v>25000.0</v>
      </c>
      <c r="AU79" s="430">
        <f>ROUND(INDEX(販管費予算!$E$32:$I$32,MATCH(AU$3,販管費予算!$E$4:$I$4,0))/12,0)+IF(COUNTIF($AB$3:AU$3,AU$3)=12,INDEX(販管費予算!$E$32:$I$32,MATCH(AU$3,販管費予算!$E$4:$I$4,0))-12*ROUND(INDEX(販管費予算!$E$32:$I$32,MATCH(AU$3,販管費予算!$E$4:$I$4,0))/12,0),0)</f>
        <v>25000.0</v>
      </c>
      <c r="AV79" s="430">
        <f>ROUND(INDEX(販管費予算!$E$32:$I$32,MATCH(AV$3,販管費予算!$E$4:$I$4,0))/12,0)+IF(COUNTIF($AB$3:AV$3,AV$3)=12,INDEX(販管費予算!$E$32:$I$32,MATCH(AV$3,販管費予算!$E$4:$I$4,0))-12*ROUND(INDEX(販管費予算!$E$32:$I$32,MATCH(AV$3,販管費予算!$E$4:$I$4,0))/12,0),0)</f>
        <v>25000.0</v>
      </c>
      <c r="AW79" s="430">
        <f>ROUND(INDEX(販管費予算!$E$32:$I$32,MATCH(AW$3,販管費予算!$E$4:$I$4,0))/12,0)+IF(COUNTIF($AB$3:AW$3,AW$3)=12,INDEX(販管費予算!$E$32:$I$32,MATCH(AW$3,販管費予算!$E$4:$I$4,0))-12*ROUND(INDEX(販管費予算!$E$32:$I$32,MATCH(AW$3,販管費予算!$E$4:$I$4,0))/12,0),0)</f>
        <v>25000.0</v>
      </c>
      <c r="AX79" s="430">
        <f>ROUND(INDEX(販管費予算!$E$32:$I$32,MATCH(AX$3,販管費予算!$E$4:$I$4,0))/12,0)+IF(COUNTIF($AB$3:AX$3,AX$3)=12,INDEX(販管費予算!$E$32:$I$32,MATCH(AX$3,販管費予算!$E$4:$I$4,0))-12*ROUND(INDEX(販管費予算!$E$32:$I$32,MATCH(AX$3,販管費予算!$E$4:$I$4,0))/12,0),0)</f>
        <v>25000.0</v>
      </c>
      <c r="AY79" s="431">
        <f>ROUND(INDEX(販管費予算!$E$32:$I$32,MATCH(AY$3,販管費予算!$E$4:$I$4,0))/12,0)+IF(COUNTIF($AB$3:AY$3,AY$3)=12,INDEX(販管費予算!$E$32:$I$32,MATCH(AY$3,販管費予算!$E$4:$I$4,0))-12*ROUND(INDEX(販管費予算!$E$32:$I$32,MATCH(AY$3,販管費予算!$E$4:$I$4,0))/12,0),0)</f>
        <v>25000.0</v>
      </c>
      <c r="AZ79" s="429">
        <f>ROUND(INDEX(販管費予算!$E$32:$I$32,MATCH(AZ$3,販管費予算!$E$4:$I$4,0))/12,0)+IF(COUNTIF($AB$3:AZ$3,AZ$3)=12,INDEX(販管費予算!$E$32:$I$32,MATCH(AZ$3,販管費予算!$E$4:$I$4,0))-12*ROUND(INDEX(販管費予算!$E$32:$I$32,MATCH(AZ$3,販管費予算!$E$4:$I$4,0))/12,0),0)</f>
        <v>41667.0</v>
      </c>
      <c r="BA79" s="430">
        <f>ROUND(INDEX(販管費予算!$E$32:$I$32,MATCH(BA$3,販管費予算!$E$4:$I$4,0))/12,0)+IF(COUNTIF($AB$3:BA$3,BA$3)=12,INDEX(販管費予算!$E$32:$I$32,MATCH(BA$3,販管費予算!$E$4:$I$4,0))-12*ROUND(INDEX(販管費予算!$E$32:$I$32,MATCH(BA$3,販管費予算!$E$4:$I$4,0))/12,0),0)</f>
        <v>41667.0</v>
      </c>
      <c r="BB79" s="430">
        <f>ROUND(INDEX(販管費予算!$E$32:$I$32,MATCH(BB$3,販管費予算!$E$4:$I$4,0))/12,0)+IF(COUNTIF($AB$3:BB$3,BB$3)=12,INDEX(販管費予算!$E$32:$I$32,MATCH(BB$3,販管費予算!$E$4:$I$4,0))-12*ROUND(INDEX(販管費予算!$E$32:$I$32,MATCH(BB$3,販管費予算!$E$4:$I$4,0))/12,0),0)</f>
        <v>41667.0</v>
      </c>
      <c r="BC79" s="430">
        <f>ROUND(INDEX(販管費予算!$E$32:$I$32,MATCH(BC$3,販管費予算!$E$4:$I$4,0))/12,0)+IF(COUNTIF($AB$3:BC$3,BC$3)=12,INDEX(販管費予算!$E$32:$I$32,MATCH(BC$3,販管費予算!$E$4:$I$4,0))-12*ROUND(INDEX(販管費予算!$E$32:$I$32,MATCH(BC$3,販管費予算!$E$4:$I$4,0))/12,0),0)</f>
        <v>41667.0</v>
      </c>
      <c r="BD79" s="430">
        <f>ROUND(INDEX(販管費予算!$E$32:$I$32,MATCH(BD$3,販管費予算!$E$4:$I$4,0))/12,0)+IF(COUNTIF($AB$3:BD$3,BD$3)=12,INDEX(販管費予算!$E$32:$I$32,MATCH(BD$3,販管費予算!$E$4:$I$4,0))-12*ROUND(INDEX(販管費予算!$E$32:$I$32,MATCH(BD$3,販管費予算!$E$4:$I$4,0))/12,0),0)</f>
        <v>41667.0</v>
      </c>
      <c r="BE79" s="430">
        <f>ROUND(INDEX(販管費予算!$E$32:$I$32,MATCH(BE$3,販管費予算!$E$4:$I$4,0))/12,0)+IF(COUNTIF($AB$3:BE$3,BE$3)=12,INDEX(販管費予算!$E$32:$I$32,MATCH(BE$3,販管費予算!$E$4:$I$4,0))-12*ROUND(INDEX(販管費予算!$E$32:$I$32,MATCH(BE$3,販管費予算!$E$4:$I$4,0))/12,0),0)</f>
        <v>41667.0</v>
      </c>
      <c r="BF79" s="430">
        <f>ROUND(INDEX(販管費予算!$E$32:$I$32,MATCH(BF$3,販管費予算!$E$4:$I$4,0))/12,0)+IF(COUNTIF($AB$3:BF$3,BF$3)=12,INDEX(販管費予算!$E$32:$I$32,MATCH(BF$3,販管費予算!$E$4:$I$4,0))-12*ROUND(INDEX(販管費予算!$E$32:$I$32,MATCH(BF$3,販管費予算!$E$4:$I$4,0))/12,0),0)</f>
        <v>41667.0</v>
      </c>
      <c r="BG79" s="430">
        <f>ROUND(INDEX(販管費予算!$E$32:$I$32,MATCH(BG$3,販管費予算!$E$4:$I$4,0))/12,0)+IF(COUNTIF($AB$3:BG$3,BG$3)=12,INDEX(販管費予算!$E$32:$I$32,MATCH(BG$3,販管費予算!$E$4:$I$4,0))-12*ROUND(INDEX(販管費予算!$E$32:$I$32,MATCH(BG$3,販管費予算!$E$4:$I$4,0))/12,0),0)</f>
        <v>41667.0</v>
      </c>
      <c r="BH79" s="430">
        <f>ROUND(INDEX(販管費予算!$E$32:$I$32,MATCH(BH$3,販管費予算!$E$4:$I$4,0))/12,0)+IF(COUNTIF($AB$3:BH$3,BH$3)=12,INDEX(販管費予算!$E$32:$I$32,MATCH(BH$3,販管費予算!$E$4:$I$4,0))-12*ROUND(INDEX(販管費予算!$E$32:$I$32,MATCH(BH$3,販管費予算!$E$4:$I$4,0))/12,0),0)</f>
        <v>41667.0</v>
      </c>
      <c r="BI79" s="430">
        <f>ROUND(INDEX(販管費予算!$E$32:$I$32,MATCH(BI$3,販管費予算!$E$4:$I$4,0))/12,0)+IF(COUNTIF($AB$3:BI$3,BI$3)=12,INDEX(販管費予算!$E$32:$I$32,MATCH(BI$3,販管費予算!$E$4:$I$4,0))-12*ROUND(INDEX(販管費予算!$E$32:$I$32,MATCH(BI$3,販管費予算!$E$4:$I$4,0))/12,0),0)</f>
        <v>41667.0</v>
      </c>
      <c r="BJ79" s="430">
        <f>ROUND(INDEX(販管費予算!$E$32:$I$32,MATCH(BJ$3,販管費予算!$E$4:$I$4,0))/12,0)+IF(COUNTIF($AB$3:BJ$3,BJ$3)=12,INDEX(販管費予算!$E$32:$I$32,MATCH(BJ$3,販管費予算!$E$4:$I$4,0))-12*ROUND(INDEX(販管費予算!$E$32:$I$32,MATCH(BJ$3,販管費予算!$E$4:$I$4,0))/12,0),0)</f>
        <v>41667.0</v>
      </c>
      <c r="BK79" s="431">
        <f>ROUND(INDEX(販管費予算!$E$32:$I$32,MATCH(BK$3,販管費予算!$E$4:$I$4,0))/12,0)+IF(COUNTIF($AB$3:BK$3,BK$3)=12,INDEX(販管費予算!$E$32:$I$32,MATCH(BK$3,販管費予算!$E$4:$I$4,0))-12*ROUND(INDEX(販管費予算!$E$32:$I$32,MATCH(BK$3,販管費予算!$E$4:$I$4,0))/12,0),0)</f>
        <v>41663.0</v>
      </c>
      <c r="BL79" s="429">
        <f>ROUND(INDEX(販管費予算!$E$32:$I$32,MATCH(BL$3,販管費予算!$E$4:$I$4,0))/12,0)+IF(COUNTIF($AB$3:BL$3,BL$3)=12,INDEX(販管費予算!$E$32:$I$32,MATCH(BL$3,販管費予算!$E$4:$I$4,0))-12*ROUND(INDEX(販管費予算!$E$32:$I$32,MATCH(BL$3,販管費予算!$E$4:$I$4,0))/12,0),0)</f>
        <v>58333.0</v>
      </c>
      <c r="BM79" s="430">
        <f>ROUND(INDEX(販管費予算!$E$32:$I$32,MATCH(BM$3,販管費予算!$E$4:$I$4,0))/12,0)+IF(COUNTIF($AB$3:BM$3,BM$3)=12,INDEX(販管費予算!$E$32:$I$32,MATCH(BM$3,販管費予算!$E$4:$I$4,0))-12*ROUND(INDEX(販管費予算!$E$32:$I$32,MATCH(BM$3,販管費予算!$E$4:$I$4,0))/12,0),0)</f>
        <v>58333.0</v>
      </c>
      <c r="BN79" s="430">
        <f>ROUND(INDEX(販管費予算!$E$32:$I$32,MATCH(BN$3,販管費予算!$E$4:$I$4,0))/12,0)+IF(COUNTIF($AB$3:BN$3,BN$3)=12,INDEX(販管費予算!$E$32:$I$32,MATCH(BN$3,販管費予算!$E$4:$I$4,0))-12*ROUND(INDEX(販管費予算!$E$32:$I$32,MATCH(BN$3,販管費予算!$E$4:$I$4,0))/12,0),0)</f>
        <v>58333.0</v>
      </c>
      <c r="BO79" s="430">
        <f>ROUND(INDEX(販管費予算!$E$32:$I$32,MATCH(BO$3,販管費予算!$E$4:$I$4,0))/12,0)+IF(COUNTIF($AB$3:BO$3,BO$3)=12,INDEX(販管費予算!$E$32:$I$32,MATCH(BO$3,販管費予算!$E$4:$I$4,0))-12*ROUND(INDEX(販管費予算!$E$32:$I$32,MATCH(BO$3,販管費予算!$E$4:$I$4,0))/12,0),0)</f>
        <v>58333.0</v>
      </c>
      <c r="BP79" s="430">
        <f>ROUND(INDEX(販管費予算!$E$32:$I$32,MATCH(BP$3,販管費予算!$E$4:$I$4,0))/12,0)+IF(COUNTIF($AB$3:BP$3,BP$3)=12,INDEX(販管費予算!$E$32:$I$32,MATCH(BP$3,販管費予算!$E$4:$I$4,0))-12*ROUND(INDEX(販管費予算!$E$32:$I$32,MATCH(BP$3,販管費予算!$E$4:$I$4,0))/12,0),0)</f>
        <v>58333.0</v>
      </c>
      <c r="BQ79" s="430">
        <f>ROUND(INDEX(販管費予算!$E$32:$I$32,MATCH(BQ$3,販管費予算!$E$4:$I$4,0))/12,0)+IF(COUNTIF($AB$3:BQ$3,BQ$3)=12,INDEX(販管費予算!$E$32:$I$32,MATCH(BQ$3,販管費予算!$E$4:$I$4,0))-12*ROUND(INDEX(販管費予算!$E$32:$I$32,MATCH(BQ$3,販管費予算!$E$4:$I$4,0))/12,0),0)</f>
        <v>58333.0</v>
      </c>
      <c r="BR79" s="430">
        <f>ROUND(INDEX(販管費予算!$E$32:$I$32,MATCH(BR$3,販管費予算!$E$4:$I$4,0))/12,0)+IF(COUNTIF($AB$3:BR$3,BR$3)=12,INDEX(販管費予算!$E$32:$I$32,MATCH(BR$3,販管費予算!$E$4:$I$4,0))-12*ROUND(INDEX(販管費予算!$E$32:$I$32,MATCH(BR$3,販管費予算!$E$4:$I$4,0))/12,0),0)</f>
        <v>58333.0</v>
      </c>
      <c r="BS79" s="430">
        <f>ROUND(INDEX(販管費予算!$E$32:$I$32,MATCH(BS$3,販管費予算!$E$4:$I$4,0))/12,0)+IF(COUNTIF($AB$3:BS$3,BS$3)=12,INDEX(販管費予算!$E$32:$I$32,MATCH(BS$3,販管費予算!$E$4:$I$4,0))-12*ROUND(INDEX(販管費予算!$E$32:$I$32,MATCH(BS$3,販管費予算!$E$4:$I$4,0))/12,0),0)</f>
        <v>58333.0</v>
      </c>
      <c r="BT79" s="430">
        <f>ROUND(INDEX(販管費予算!$E$32:$I$32,MATCH(BT$3,販管費予算!$E$4:$I$4,0))/12,0)+IF(COUNTIF($AB$3:BT$3,BT$3)=12,INDEX(販管費予算!$E$32:$I$32,MATCH(BT$3,販管費予算!$E$4:$I$4,0))-12*ROUND(INDEX(販管費予算!$E$32:$I$32,MATCH(BT$3,販管費予算!$E$4:$I$4,0))/12,0),0)</f>
        <v>58333.0</v>
      </c>
      <c r="BU79" s="430">
        <f>ROUND(INDEX(販管費予算!$E$32:$I$32,MATCH(BU$3,販管費予算!$E$4:$I$4,0))/12,0)+IF(COUNTIF($AB$3:BU$3,BU$3)=12,INDEX(販管費予算!$E$32:$I$32,MATCH(BU$3,販管費予算!$E$4:$I$4,0))-12*ROUND(INDEX(販管費予算!$E$32:$I$32,MATCH(BU$3,販管費予算!$E$4:$I$4,0))/12,0),0)</f>
        <v>58333.0</v>
      </c>
      <c r="BV79" s="430">
        <f>ROUND(INDEX(販管費予算!$E$32:$I$32,MATCH(BV$3,販管費予算!$E$4:$I$4,0))/12,0)+IF(COUNTIF($AB$3:BV$3,BV$3)=12,INDEX(販管費予算!$E$32:$I$32,MATCH(BV$3,販管費予算!$E$4:$I$4,0))-12*ROUND(INDEX(販管費予算!$E$32:$I$32,MATCH(BV$3,販管費予算!$E$4:$I$4,0))/12,0),0)</f>
        <v>58333.0</v>
      </c>
      <c r="BW79" s="431">
        <f>ROUND(INDEX(販管費予算!$E$32:$I$32,MATCH(BW$3,販管費予算!$E$4:$I$4,0))/12,0)+IF(COUNTIF($AB$3:BW$3,BW$3)=12,INDEX(販管費予算!$E$32:$I$32,MATCH(BW$3,販管費予算!$E$4:$I$4,0))-12*ROUND(INDEX(販管費予算!$E$32:$I$32,MATCH(BW$3,販管費予算!$E$4:$I$4,0))/12,0),0)</f>
        <v>58337.0</v>
      </c>
      <c r="BX79" s="429">
        <f>ROUND(INDEX(販管費予算!$E$32:$I$32,MATCH(BX$3,販管費予算!$E$4:$I$4,0))/12,0)+IF(COUNTIF($AB$3:BX$3,BX$3)=12,INDEX(販管費予算!$E$32:$I$32,MATCH(BX$3,販管費予算!$E$4:$I$4,0))-12*ROUND(INDEX(販管費予算!$E$32:$I$32,MATCH(BX$3,販管費予算!$E$4:$I$4,0))/12,0),0)</f>
        <v>83333.0</v>
      </c>
      <c r="BY79" s="430">
        <f>ROUND(INDEX(販管費予算!$E$32:$I$32,MATCH(BY$3,販管費予算!$E$4:$I$4,0))/12,0)+IF(COUNTIF($AB$3:BY$3,BY$3)=12,INDEX(販管費予算!$E$32:$I$32,MATCH(BY$3,販管費予算!$E$4:$I$4,0))-12*ROUND(INDEX(販管費予算!$E$32:$I$32,MATCH(BY$3,販管費予算!$E$4:$I$4,0))/12,0),0)</f>
        <v>83333.0</v>
      </c>
      <c r="BZ79" s="430">
        <f>ROUND(INDEX(販管費予算!$E$32:$I$32,MATCH(BZ$3,販管費予算!$E$4:$I$4,0))/12,0)+IF(COUNTIF($AB$3:BZ$3,BZ$3)=12,INDEX(販管費予算!$E$32:$I$32,MATCH(BZ$3,販管費予算!$E$4:$I$4,0))-12*ROUND(INDEX(販管費予算!$E$32:$I$32,MATCH(BZ$3,販管費予算!$E$4:$I$4,0))/12,0),0)</f>
        <v>83333.0</v>
      </c>
      <c r="CA79" s="430">
        <f>ROUND(INDEX(販管費予算!$E$32:$I$32,MATCH(CA$3,販管費予算!$E$4:$I$4,0))/12,0)+IF(COUNTIF($AB$3:CA$3,CA$3)=12,INDEX(販管費予算!$E$32:$I$32,MATCH(CA$3,販管費予算!$E$4:$I$4,0))-12*ROUND(INDEX(販管費予算!$E$32:$I$32,MATCH(CA$3,販管費予算!$E$4:$I$4,0))/12,0),0)</f>
        <v>83333.0</v>
      </c>
      <c r="CB79" s="430">
        <f>ROUND(INDEX(販管費予算!$E$32:$I$32,MATCH(CB$3,販管費予算!$E$4:$I$4,0))/12,0)+IF(COUNTIF($AB$3:CB$3,CB$3)=12,INDEX(販管費予算!$E$32:$I$32,MATCH(CB$3,販管費予算!$E$4:$I$4,0))-12*ROUND(INDEX(販管費予算!$E$32:$I$32,MATCH(CB$3,販管費予算!$E$4:$I$4,0))/12,0),0)</f>
        <v>83333.0</v>
      </c>
      <c r="CC79" s="430">
        <f>ROUND(INDEX(販管費予算!$E$32:$I$32,MATCH(CC$3,販管費予算!$E$4:$I$4,0))/12,0)+IF(COUNTIF($AB$3:CC$3,CC$3)=12,INDEX(販管費予算!$E$32:$I$32,MATCH(CC$3,販管費予算!$E$4:$I$4,0))-12*ROUND(INDEX(販管費予算!$E$32:$I$32,MATCH(CC$3,販管費予算!$E$4:$I$4,0))/12,0),0)</f>
        <v>83333.0</v>
      </c>
      <c r="CD79" s="430">
        <f>ROUND(INDEX(販管費予算!$E$32:$I$32,MATCH(CD$3,販管費予算!$E$4:$I$4,0))/12,0)+IF(COUNTIF($AB$3:CD$3,CD$3)=12,INDEX(販管費予算!$E$32:$I$32,MATCH(CD$3,販管費予算!$E$4:$I$4,0))-12*ROUND(INDEX(販管費予算!$E$32:$I$32,MATCH(CD$3,販管費予算!$E$4:$I$4,0))/12,0),0)</f>
        <v>83333.0</v>
      </c>
      <c r="CE79" s="430">
        <f>ROUND(INDEX(販管費予算!$E$32:$I$32,MATCH(CE$3,販管費予算!$E$4:$I$4,0))/12,0)+IF(COUNTIF($AB$3:CE$3,CE$3)=12,INDEX(販管費予算!$E$32:$I$32,MATCH(CE$3,販管費予算!$E$4:$I$4,0))-12*ROUND(INDEX(販管費予算!$E$32:$I$32,MATCH(CE$3,販管費予算!$E$4:$I$4,0))/12,0),0)</f>
        <v>83333.0</v>
      </c>
      <c r="CF79" s="430">
        <f>ROUND(INDEX(販管費予算!$E$32:$I$32,MATCH(CF$3,販管費予算!$E$4:$I$4,0))/12,0)+IF(COUNTIF($AB$3:CF$3,CF$3)=12,INDEX(販管費予算!$E$32:$I$32,MATCH(CF$3,販管費予算!$E$4:$I$4,0))-12*ROUND(INDEX(販管費予算!$E$32:$I$32,MATCH(CF$3,販管費予算!$E$4:$I$4,0))/12,0),0)</f>
        <v>83333.0</v>
      </c>
      <c r="CG79" s="430">
        <f>ROUND(INDEX(販管費予算!$E$32:$I$32,MATCH(CG$3,販管費予算!$E$4:$I$4,0))/12,0)+IF(COUNTIF($AB$3:CG$3,CG$3)=12,INDEX(販管費予算!$E$32:$I$32,MATCH(CG$3,販管費予算!$E$4:$I$4,0))-12*ROUND(INDEX(販管費予算!$E$32:$I$32,MATCH(CG$3,販管費予算!$E$4:$I$4,0))/12,0),0)</f>
        <v>83333.0</v>
      </c>
      <c r="CH79" s="430">
        <f>ROUND(INDEX(販管費予算!$E$32:$I$32,MATCH(CH$3,販管費予算!$E$4:$I$4,0))/12,0)+IF(COUNTIF($AB$3:CH$3,CH$3)=12,INDEX(販管費予算!$E$32:$I$32,MATCH(CH$3,販管費予算!$E$4:$I$4,0))-12*ROUND(INDEX(販管費予算!$E$32:$I$32,MATCH(CH$3,販管費予算!$E$4:$I$4,0))/12,0),0)</f>
        <v>83333.0</v>
      </c>
      <c r="CI79" s="431">
        <f>ROUND(INDEX(販管費予算!$E$32:$I$32,MATCH(CI$3,販管費予算!$E$4:$I$4,0))/12,0)+IF(COUNTIF($AB$3:CI$3,CI$3)=12,INDEX(販管費予算!$E$32:$I$32,MATCH(CI$3,販管費予算!$E$4:$I$4,0))-12*ROUND(INDEX(販管費予算!$E$32:$I$32,MATCH(CI$3,販管費予算!$E$4:$I$4,0))/12,0),0)</f>
        <v>83337.0</v>
      </c>
    </row>
    <row r="80" ht="18" customHeight="1" s="145">
      <c r="A80" s="300" t="inlineStr">
        <is>
          <t>営業損益</t>
        </is>
      </c>
      <c r="B80" s="300" t="n"/>
      <c r="C80" s="300" t="n"/>
      <c r="D80" s="309" t="inlineStr">
        <is>
          <t>円</t>
        </is>
      </c>
      <c r="E80" s="437">
        <f>E23-E25</f>
        <v>-33249571.1899109</v>
      </c>
      <c r="F80" s="438">
        <f>F23-F25</f>
        <v>-11905996.2600363</v>
      </c>
      <c r="G80" s="438">
        <f>G23-G25</f>
        <v>-4146493.77162999</v>
      </c>
      <c r="H80" s="438">
        <f>H23-H25</f>
        <v>4344500.14805055</v>
      </c>
      <c r="I80" s="438">
        <f>I23-I25</f>
        <v>-59169879.6001254</v>
      </c>
      <c r="J80" s="436">
        <f>J23-J25</f>
        <v>-104127440.673652</v>
      </c>
      <c r="K80" s="436">
        <f>K23-K25</f>
        <v>0.0</v>
      </c>
      <c r="L80" s="436">
        <f>L23-L25</f>
        <v>0.0</v>
      </c>
      <c r="M80" s="436">
        <f>M23-M25</f>
        <v>0.0</v>
      </c>
      <c r="N80" s="436">
        <f>N23-N25</f>
        <v>0.0</v>
      </c>
      <c r="O80" s="235" t="n"/>
      <c r="P80" s="437" t="n"/>
      <c r="Q80" s="438" t="n"/>
      <c r="R80" s="438" t="n"/>
      <c r="S80" s="438" t="n"/>
      <c r="T80" s="438" t="n"/>
      <c r="U80" s="438" t="n"/>
      <c r="V80" s="438" t="n"/>
      <c r="W80" s="438" t="n"/>
      <c r="X80" s="438" t="n"/>
      <c r="Y80" s="438" t="n"/>
      <c r="Z80" s="438" t="n"/>
      <c r="AA80" s="439" t="n"/>
      <c r="AB80" s="487">
        <f>AB23-AB25</f>
        <v>-4583335.0</v>
      </c>
      <c r="AC80" s="436">
        <f>AC23-AC25</f>
        <v>-4530080.12011887</v>
      </c>
      <c r="AD80" s="436">
        <f>AD23-AD25</f>
        <v>-4271607.98581083</v>
      </c>
      <c r="AE80" s="436">
        <f>AE23-AE25</f>
        <v>-4017747.42918896</v>
      </c>
      <c r="AF80" s="436">
        <f>AF23-AF25</f>
        <v>-3777519.60619952</v>
      </c>
      <c r="AG80" s="438">
        <f>AG23-AG25</f>
        <v>-3497287.01228874</v>
      </c>
      <c r="AH80" s="438">
        <f>AH23-AH25</f>
        <v>-2891704.76113117</v>
      </c>
      <c r="AI80" s="438">
        <f>AI23-AI25</f>
        <v>-2290696.56882801</v>
      </c>
      <c r="AJ80" s="438">
        <f>AJ23-AJ25</f>
        <v>-1643184.21112946</v>
      </c>
      <c r="AK80" s="438">
        <f>AK23-AK25</f>
        <v>-1007785.09369259</v>
      </c>
      <c r="AL80" s="438">
        <f>AL23-AL25</f>
        <v>-707475.515431775</v>
      </c>
      <c r="AM80" s="439">
        <f>AM23-AM25</f>
        <v>-31147.8860909957</v>
      </c>
      <c r="AN80" s="437">
        <f>AN23-AN25</f>
        <v>-4555804.38546119</v>
      </c>
      <c r="AO80" s="438">
        <f>AO23-AO25</f>
        <v>-3897684.22628692</v>
      </c>
      <c r="AP80" s="438">
        <f>AP23-AP25</f>
        <v>-3194044.87128581</v>
      </c>
      <c r="AQ80" s="438">
        <f>AQ23-AQ25</f>
        <v>-2503485.69171198</v>
      </c>
      <c r="AR80" s="438">
        <f>AR23-AR25</f>
        <v>-2148965.22951552</v>
      </c>
      <c r="AS80" s="438">
        <f>AS23-AS25</f>
        <v>-1419378.41352846</v>
      </c>
      <c r="AT80" s="438">
        <f>AT23-AT25</f>
        <v>-703316.21711541</v>
      </c>
      <c r="AU80" s="438">
        <f>AU23-AU25</f>
        <v>6271.08065281622</v>
      </c>
      <c r="AV80" s="438">
        <f>AV23-AV25</f>
        <v>760496.679866083</v>
      </c>
      <c r="AW80" s="438">
        <f>AW23-AW25</f>
        <v>1170777.60323839</v>
      </c>
      <c r="AX80" s="438">
        <f>AX23-AX25</f>
        <v>1904171.43610439</v>
      </c>
      <c r="AY80" s="439">
        <f>AY23-AY25</f>
        <v>2674965.97500728</v>
      </c>
      <c r="AZ80" s="437">
        <f>AZ23-AZ25</f>
        <v>-4532398.75905124</v>
      </c>
      <c r="BA80" s="438">
        <f>BA23-BA25</f>
        <v>-4065953.72745042</v>
      </c>
      <c r="BB80" s="438">
        <f>BB23-BB25</f>
        <v>-3224391.89531236</v>
      </c>
      <c r="BC80" s="438">
        <f>BC23-BC25</f>
        <v>-2396120.71276208</v>
      </c>
      <c r="BD80" s="438">
        <f>BD23-BD25</f>
        <v>-1567278.1042684</v>
      </c>
      <c r="BE80" s="438">
        <f>BE23-BE25</f>
        <v>-707437.778047817</v>
      </c>
      <c r="BF80" s="438">
        <f>BF23-BF25</f>
        <v>152574.780812837</v>
      </c>
      <c r="BG80" s="438">
        <f>BG23-BG25</f>
        <v>669048.807423204</v>
      </c>
      <c r="BH80" s="438">
        <f>BH23-BH25</f>
        <v>1559992.4606346</v>
      </c>
      <c r="BI80" s="438">
        <f>BI23-BI25</f>
        <v>2437007.31644073</v>
      </c>
      <c r="BJ80" s="438">
        <f>BJ23-BJ25</f>
        <v>3307103.24060227</v>
      </c>
      <c r="BK80" s="439">
        <f>BK23-BK25</f>
        <v>4221360.59934872</v>
      </c>
      <c r="BL80" s="437">
        <f>BL23-BL25</f>
        <v>-4616934.73077053</v>
      </c>
      <c r="BM80" s="438">
        <f>BM23-BM25</f>
        <v>-3724116.63343225</v>
      </c>
      <c r="BN80" s="438">
        <f>BN23-BN25</f>
        <v>-2794285.67933793</v>
      </c>
      <c r="BO80" s="438">
        <f>BO23-BO25</f>
        <v>-1872043.73329382</v>
      </c>
      <c r="BP80" s="438">
        <f>BP23-BP25</f>
        <v>-957300.700855687</v>
      </c>
      <c r="BQ80" s="438">
        <f>BQ23-BQ25</f>
        <v>-5825.08160998672</v>
      </c>
      <c r="BR80" s="438">
        <f>BR23-BR25</f>
        <v>937785.280759752</v>
      </c>
      <c r="BS80" s="438">
        <f>BS23-BS25</f>
        <v>1543624.45200023</v>
      </c>
      <c r="BT80" s="438">
        <f>BT23-BT25</f>
        <v>2515927.85420614</v>
      </c>
      <c r="BU80" s="438">
        <f>BU23-BU25</f>
        <v>3473240.37847739</v>
      </c>
      <c r="BV80" s="438">
        <f>BV23-BV25</f>
        <v>4429448.0217245</v>
      </c>
      <c r="BW80" s="439">
        <f>BW23-BW25</f>
        <v>5414980.72018268</v>
      </c>
      <c r="BX80" s="437">
        <f>BX23-BX25</f>
        <v>-10924392.7371454</v>
      </c>
      <c r="BY80" s="438">
        <f>BY23-BY25</f>
        <v>-9835607.75309672</v>
      </c>
      <c r="BZ80" s="438">
        <f>BZ23-BZ25</f>
        <v>-8709211.17994271</v>
      </c>
      <c r="CA80" s="438">
        <f>CA23-CA25</f>
        <v>-7589640.47732096</v>
      </c>
      <c r="CB80" s="438">
        <f>CB23-CB25</f>
        <v>-6806852.43784207</v>
      </c>
      <c r="CC80" s="438">
        <f>CC23-CC25</f>
        <v>-5649800.20745839</v>
      </c>
      <c r="CD80" s="438">
        <f>CD23-CD25</f>
        <v>-4506697.96833582</v>
      </c>
      <c r="CE80" s="438">
        <f>CE23-CE25</f>
        <v>-3370582.133451</v>
      </c>
      <c r="CF80" s="438">
        <f>CF23-CF25</f>
        <v>-2197265.04514826</v>
      </c>
      <c r="CG80" s="438">
        <f>CG23-CG25</f>
        <v>-1031180.25476072</v>
      </c>
      <c r="CH80" s="438">
        <f>CH23-CH25</f>
        <v>127719.326259971</v>
      </c>
      <c r="CI80" s="439">
        <f>CI23-CI25</f>
        <v>1323631.26811668</v>
      </c>
    </row>
    <row r="81" ht="18" customHeight="1" s="145" thickBot="1">
      <c r="A81" s="337" t="n"/>
      <c r="B81" s="337" t="n"/>
      <c r="C81" s="488" t="inlineStr">
        <is>
          <t>前期比</t>
        </is>
      </c>
      <c r="D81" s="489" t="inlineStr">
        <is>
          <t>％</t>
        </is>
      </c>
      <c r="E81" s="490" t="n"/>
      <c r="F81" s="491" t="str">
        <f>IF(E80&gt;0,(F80-E80)/E80,"-")</f>
        <v>-</v>
      </c>
      <c r="G81" s="491" t="str">
        <f>IF(F80&gt;0,(G80-F80)/F80,"-")</f>
        <v>-</v>
      </c>
      <c r="H81" s="491" t="str">
        <f>IF(G80&gt;0,(H80-G80)/G80,"-")</f>
        <v>-</v>
      </c>
      <c r="I81" s="491">
        <f>IF(H80&gt;0,(I80-H80)/H80,"-")</f>
        <v>-14.6194907546904</v>
      </c>
      <c r="J81" s="342">
        <f>IFERROR((I80/E80)^(1/4)-1,"-")</f>
        <v>0.154991157210635</v>
      </c>
      <c r="K81" s="342" t="str">
        <f>IF(K80&gt;0,(K80-J80)/J80,"-")</f>
        <v>-</v>
      </c>
      <c r="L81" s="342" t="str">
        <f>IF(L80&gt;0,(L80-K80)/K80,"-")</f>
        <v>-</v>
      </c>
      <c r="M81" s="342" t="str">
        <f>IF(M80&gt;0,(M80-L80)/L80,"-")</f>
        <v>-</v>
      </c>
      <c r="N81" s="342" t="str">
        <f>IF(N80&gt;0,(N80-M80)/M80,"-")</f>
        <v>-</v>
      </c>
      <c r="O81" s="316" t="n"/>
      <c r="P81" s="490" t="n"/>
      <c r="Q81" s="492" t="n"/>
      <c r="R81" s="492" t="n"/>
      <c r="S81" s="492" t="n"/>
      <c r="T81" s="492" t="n"/>
      <c r="U81" s="492" t="n"/>
      <c r="V81" s="492" t="n"/>
      <c r="W81" s="492" t="n"/>
      <c r="X81" s="492" t="n"/>
      <c r="Y81" s="492" t="n"/>
      <c r="Z81" s="492" t="n"/>
      <c r="AA81" s="493" t="n"/>
      <c r="AB81" s="490" t="n"/>
      <c r="AC81" s="492" t="n"/>
      <c r="AD81" s="492" t="n"/>
      <c r="AE81" s="492" t="n"/>
      <c r="AF81" s="492" t="n"/>
      <c r="AG81" s="492" t="n"/>
      <c r="AH81" s="492" t="n"/>
      <c r="AI81" s="492" t="n"/>
      <c r="AJ81" s="492" t="n"/>
      <c r="AK81" s="492" t="n"/>
      <c r="AL81" s="492" t="n"/>
      <c r="AM81" s="493" t="n"/>
      <c r="AN81" s="490" t="n"/>
      <c r="AO81" s="492" t="n"/>
      <c r="AP81" s="492" t="n"/>
      <c r="AQ81" s="492" t="n"/>
      <c r="AR81" s="492" t="n"/>
      <c r="AS81" s="492" t="n"/>
      <c r="AT81" s="492" t="n"/>
      <c r="AU81" s="492" t="n"/>
      <c r="AV81" s="492" t="n"/>
      <c r="AW81" s="492" t="n"/>
      <c r="AX81" s="492" t="n"/>
      <c r="AY81" s="493" t="n"/>
      <c r="AZ81" s="490" t="n"/>
      <c r="BA81" s="492" t="n"/>
      <c r="BB81" s="492" t="n"/>
      <c r="BC81" s="492" t="n"/>
      <c r="BD81" s="492" t="n"/>
      <c r="BE81" s="492" t="n"/>
      <c r="BF81" s="492" t="n"/>
      <c r="BG81" s="492" t="n"/>
      <c r="BH81" s="492" t="n"/>
      <c r="BI81" s="492" t="n"/>
      <c r="BJ81" s="492" t="n"/>
      <c r="BK81" s="493" t="n"/>
      <c r="BL81" s="490" t="n"/>
      <c r="BM81" s="492" t="n"/>
      <c r="BN81" s="492" t="n"/>
      <c r="BO81" s="492" t="n"/>
      <c r="BP81" s="492" t="n"/>
      <c r="BQ81" s="492" t="n"/>
      <c r="BR81" s="492" t="n"/>
      <c r="BS81" s="492" t="n"/>
      <c r="BT81" s="492" t="n"/>
      <c r="BU81" s="492" t="n"/>
      <c r="BV81" s="492" t="n"/>
      <c r="BW81" s="493" t="n"/>
      <c r="BX81" s="490" t="n"/>
      <c r="BY81" s="492" t="n"/>
      <c r="BZ81" s="492" t="n"/>
      <c r="CA81" s="492" t="n"/>
      <c r="CB81" s="492" t="n"/>
      <c r="CC81" s="492" t="n"/>
      <c r="CD81" s="492" t="n"/>
      <c r="CE81" s="492" t="n"/>
      <c r="CF81" s="492" t="n"/>
      <c r="CG81" s="492" t="n"/>
      <c r="CH81" s="492" t="n"/>
      <c r="CI81" s="493" t="n"/>
    </row>
    <row r="82" ht="18" customHeight="1" s="145">
      <c r="A82" s="344" t="n"/>
      <c r="B82" s="344" t="n"/>
      <c r="C82" s="344" t="n"/>
      <c r="D82" s="345" t="n"/>
      <c r="E82" s="233" t="n"/>
      <c r="F82" s="233" t="n"/>
      <c r="G82" s="233" t="n"/>
      <c r="H82" s="233" t="n"/>
      <c r="I82" s="233" t="n"/>
      <c r="J82" s="233" t="n"/>
      <c r="K82" s="233" t="n"/>
      <c r="L82" s="233" t="n"/>
      <c r="M82" s="233" t="n"/>
      <c r="N82" s="233" t="n"/>
      <c r="O82" s="235" t="n"/>
      <c r="P82" s="233" t="n"/>
      <c r="Q82" s="233" t="n"/>
      <c r="R82" s="233" t="n"/>
      <c r="S82" s="233" t="n"/>
      <c r="T82" s="233" t="n"/>
      <c r="U82" s="233" t="n"/>
      <c r="V82" s="233" t="n"/>
      <c r="W82" s="233" t="n"/>
      <c r="X82" s="233" t="n"/>
      <c r="Y82" s="233" t="n"/>
      <c r="Z82" s="233" t="n"/>
      <c r="AA82" s="233" t="n"/>
      <c r="AB82" s="233" t="n"/>
      <c r="AC82" s="233" t="n"/>
      <c r="AD82" s="233" t="n"/>
      <c r="AE82" s="233" t="n"/>
      <c r="AF82" s="233" t="n"/>
      <c r="AG82" s="233" t="n"/>
      <c r="AH82" s="233" t="n"/>
      <c r="AI82" s="233" t="n"/>
      <c r="AJ82" s="233" t="n"/>
      <c r="AK82" s="233" t="n"/>
      <c r="AL82" s="233" t="n"/>
      <c r="AM82" s="233" t="n"/>
      <c r="AN82" s="233" t="n"/>
      <c r="AO82" s="233" t="n"/>
      <c r="AP82" s="233" t="n"/>
      <c r="AQ82" s="233" t="n"/>
      <c r="AR82" s="233" t="n"/>
      <c r="AS82" s="233" t="n"/>
      <c r="AT82" s="233" t="n"/>
      <c r="AU82" s="233" t="n"/>
      <c r="AV82" s="233" t="n"/>
      <c r="AW82" s="233" t="n"/>
      <c r="AX82" s="233" t="n"/>
      <c r="AY82" s="233" t="n"/>
      <c r="AZ82" s="233" t="n"/>
      <c r="BA82" s="233" t="n"/>
      <c r="BB82" s="233" t="n"/>
      <c r="BC82" s="233" t="n"/>
      <c r="BD82" s="233" t="n"/>
      <c r="BE82" s="233" t="n"/>
      <c r="BF82" s="233" t="n"/>
      <c r="BG82" s="233" t="n"/>
      <c r="BH82" s="233" t="n"/>
      <c r="BI82" s="233" t="n"/>
      <c r="BJ82" s="233" t="n"/>
      <c r="BK82" s="233" t="n"/>
      <c r="BL82" s="233" t="n"/>
      <c r="BM82" s="233" t="n"/>
      <c r="BN82" s="233" t="n"/>
      <c r="BO82" s="233" t="n"/>
      <c r="BP82" s="233" t="n"/>
      <c r="BQ82" s="233" t="n"/>
      <c r="BR82" s="233" t="n"/>
      <c r="BS82" s="233" t="n"/>
      <c r="BT82" s="233" t="n"/>
      <c r="BU82" s="233" t="n"/>
      <c r="BV82" s="233" t="n"/>
      <c r="BW82" s="233" t="n"/>
      <c r="BX82" s="233" t="n"/>
      <c r="BY82" s="233" t="n"/>
      <c r="BZ82" s="233" t="n"/>
      <c r="CA82" s="233" t="n"/>
      <c r="CB82" s="233" t="n"/>
      <c r="CC82" s="233" t="n"/>
      <c r="CD82" s="233" t="n"/>
      <c r="CE82" s="233" t="n"/>
      <c r="CF82" s="233" t="n"/>
      <c r="CG82" s="233" t="n"/>
      <c r="CH82" s="233" t="n"/>
      <c r="CI82" s="233" t="n"/>
    </row>
    <row r="83" ht="18" customHeight="1" s="145">
      <c r="A83" s="346" t="inlineStr">
        <is>
          <t>検証</t>
        </is>
      </c>
      <c r="B83" s="347" t="n"/>
      <c r="C83" s="347" t="n"/>
      <c r="D83" s="348" t="n"/>
      <c r="E83" s="347" t="n"/>
      <c r="F83" s="347" t="n"/>
      <c r="G83" s="347" t="n"/>
      <c r="H83" s="347" t="n"/>
      <c r="I83" s="347" t="n"/>
      <c r="J83" s="347" t="n"/>
      <c r="K83" s="347" t="n"/>
      <c r="L83" s="347" t="n"/>
      <c r="M83" s="347" t="n"/>
      <c r="N83" s="347" t="n"/>
      <c r="O83" s="349" t="n"/>
      <c r="P83" s="347" t="n"/>
      <c r="Q83" s="347" t="n"/>
      <c r="R83" s="347" t="n"/>
      <c r="S83" s="347" t="n"/>
      <c r="T83" s="347" t="n"/>
      <c r="U83" s="347" t="n"/>
      <c r="V83" s="347" t="n"/>
      <c r="W83" s="347" t="n"/>
      <c r="X83" s="347" t="n"/>
      <c r="Y83" s="347" t="n"/>
      <c r="Z83" s="347" t="n"/>
      <c r="AA83" s="347" t="n"/>
      <c r="AB83" s="347" t="n"/>
      <c r="AC83" s="347" t="n"/>
      <c r="AD83" s="347" t="n"/>
      <c r="AE83" s="347" t="n"/>
      <c r="AF83" s="347" t="n"/>
      <c r="AG83" s="347" t="n"/>
      <c r="AH83" s="347" t="n"/>
      <c r="AI83" s="347" t="n"/>
      <c r="AJ83" s="347" t="n"/>
      <c r="AK83" s="347" t="n"/>
      <c r="AL83" s="347" t="n"/>
      <c r="AM83" s="347" t="n"/>
      <c r="AN83" s="347" t="n"/>
      <c r="AO83" s="347" t="n"/>
      <c r="AP83" s="347" t="n"/>
      <c r="AQ83" s="347" t="n"/>
      <c r="AR83" s="347" t="n"/>
      <c r="AS83" s="347" t="n"/>
      <c r="AT83" s="347" t="n"/>
      <c r="AU83" s="347" t="n"/>
      <c r="AV83" s="347" t="n"/>
      <c r="AW83" s="347" t="n"/>
      <c r="AX83" s="347" t="n"/>
      <c r="AY83" s="347" t="n"/>
      <c r="AZ83" s="347" t="n"/>
      <c r="BA83" s="347" t="n"/>
      <c r="BB83" s="347" t="n"/>
      <c r="BC83" s="347" t="n"/>
      <c r="BD83" s="347" t="n"/>
      <c r="BE83" s="347" t="n"/>
      <c r="BF83" s="347" t="n"/>
      <c r="BG83" s="347" t="n"/>
      <c r="BH83" s="347" t="n"/>
      <c r="BI83" s="347" t="n"/>
      <c r="BJ83" s="347" t="n"/>
      <c r="BK83" s="347" t="n"/>
      <c r="BL83" s="347" t="n"/>
      <c r="BM83" s="347" t="n"/>
      <c r="BN83" s="347" t="n"/>
      <c r="BO83" s="347" t="n"/>
      <c r="BP83" s="347" t="n"/>
      <c r="BQ83" s="347" t="n"/>
      <c r="BR83" s="347" t="n"/>
      <c r="BS83" s="347" t="n"/>
      <c r="BT83" s="347" t="n"/>
      <c r="BU83" s="347" t="n"/>
      <c r="BV83" s="347" t="n"/>
      <c r="BW83" s="347" t="n"/>
      <c r="BX83" s="347" t="n"/>
      <c r="BY83" s="347" t="n"/>
      <c r="BZ83" s="347" t="n"/>
      <c r="CA83" s="347" t="n"/>
      <c r="CB83" s="347" t="n"/>
      <c r="CC83" s="347" t="n"/>
      <c r="CD83" s="347" t="n"/>
      <c r="CE83" s="347" t="n"/>
      <c r="CF83" s="347" t="n"/>
      <c r="CG83" s="347" t="n"/>
      <c r="CH83" s="347" t="n"/>
      <c r="CI83" s="347" t="n"/>
    </row>
    <row r="84" ht="18" customHeight="1" s="145">
      <c r="A84" s="233" t="n"/>
      <c r="B84" s="233" t="n"/>
      <c r="C84" s="233" t="n"/>
      <c r="D84" s="234" t="n"/>
      <c r="E84" s="233" t="n"/>
      <c r="F84" s="233" t="n"/>
      <c r="G84" s="233" t="n"/>
      <c r="H84" s="233" t="n"/>
      <c r="I84" s="233" t="n"/>
      <c r="J84" s="269" t="n"/>
      <c r="K84" s="269" t="n"/>
      <c r="L84" s="269" t="n"/>
      <c r="M84" s="269" t="n"/>
      <c r="N84" s="269" t="n"/>
      <c r="O84" s="235" t="inlineStr">
        <is>
          <t>PL帳簿</t>
        </is>
      </c>
      <c r="P84" s="237" t="n"/>
      <c r="Q84" s="237" t="n"/>
      <c r="R84" s="237" t="n"/>
      <c r="S84" s="237" t="n"/>
      <c r="T84" s="237" t="n"/>
      <c r="U84" s="237" t="n"/>
      <c r="V84" s="237" t="n"/>
      <c r="W84" s="237" t="n"/>
      <c r="X84" s="237" t="n"/>
      <c r="Y84" s="237" t="n"/>
      <c r="Z84" s="237" t="n"/>
      <c r="AA84" s="237" t="n"/>
      <c r="AB84" s="350" t="n">
        <v>6308793</v>
      </c>
      <c r="AC84" s="350" t="n">
        <v>14260707</v>
      </c>
      <c r="AD84" s="350" t="n">
        <v>11407872</v>
      </c>
      <c r="AE84" s="350" t="n">
        <v>13767658</v>
      </c>
      <c r="AF84" s="350" t="n">
        <v>11673679</v>
      </c>
      <c r="AG84" s="233" t="n"/>
      <c r="AH84" s="233" t="n"/>
      <c r="AI84" s="233" t="n"/>
      <c r="AJ84" s="233" t="n"/>
      <c r="AK84" s="233" t="n"/>
      <c r="AL84" s="233" t="n"/>
      <c r="AM84" s="233" t="n"/>
      <c r="AN84" s="233" t="n"/>
      <c r="AO84" s="233" t="n"/>
      <c r="AP84" s="233" t="n"/>
      <c r="AQ84" s="233" t="n"/>
      <c r="AR84" s="233" t="n"/>
      <c r="AS84" s="233" t="n"/>
      <c r="AT84" s="233" t="n"/>
      <c r="AU84" s="233" t="n"/>
      <c r="AV84" s="233" t="n"/>
      <c r="AW84" s="233" t="n"/>
      <c r="AX84" s="233" t="n"/>
      <c r="AY84" s="233" t="n"/>
      <c r="AZ84" s="233" t="n"/>
      <c r="BA84" s="233" t="n"/>
      <c r="BB84" s="233" t="n"/>
      <c r="BC84" s="233" t="n"/>
      <c r="BD84" s="233" t="n"/>
      <c r="BE84" s="233" t="n"/>
      <c r="BF84" s="233" t="n"/>
      <c r="BG84" s="233" t="n"/>
      <c r="BH84" s="233" t="n"/>
      <c r="BI84" s="233" t="n"/>
      <c r="BJ84" s="233" t="n"/>
      <c r="BK84" s="233" t="n"/>
      <c r="BL84" s="233" t="n"/>
      <c r="BM84" s="233" t="n"/>
      <c r="BN84" s="233" t="n"/>
      <c r="BO84" s="233" t="n"/>
      <c r="BP84" s="233" t="n"/>
      <c r="BQ84" s="233" t="n"/>
      <c r="BR84" s="233" t="n"/>
      <c r="BS84" s="233" t="n"/>
      <c r="BT84" s="233" t="n"/>
      <c r="BU84" s="233" t="n"/>
      <c r="BV84" s="233" t="n"/>
      <c r="BW84" s="233" t="n"/>
      <c r="BX84" s="233" t="n"/>
      <c r="BY84" s="233" t="n"/>
      <c r="BZ84" s="233" t="n"/>
      <c r="CA84" s="233" t="n"/>
      <c r="CB84" s="233" t="n"/>
      <c r="CC84" s="233" t="n"/>
      <c r="CD84" s="233" t="n"/>
      <c r="CE84" s="233" t="n"/>
      <c r="CF84" s="233" t="n"/>
      <c r="CG84" s="233" t="n"/>
      <c r="CH84" s="233" t="n"/>
      <c r="CI84" s="233" t="n"/>
    </row>
    <row r="85" ht="18" customHeight="1" s="145">
      <c r="A85" s="233" t="n"/>
      <c r="B85" s="233" t="n"/>
      <c r="C85" s="233" t="n"/>
      <c r="D85" s="234" t="n"/>
      <c r="E85" s="233" t="n"/>
      <c r="F85" s="233" t="n"/>
      <c r="G85" s="233" t="n"/>
      <c r="H85" s="233" t="n"/>
      <c r="I85" s="233" t="n"/>
      <c r="J85" s="269" t="n"/>
      <c r="K85" s="269" t="n"/>
      <c r="L85" s="269" t="n"/>
      <c r="M85" s="269" t="n"/>
      <c r="N85" s="269" t="n"/>
      <c r="O85" s="243" t="n"/>
      <c r="P85" s="237" t="n"/>
      <c r="Q85" s="237" t="n"/>
      <c r="R85" s="237" t="n"/>
      <c r="S85" s="237" t="n"/>
      <c r="T85" s="237" t="n"/>
      <c r="U85" s="237" t="n"/>
      <c r="V85" s="237" t="n"/>
      <c r="W85" s="237" t="n"/>
      <c r="X85" s="237" t="n"/>
      <c r="Y85" s="237" t="n"/>
      <c r="Z85" s="237" t="n"/>
      <c r="AA85" s="237" t="n"/>
      <c r="AB85" s="494">
        <f>AB80-AB84</f>
        <v>-10892128.0</v>
      </c>
      <c r="AC85" s="494">
        <f>AC80-AC84</f>
        <v>-18790787.1201189</v>
      </c>
      <c r="AD85" s="494">
        <f>AD80-AD84</f>
        <v>-15679479.9858108</v>
      </c>
      <c r="AE85" s="494">
        <f>AE80-AE84</f>
        <v>-17785405.429189</v>
      </c>
      <c r="AF85" s="494">
        <f>AF80-AF84</f>
        <v>-15451198.6061995</v>
      </c>
      <c r="AG85" s="233" t="n"/>
      <c r="AH85" s="233" t="n"/>
      <c r="AI85" s="233" t="n"/>
      <c r="AJ85" s="233" t="n"/>
      <c r="AK85" s="233" t="n"/>
      <c r="AL85" s="233" t="n"/>
      <c r="AM85" s="233" t="n"/>
      <c r="AN85" s="233" t="n"/>
      <c r="AO85" s="233" t="n"/>
      <c r="AP85" s="233" t="n"/>
      <c r="AQ85" s="233" t="n"/>
      <c r="AR85" s="233" t="n"/>
      <c r="AS85" s="233" t="n"/>
      <c r="AT85" s="233" t="n"/>
      <c r="AU85" s="233" t="n"/>
      <c r="AV85" s="233" t="n"/>
      <c r="AW85" s="233" t="n"/>
      <c r="AX85" s="233" t="n"/>
      <c r="AY85" s="233" t="n"/>
      <c r="AZ85" s="233" t="n"/>
      <c r="BA85" s="233" t="n"/>
      <c r="BB85" s="233" t="n"/>
      <c r="BC85" s="233" t="n"/>
      <c r="BD85" s="233" t="n"/>
      <c r="BE85" s="233" t="n"/>
      <c r="BF85" s="233" t="n"/>
      <c r="BG85" s="233" t="n"/>
      <c r="BH85" s="233" t="n"/>
      <c r="BI85" s="233" t="n"/>
      <c r="BJ85" s="233" t="n"/>
      <c r="BK85" s="233" t="n"/>
      <c r="BL85" s="233" t="n"/>
      <c r="BM85" s="233" t="n"/>
      <c r="BN85" s="233" t="n"/>
      <c r="BO85" s="233" t="n"/>
      <c r="BP85" s="233" t="n"/>
      <c r="BQ85" s="233" t="n"/>
      <c r="BR85" s="233" t="n"/>
      <c r="BS85" s="233" t="n"/>
      <c r="BT85" s="233" t="n"/>
      <c r="BU85" s="233" t="n"/>
      <c r="BV85" s="233" t="n"/>
      <c r="BW85" s="233" t="n"/>
      <c r="BX85" s="233" t="n"/>
      <c r="BY85" s="233" t="n"/>
      <c r="BZ85" s="233" t="n"/>
      <c r="CA85" s="233" t="n"/>
      <c r="CB85" s="233" t="n"/>
      <c r="CC85" s="233" t="n"/>
      <c r="CD85" s="233" t="n"/>
      <c r="CE85" s="233" t="n"/>
      <c r="CF85" s="233" t="n"/>
      <c r="CG85" s="233" t="n"/>
      <c r="CH85" s="233" t="n"/>
      <c r="CI85" s="233" t="n"/>
    </row>
    <row r="86" ht="18" customHeight="1" s="145">
      <c r="A86" s="233" t="n"/>
      <c r="B86" s="233" t="n"/>
      <c r="C86" s="233" t="n"/>
      <c r="D86" s="234" t="n"/>
      <c r="J86" s="234" t="n"/>
      <c r="K86" s="234" t="n"/>
      <c r="L86" s="234" t="n"/>
      <c r="M86" s="234" t="n"/>
      <c r="N86" s="234" t="n"/>
      <c r="O86" s="235" t="n"/>
      <c r="AB86" s="495" t="n"/>
      <c r="AC86" s="495" t="n"/>
      <c r="AD86" s="495" t="n"/>
      <c r="AE86" s="495" t="n"/>
      <c r="AF86" s="495" t="n"/>
    </row>
    <row r="87" ht="18" customHeight="1" s="145">
      <c r="A87" s="300" t="inlineStr">
        <is>
          <t>■ 営業外損益〜当期純利益（営業損益 80行 から続く）</t>
        </is>
      </c>
      <c r="B87" s="300" t="n"/>
      <c r="C87" s="300" t="n"/>
      <c r="D87" s="309" t="n"/>
      <c r="E87" s="437" t="n"/>
      <c r="F87" s="438" t="n"/>
      <c r="G87" s="438" t="n"/>
      <c r="H87" s="438" t="n"/>
      <c r="I87" s="438" t="n"/>
      <c r="J87" s="436" t="n"/>
      <c r="K87" s="436" t="n"/>
      <c r="L87" s="436" t="n"/>
      <c r="M87" s="436" t="n"/>
      <c r="N87" s="436" t="n"/>
      <c r="O87" s="235" t="n"/>
      <c r="P87" s="437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9" t="n"/>
      <c r="AB87" s="487" t="n"/>
      <c r="AC87" s="436" t="n"/>
      <c r="AD87" s="436" t="n"/>
      <c r="AE87" s="436" t="n"/>
      <c r="AF87" s="436" t="n"/>
      <c r="AG87" s="438" t="n"/>
      <c r="AH87" s="438" t="n"/>
      <c r="AI87" s="438" t="n"/>
      <c r="AJ87" s="438" t="n"/>
      <c r="AK87" s="438" t="n"/>
      <c r="AL87" s="438" t="n"/>
      <c r="AM87" s="439" t="n"/>
      <c r="AN87" s="437" t="n"/>
      <c r="AO87" s="438" t="n"/>
      <c r="AP87" s="438" t="n"/>
      <c r="AQ87" s="438" t="n"/>
      <c r="AR87" s="438" t="n"/>
      <c r="AS87" s="438" t="n"/>
      <c r="AT87" s="438" t="n"/>
      <c r="AU87" s="438" t="n"/>
      <c r="AV87" s="438" t="n"/>
      <c r="AW87" s="438" t="n"/>
      <c r="AX87" s="438" t="n"/>
      <c r="AY87" s="439" t="n"/>
      <c r="AZ87" s="437" t="n"/>
      <c r="BA87" s="438" t="n"/>
      <c r="BB87" s="438" t="n"/>
      <c r="BC87" s="438" t="n"/>
      <c r="BD87" s="438" t="n"/>
      <c r="BE87" s="438" t="n"/>
      <c r="BF87" s="438" t="n"/>
      <c r="BG87" s="438" t="n"/>
      <c r="BH87" s="438" t="n"/>
      <c r="BI87" s="438" t="n"/>
      <c r="BJ87" s="438" t="n"/>
      <c r="BK87" s="439" t="n"/>
      <c r="BL87" s="437" t="n"/>
      <c r="BM87" s="438" t="n"/>
      <c r="BN87" s="438" t="n"/>
      <c r="BO87" s="438" t="n"/>
      <c r="BP87" s="438" t="n"/>
      <c r="BQ87" s="438" t="n"/>
      <c r="BR87" s="438" t="n"/>
      <c r="BS87" s="438" t="n"/>
      <c r="BT87" s="438" t="n"/>
      <c r="BU87" s="438" t="n"/>
      <c r="BV87" s="438" t="n"/>
      <c r="BW87" s="439" t="n"/>
      <c r="BX87" s="437" t="n"/>
      <c r="BY87" s="438" t="n"/>
      <c r="BZ87" s="438" t="n"/>
      <c r="CA87" s="438" t="n"/>
      <c r="CB87" s="438" t="n"/>
      <c r="CC87" s="438" t="n"/>
      <c r="CD87" s="438" t="n"/>
      <c r="CE87" s="438" t="n"/>
      <c r="CF87" s="438" t="n"/>
      <c r="CG87" s="438" t="n"/>
      <c r="CH87" s="438" t="n"/>
      <c r="CI87" s="439" t="n"/>
    </row>
    <row r="88" ht="18" customHeight="1" s="145">
      <c r="A88" s="233" t="inlineStr">
        <is>
          <t>営業外収益</t>
        </is>
      </c>
      <c r="B88" s="233" t="n"/>
      <c r="C88" s="233" t="n"/>
      <c r="D88" s="234" t="inlineStr">
        <is>
          <t>円</t>
        </is>
      </c>
      <c r="E88" s="408">
        <f>SUMIF($AB$3:$CI$3,E$4,$AB88:$CI88)</f>
        <v>0.0</v>
      </c>
      <c r="F88" s="408">
        <f>SUMIF($AB$3:$CI$3,F$4,$AB88:$CI88)</f>
        <v>0.0</v>
      </c>
      <c r="G88" s="408">
        <f>SUMIF($AB$3:$CI$3,G$4,$AB88:$CI88)</f>
        <v>0.0</v>
      </c>
      <c r="H88" s="408">
        <f>SUMIF($AB$3:$CI$3,H$4,$AB88:$CI88)</f>
        <v>0.0</v>
      </c>
      <c r="I88" s="408">
        <f>SUMIF($AB$3:$CI$3,I$4,$AB88:$CI88)</f>
        <v>0.0</v>
      </c>
      <c r="J88" s="407">
        <f>SUM(E88:I88)</f>
        <v>0.0</v>
      </c>
      <c r="K88" s="407" t="n"/>
      <c r="L88" s="407" t="n"/>
      <c r="M88" s="407" t="n"/>
      <c r="N88" s="407" t="n"/>
      <c r="O88" s="235" t="n"/>
      <c r="P88" s="408" t="n"/>
      <c r="Q88" s="409" t="n"/>
      <c r="R88" s="409" t="n"/>
      <c r="S88" s="409" t="n"/>
      <c r="T88" s="409" t="n"/>
      <c r="U88" s="409" t="n"/>
      <c r="V88" s="409" t="n"/>
      <c r="W88" s="409" t="n"/>
      <c r="X88" s="409" t="n"/>
      <c r="Y88" s="409" t="n"/>
      <c r="Z88" s="409" t="n"/>
      <c r="AA88" s="412" t="n"/>
      <c r="AB88" s="476">
        <f>ROUND(INDEX(販管費予算!$E$36:$I$36,MATCH(AB$3,販管費予算!$E$4:$I$4,0))/12,0)+IF(COUNTIF($AB$3:AB$3,AB$3)=12,INDEX(販管費予算!$E$36:$I$36,MATCH(AB$3,販管費予算!$E$4:$I$4,0))-12*ROUND(INDEX(販管費予算!$E$36:$I$36,MATCH(AB$3,販管費予算!$E$4:$I$4,0))/12,0),0)</f>
        <v>0.0</v>
      </c>
      <c r="AC88" s="477">
        <f>ROUND(INDEX(販管費予算!$E$36:$I$36,MATCH(AC$3,販管費予算!$E$4:$I$4,0))/12,0)+IF(COUNTIF($AB$3:AC$3,AC$3)=12,INDEX(販管費予算!$E$36:$I$36,MATCH(AC$3,販管費予算!$E$4:$I$4,0))-12*ROUND(INDEX(販管費予算!$E$36:$I$36,MATCH(AC$3,販管費予算!$E$4:$I$4,0))/12,0),0)</f>
        <v>0.0</v>
      </c>
      <c r="AD88" s="477">
        <f>ROUND(INDEX(販管費予算!$E$36:$I$36,MATCH(AD$3,販管費予算!$E$4:$I$4,0))/12,0)+IF(COUNTIF($AB$3:AD$3,AD$3)=12,INDEX(販管費予算!$E$36:$I$36,MATCH(AD$3,販管費予算!$E$4:$I$4,0))-12*ROUND(INDEX(販管費予算!$E$36:$I$36,MATCH(AD$3,販管費予算!$E$4:$I$4,0))/12,0),0)</f>
        <v>0.0</v>
      </c>
      <c r="AE88" s="477">
        <f>ROUND(INDEX(販管費予算!$E$36:$I$36,MATCH(AE$3,販管費予算!$E$4:$I$4,0))/12,0)+IF(COUNTIF($AB$3:AE$3,AE$3)=12,INDEX(販管費予算!$E$36:$I$36,MATCH(AE$3,販管費予算!$E$4:$I$4,0))-12*ROUND(INDEX(販管費予算!$E$36:$I$36,MATCH(AE$3,販管費予算!$E$4:$I$4,0))/12,0),0)</f>
        <v>0.0</v>
      </c>
      <c r="AF88" s="477">
        <f>ROUND(INDEX(販管費予算!$E$36:$I$36,MATCH(AF$3,販管費予算!$E$4:$I$4,0))/12,0)+IF(COUNTIF($AB$3:AF$3,AF$3)=12,INDEX(販管費予算!$E$36:$I$36,MATCH(AF$3,販管費予算!$E$4:$I$4,0))-12*ROUND(INDEX(販管費予算!$E$36:$I$36,MATCH(AF$3,販管費予算!$E$4:$I$4,0))/12,0),0)</f>
        <v>0.0</v>
      </c>
      <c r="AG88" s="409">
        <f>ROUND(INDEX(販管費予算!$E$36:$I$36,MATCH(AG$3,販管費予算!$E$4:$I$4,0))/12,0)+IF(COUNTIF($AB$3:AG$3,AG$3)=12,INDEX(販管費予算!$E$36:$I$36,MATCH(AG$3,販管費予算!$E$4:$I$4,0))-12*ROUND(INDEX(販管費予算!$E$36:$I$36,MATCH(AG$3,販管費予算!$E$4:$I$4,0))/12,0),0)</f>
        <v>0.0</v>
      </c>
      <c r="AH88" s="409">
        <f>ROUND(INDEX(販管費予算!$E$36:$I$36,MATCH(AH$3,販管費予算!$E$4:$I$4,0))/12,0)+IF(COUNTIF($AB$3:AH$3,AH$3)=12,INDEX(販管費予算!$E$36:$I$36,MATCH(AH$3,販管費予算!$E$4:$I$4,0))-12*ROUND(INDEX(販管費予算!$E$36:$I$36,MATCH(AH$3,販管費予算!$E$4:$I$4,0))/12,0),0)</f>
        <v>0.0</v>
      </c>
      <c r="AI88" s="409">
        <f>ROUND(INDEX(販管費予算!$E$36:$I$36,MATCH(AI$3,販管費予算!$E$4:$I$4,0))/12,0)+IF(COUNTIF($AB$3:AI$3,AI$3)=12,INDEX(販管費予算!$E$36:$I$36,MATCH(AI$3,販管費予算!$E$4:$I$4,0))-12*ROUND(INDEX(販管費予算!$E$36:$I$36,MATCH(AI$3,販管費予算!$E$4:$I$4,0))/12,0),0)</f>
        <v>0.0</v>
      </c>
      <c r="AJ88" s="409">
        <f>ROUND(INDEX(販管費予算!$E$36:$I$36,MATCH(AJ$3,販管費予算!$E$4:$I$4,0))/12,0)+IF(COUNTIF($AB$3:AJ$3,AJ$3)=12,INDEX(販管費予算!$E$36:$I$36,MATCH(AJ$3,販管費予算!$E$4:$I$4,0))-12*ROUND(INDEX(販管費予算!$E$36:$I$36,MATCH(AJ$3,販管費予算!$E$4:$I$4,0))/12,0),0)</f>
        <v>0.0</v>
      </c>
      <c r="AK88" s="409">
        <f>ROUND(INDEX(販管費予算!$E$36:$I$36,MATCH(AK$3,販管費予算!$E$4:$I$4,0))/12,0)+IF(COUNTIF($AB$3:AK$3,AK$3)=12,INDEX(販管費予算!$E$36:$I$36,MATCH(AK$3,販管費予算!$E$4:$I$4,0))-12*ROUND(INDEX(販管費予算!$E$36:$I$36,MATCH(AK$3,販管費予算!$E$4:$I$4,0))/12,0),0)</f>
        <v>0.0</v>
      </c>
      <c r="AL88" s="409">
        <f>ROUND(INDEX(販管費予算!$E$36:$I$36,MATCH(AL$3,販管費予算!$E$4:$I$4,0))/12,0)+IF(COUNTIF($AB$3:AL$3,AL$3)=12,INDEX(販管費予算!$E$36:$I$36,MATCH(AL$3,販管費予算!$E$4:$I$4,0))-12*ROUND(INDEX(販管費予算!$E$36:$I$36,MATCH(AL$3,販管費予算!$E$4:$I$4,0))/12,0),0)</f>
        <v>0.0</v>
      </c>
      <c r="AM88" s="412">
        <f>ROUND(INDEX(販管費予算!$E$36:$I$36,MATCH(AM$3,販管費予算!$E$4:$I$4,0))/12,0)+IF(COUNTIF($AB$3:AM$3,AM$3)=12,INDEX(販管費予算!$E$36:$I$36,MATCH(AM$3,販管費予算!$E$4:$I$4,0))-12*ROUND(INDEX(販管費予算!$E$36:$I$36,MATCH(AM$3,販管費予算!$E$4:$I$4,0))/12,0),0)</f>
        <v>0.0</v>
      </c>
      <c r="AN88" s="408">
        <f>ROUND(INDEX(販管費予算!$E$36:$I$36,MATCH(AN$3,販管費予算!$E$4:$I$4,0))/12,0)+IF(COUNTIF($AB$3:AN$3,AN$3)=12,INDEX(販管費予算!$E$36:$I$36,MATCH(AN$3,販管費予算!$E$4:$I$4,0))-12*ROUND(INDEX(販管費予算!$E$36:$I$36,MATCH(AN$3,販管費予算!$E$4:$I$4,0))/12,0),0)</f>
        <v>0.0</v>
      </c>
      <c r="AO88" s="409">
        <f>ROUND(INDEX(販管費予算!$E$36:$I$36,MATCH(AO$3,販管費予算!$E$4:$I$4,0))/12,0)+IF(COUNTIF($AB$3:AO$3,AO$3)=12,INDEX(販管費予算!$E$36:$I$36,MATCH(AO$3,販管費予算!$E$4:$I$4,0))-12*ROUND(INDEX(販管費予算!$E$36:$I$36,MATCH(AO$3,販管費予算!$E$4:$I$4,0))/12,0),0)</f>
        <v>0.0</v>
      </c>
      <c r="AP88" s="409">
        <f>ROUND(INDEX(販管費予算!$E$36:$I$36,MATCH(AP$3,販管費予算!$E$4:$I$4,0))/12,0)+IF(COUNTIF($AB$3:AP$3,AP$3)=12,INDEX(販管費予算!$E$36:$I$36,MATCH(AP$3,販管費予算!$E$4:$I$4,0))-12*ROUND(INDEX(販管費予算!$E$36:$I$36,MATCH(AP$3,販管費予算!$E$4:$I$4,0))/12,0),0)</f>
        <v>0.0</v>
      </c>
      <c r="AQ88" s="409">
        <f>ROUND(INDEX(販管費予算!$E$36:$I$36,MATCH(AQ$3,販管費予算!$E$4:$I$4,0))/12,0)+IF(COUNTIF($AB$3:AQ$3,AQ$3)=12,INDEX(販管費予算!$E$36:$I$36,MATCH(AQ$3,販管費予算!$E$4:$I$4,0))-12*ROUND(INDEX(販管費予算!$E$36:$I$36,MATCH(AQ$3,販管費予算!$E$4:$I$4,0))/12,0),0)</f>
        <v>0.0</v>
      </c>
      <c r="AR88" s="409">
        <f>ROUND(INDEX(販管費予算!$E$36:$I$36,MATCH(AR$3,販管費予算!$E$4:$I$4,0))/12,0)+IF(COUNTIF($AB$3:AR$3,AR$3)=12,INDEX(販管費予算!$E$36:$I$36,MATCH(AR$3,販管費予算!$E$4:$I$4,0))-12*ROUND(INDEX(販管費予算!$E$36:$I$36,MATCH(AR$3,販管費予算!$E$4:$I$4,0))/12,0),0)</f>
        <v>0.0</v>
      </c>
      <c r="AS88" s="409">
        <f>ROUND(INDEX(販管費予算!$E$36:$I$36,MATCH(AS$3,販管費予算!$E$4:$I$4,0))/12,0)+IF(COUNTIF($AB$3:AS$3,AS$3)=12,INDEX(販管費予算!$E$36:$I$36,MATCH(AS$3,販管費予算!$E$4:$I$4,0))-12*ROUND(INDEX(販管費予算!$E$36:$I$36,MATCH(AS$3,販管費予算!$E$4:$I$4,0))/12,0),0)</f>
        <v>0.0</v>
      </c>
      <c r="AT88" s="409">
        <f>ROUND(INDEX(販管費予算!$E$36:$I$36,MATCH(AT$3,販管費予算!$E$4:$I$4,0))/12,0)+IF(COUNTIF($AB$3:AT$3,AT$3)=12,INDEX(販管費予算!$E$36:$I$36,MATCH(AT$3,販管費予算!$E$4:$I$4,0))-12*ROUND(INDEX(販管費予算!$E$36:$I$36,MATCH(AT$3,販管費予算!$E$4:$I$4,0))/12,0),0)</f>
        <v>0.0</v>
      </c>
      <c r="AU88" s="409">
        <f>ROUND(INDEX(販管費予算!$E$36:$I$36,MATCH(AU$3,販管費予算!$E$4:$I$4,0))/12,0)+IF(COUNTIF($AB$3:AU$3,AU$3)=12,INDEX(販管費予算!$E$36:$I$36,MATCH(AU$3,販管費予算!$E$4:$I$4,0))-12*ROUND(INDEX(販管費予算!$E$36:$I$36,MATCH(AU$3,販管費予算!$E$4:$I$4,0))/12,0),0)</f>
        <v>0.0</v>
      </c>
      <c r="AV88" s="409">
        <f>ROUND(INDEX(販管費予算!$E$36:$I$36,MATCH(AV$3,販管費予算!$E$4:$I$4,0))/12,0)+IF(COUNTIF($AB$3:AV$3,AV$3)=12,INDEX(販管費予算!$E$36:$I$36,MATCH(AV$3,販管費予算!$E$4:$I$4,0))-12*ROUND(INDEX(販管費予算!$E$36:$I$36,MATCH(AV$3,販管費予算!$E$4:$I$4,0))/12,0),0)</f>
        <v>0.0</v>
      </c>
      <c r="AW88" s="409">
        <f>ROUND(INDEX(販管費予算!$E$36:$I$36,MATCH(AW$3,販管費予算!$E$4:$I$4,0))/12,0)+IF(COUNTIF($AB$3:AW$3,AW$3)=12,INDEX(販管費予算!$E$36:$I$36,MATCH(AW$3,販管費予算!$E$4:$I$4,0))-12*ROUND(INDEX(販管費予算!$E$36:$I$36,MATCH(AW$3,販管費予算!$E$4:$I$4,0))/12,0),0)</f>
        <v>0.0</v>
      </c>
      <c r="AX88" s="409">
        <f>ROUND(INDEX(販管費予算!$E$36:$I$36,MATCH(AX$3,販管費予算!$E$4:$I$4,0))/12,0)+IF(COUNTIF($AB$3:AX$3,AX$3)=12,INDEX(販管費予算!$E$36:$I$36,MATCH(AX$3,販管費予算!$E$4:$I$4,0))-12*ROUND(INDEX(販管費予算!$E$36:$I$36,MATCH(AX$3,販管費予算!$E$4:$I$4,0))/12,0),0)</f>
        <v>0.0</v>
      </c>
      <c r="AY88" s="412">
        <f>ROUND(INDEX(販管費予算!$E$36:$I$36,MATCH(AY$3,販管費予算!$E$4:$I$4,0))/12,0)+IF(COUNTIF($AB$3:AY$3,AY$3)=12,INDEX(販管費予算!$E$36:$I$36,MATCH(AY$3,販管費予算!$E$4:$I$4,0))-12*ROUND(INDEX(販管費予算!$E$36:$I$36,MATCH(AY$3,販管費予算!$E$4:$I$4,0))/12,0),0)</f>
        <v>0.0</v>
      </c>
      <c r="AZ88" s="408">
        <f>ROUND(INDEX(販管費予算!$E$36:$I$36,MATCH(AZ$3,販管費予算!$E$4:$I$4,0))/12,0)+IF(COUNTIF($AB$3:AZ$3,AZ$3)=12,INDEX(販管費予算!$E$36:$I$36,MATCH(AZ$3,販管費予算!$E$4:$I$4,0))-12*ROUND(INDEX(販管費予算!$E$36:$I$36,MATCH(AZ$3,販管費予算!$E$4:$I$4,0))/12,0),0)</f>
        <v>0.0</v>
      </c>
      <c r="BA88" s="409">
        <f>ROUND(INDEX(販管費予算!$E$36:$I$36,MATCH(BA$3,販管費予算!$E$4:$I$4,0))/12,0)+IF(COUNTIF($AB$3:BA$3,BA$3)=12,INDEX(販管費予算!$E$36:$I$36,MATCH(BA$3,販管費予算!$E$4:$I$4,0))-12*ROUND(INDEX(販管費予算!$E$36:$I$36,MATCH(BA$3,販管費予算!$E$4:$I$4,0))/12,0),0)</f>
        <v>0.0</v>
      </c>
      <c r="BB88" s="409">
        <f>ROUND(INDEX(販管費予算!$E$36:$I$36,MATCH(BB$3,販管費予算!$E$4:$I$4,0))/12,0)+IF(COUNTIF($AB$3:BB$3,BB$3)=12,INDEX(販管費予算!$E$36:$I$36,MATCH(BB$3,販管費予算!$E$4:$I$4,0))-12*ROUND(INDEX(販管費予算!$E$36:$I$36,MATCH(BB$3,販管費予算!$E$4:$I$4,0))/12,0),0)</f>
        <v>0.0</v>
      </c>
      <c r="BC88" s="409">
        <f>ROUND(INDEX(販管費予算!$E$36:$I$36,MATCH(BC$3,販管費予算!$E$4:$I$4,0))/12,0)+IF(COUNTIF($AB$3:BC$3,BC$3)=12,INDEX(販管費予算!$E$36:$I$36,MATCH(BC$3,販管費予算!$E$4:$I$4,0))-12*ROUND(INDEX(販管費予算!$E$36:$I$36,MATCH(BC$3,販管費予算!$E$4:$I$4,0))/12,0),0)</f>
        <v>0.0</v>
      </c>
      <c r="BD88" s="409">
        <f>ROUND(INDEX(販管費予算!$E$36:$I$36,MATCH(BD$3,販管費予算!$E$4:$I$4,0))/12,0)+IF(COUNTIF($AB$3:BD$3,BD$3)=12,INDEX(販管費予算!$E$36:$I$36,MATCH(BD$3,販管費予算!$E$4:$I$4,0))-12*ROUND(INDEX(販管費予算!$E$36:$I$36,MATCH(BD$3,販管費予算!$E$4:$I$4,0))/12,0),0)</f>
        <v>0.0</v>
      </c>
      <c r="BE88" s="409">
        <f>ROUND(INDEX(販管費予算!$E$36:$I$36,MATCH(BE$3,販管費予算!$E$4:$I$4,0))/12,0)+IF(COUNTIF($AB$3:BE$3,BE$3)=12,INDEX(販管費予算!$E$36:$I$36,MATCH(BE$3,販管費予算!$E$4:$I$4,0))-12*ROUND(INDEX(販管費予算!$E$36:$I$36,MATCH(BE$3,販管費予算!$E$4:$I$4,0))/12,0),0)</f>
        <v>0.0</v>
      </c>
      <c r="BF88" s="409">
        <f>ROUND(INDEX(販管費予算!$E$36:$I$36,MATCH(BF$3,販管費予算!$E$4:$I$4,0))/12,0)+IF(COUNTIF($AB$3:BF$3,BF$3)=12,INDEX(販管費予算!$E$36:$I$36,MATCH(BF$3,販管費予算!$E$4:$I$4,0))-12*ROUND(INDEX(販管費予算!$E$36:$I$36,MATCH(BF$3,販管費予算!$E$4:$I$4,0))/12,0),0)</f>
        <v>0.0</v>
      </c>
      <c r="BG88" s="409">
        <f>ROUND(INDEX(販管費予算!$E$36:$I$36,MATCH(BG$3,販管費予算!$E$4:$I$4,0))/12,0)+IF(COUNTIF($AB$3:BG$3,BG$3)=12,INDEX(販管費予算!$E$36:$I$36,MATCH(BG$3,販管費予算!$E$4:$I$4,0))-12*ROUND(INDEX(販管費予算!$E$36:$I$36,MATCH(BG$3,販管費予算!$E$4:$I$4,0))/12,0),0)</f>
        <v>0.0</v>
      </c>
      <c r="BH88" s="409">
        <f>ROUND(INDEX(販管費予算!$E$36:$I$36,MATCH(BH$3,販管費予算!$E$4:$I$4,0))/12,0)+IF(COUNTIF($AB$3:BH$3,BH$3)=12,INDEX(販管費予算!$E$36:$I$36,MATCH(BH$3,販管費予算!$E$4:$I$4,0))-12*ROUND(INDEX(販管費予算!$E$36:$I$36,MATCH(BH$3,販管費予算!$E$4:$I$4,0))/12,0),0)</f>
        <v>0.0</v>
      </c>
      <c r="BI88" s="409">
        <f>ROUND(INDEX(販管費予算!$E$36:$I$36,MATCH(BI$3,販管費予算!$E$4:$I$4,0))/12,0)+IF(COUNTIF($AB$3:BI$3,BI$3)=12,INDEX(販管費予算!$E$36:$I$36,MATCH(BI$3,販管費予算!$E$4:$I$4,0))-12*ROUND(INDEX(販管費予算!$E$36:$I$36,MATCH(BI$3,販管費予算!$E$4:$I$4,0))/12,0),0)</f>
        <v>0.0</v>
      </c>
      <c r="BJ88" s="409">
        <f>ROUND(INDEX(販管費予算!$E$36:$I$36,MATCH(BJ$3,販管費予算!$E$4:$I$4,0))/12,0)+IF(COUNTIF($AB$3:BJ$3,BJ$3)=12,INDEX(販管費予算!$E$36:$I$36,MATCH(BJ$3,販管費予算!$E$4:$I$4,0))-12*ROUND(INDEX(販管費予算!$E$36:$I$36,MATCH(BJ$3,販管費予算!$E$4:$I$4,0))/12,0),0)</f>
        <v>0.0</v>
      </c>
      <c r="BK88" s="412">
        <f>ROUND(INDEX(販管費予算!$E$36:$I$36,MATCH(BK$3,販管費予算!$E$4:$I$4,0))/12,0)+IF(COUNTIF($AB$3:BK$3,BK$3)=12,INDEX(販管費予算!$E$36:$I$36,MATCH(BK$3,販管費予算!$E$4:$I$4,0))-12*ROUND(INDEX(販管費予算!$E$36:$I$36,MATCH(BK$3,販管費予算!$E$4:$I$4,0))/12,0),0)</f>
        <v>0.0</v>
      </c>
      <c r="BL88" s="408">
        <f>ROUND(INDEX(販管費予算!$E$36:$I$36,MATCH(BL$3,販管費予算!$E$4:$I$4,0))/12,0)+IF(COUNTIF($AB$3:BL$3,BL$3)=12,INDEX(販管費予算!$E$36:$I$36,MATCH(BL$3,販管費予算!$E$4:$I$4,0))-12*ROUND(INDEX(販管費予算!$E$36:$I$36,MATCH(BL$3,販管費予算!$E$4:$I$4,0))/12,0),0)</f>
        <v>0.0</v>
      </c>
      <c r="BM88" s="409">
        <f>ROUND(INDEX(販管費予算!$E$36:$I$36,MATCH(BM$3,販管費予算!$E$4:$I$4,0))/12,0)+IF(COUNTIF($AB$3:BM$3,BM$3)=12,INDEX(販管費予算!$E$36:$I$36,MATCH(BM$3,販管費予算!$E$4:$I$4,0))-12*ROUND(INDEX(販管費予算!$E$36:$I$36,MATCH(BM$3,販管費予算!$E$4:$I$4,0))/12,0),0)</f>
        <v>0.0</v>
      </c>
      <c r="BN88" s="409">
        <f>ROUND(INDEX(販管費予算!$E$36:$I$36,MATCH(BN$3,販管費予算!$E$4:$I$4,0))/12,0)+IF(COUNTIF($AB$3:BN$3,BN$3)=12,INDEX(販管費予算!$E$36:$I$36,MATCH(BN$3,販管費予算!$E$4:$I$4,0))-12*ROUND(INDEX(販管費予算!$E$36:$I$36,MATCH(BN$3,販管費予算!$E$4:$I$4,0))/12,0),0)</f>
        <v>0.0</v>
      </c>
      <c r="BO88" s="409">
        <f>ROUND(INDEX(販管費予算!$E$36:$I$36,MATCH(BO$3,販管費予算!$E$4:$I$4,0))/12,0)+IF(COUNTIF($AB$3:BO$3,BO$3)=12,INDEX(販管費予算!$E$36:$I$36,MATCH(BO$3,販管費予算!$E$4:$I$4,0))-12*ROUND(INDEX(販管費予算!$E$36:$I$36,MATCH(BO$3,販管費予算!$E$4:$I$4,0))/12,0),0)</f>
        <v>0.0</v>
      </c>
      <c r="BP88" s="409">
        <f>ROUND(INDEX(販管費予算!$E$36:$I$36,MATCH(BP$3,販管費予算!$E$4:$I$4,0))/12,0)+IF(COUNTIF($AB$3:BP$3,BP$3)=12,INDEX(販管費予算!$E$36:$I$36,MATCH(BP$3,販管費予算!$E$4:$I$4,0))-12*ROUND(INDEX(販管費予算!$E$36:$I$36,MATCH(BP$3,販管費予算!$E$4:$I$4,0))/12,0),0)</f>
        <v>0.0</v>
      </c>
      <c r="BQ88" s="409">
        <f>ROUND(INDEX(販管費予算!$E$36:$I$36,MATCH(BQ$3,販管費予算!$E$4:$I$4,0))/12,0)+IF(COUNTIF($AB$3:BQ$3,BQ$3)=12,INDEX(販管費予算!$E$36:$I$36,MATCH(BQ$3,販管費予算!$E$4:$I$4,0))-12*ROUND(INDEX(販管費予算!$E$36:$I$36,MATCH(BQ$3,販管費予算!$E$4:$I$4,0))/12,0),0)</f>
        <v>0.0</v>
      </c>
      <c r="BR88" s="409">
        <f>ROUND(INDEX(販管費予算!$E$36:$I$36,MATCH(BR$3,販管費予算!$E$4:$I$4,0))/12,0)+IF(COUNTIF($AB$3:BR$3,BR$3)=12,INDEX(販管費予算!$E$36:$I$36,MATCH(BR$3,販管費予算!$E$4:$I$4,0))-12*ROUND(INDEX(販管費予算!$E$36:$I$36,MATCH(BR$3,販管費予算!$E$4:$I$4,0))/12,0),0)</f>
        <v>0.0</v>
      </c>
      <c r="BS88" s="409">
        <f>ROUND(INDEX(販管費予算!$E$36:$I$36,MATCH(BS$3,販管費予算!$E$4:$I$4,0))/12,0)+IF(COUNTIF($AB$3:BS$3,BS$3)=12,INDEX(販管費予算!$E$36:$I$36,MATCH(BS$3,販管費予算!$E$4:$I$4,0))-12*ROUND(INDEX(販管費予算!$E$36:$I$36,MATCH(BS$3,販管費予算!$E$4:$I$4,0))/12,0),0)</f>
        <v>0.0</v>
      </c>
      <c r="BT88" s="409">
        <f>ROUND(INDEX(販管費予算!$E$36:$I$36,MATCH(BT$3,販管費予算!$E$4:$I$4,0))/12,0)+IF(COUNTIF($AB$3:BT$3,BT$3)=12,INDEX(販管費予算!$E$36:$I$36,MATCH(BT$3,販管費予算!$E$4:$I$4,0))-12*ROUND(INDEX(販管費予算!$E$36:$I$36,MATCH(BT$3,販管費予算!$E$4:$I$4,0))/12,0),0)</f>
        <v>0.0</v>
      </c>
      <c r="BU88" s="409">
        <f>ROUND(INDEX(販管費予算!$E$36:$I$36,MATCH(BU$3,販管費予算!$E$4:$I$4,0))/12,0)+IF(COUNTIF($AB$3:BU$3,BU$3)=12,INDEX(販管費予算!$E$36:$I$36,MATCH(BU$3,販管費予算!$E$4:$I$4,0))-12*ROUND(INDEX(販管費予算!$E$36:$I$36,MATCH(BU$3,販管費予算!$E$4:$I$4,0))/12,0),0)</f>
        <v>0.0</v>
      </c>
      <c r="BV88" s="409">
        <f>ROUND(INDEX(販管費予算!$E$36:$I$36,MATCH(BV$3,販管費予算!$E$4:$I$4,0))/12,0)+IF(COUNTIF($AB$3:BV$3,BV$3)=12,INDEX(販管費予算!$E$36:$I$36,MATCH(BV$3,販管費予算!$E$4:$I$4,0))-12*ROUND(INDEX(販管費予算!$E$36:$I$36,MATCH(BV$3,販管費予算!$E$4:$I$4,0))/12,0),0)</f>
        <v>0.0</v>
      </c>
      <c r="BW88" s="412">
        <f>ROUND(INDEX(販管費予算!$E$36:$I$36,MATCH(BW$3,販管費予算!$E$4:$I$4,0))/12,0)+IF(COUNTIF($AB$3:BW$3,BW$3)=12,INDEX(販管費予算!$E$36:$I$36,MATCH(BW$3,販管費予算!$E$4:$I$4,0))-12*ROUND(INDEX(販管費予算!$E$36:$I$36,MATCH(BW$3,販管費予算!$E$4:$I$4,0))/12,0),0)</f>
        <v>0.0</v>
      </c>
      <c r="BX88" s="408">
        <f>ROUND(INDEX(販管費予算!$E$36:$I$36,MATCH(BX$3,販管費予算!$E$4:$I$4,0))/12,0)+IF(COUNTIF($AB$3:BX$3,BX$3)=12,INDEX(販管費予算!$E$36:$I$36,MATCH(BX$3,販管費予算!$E$4:$I$4,0))-12*ROUND(INDEX(販管費予算!$E$36:$I$36,MATCH(BX$3,販管費予算!$E$4:$I$4,0))/12,0),0)</f>
        <v>0.0</v>
      </c>
      <c r="BY88" s="409">
        <f>ROUND(INDEX(販管費予算!$E$36:$I$36,MATCH(BY$3,販管費予算!$E$4:$I$4,0))/12,0)+IF(COUNTIF($AB$3:BY$3,BY$3)=12,INDEX(販管費予算!$E$36:$I$36,MATCH(BY$3,販管費予算!$E$4:$I$4,0))-12*ROUND(INDEX(販管費予算!$E$36:$I$36,MATCH(BY$3,販管費予算!$E$4:$I$4,0))/12,0),0)</f>
        <v>0.0</v>
      </c>
      <c r="BZ88" s="409">
        <f>ROUND(INDEX(販管費予算!$E$36:$I$36,MATCH(BZ$3,販管費予算!$E$4:$I$4,0))/12,0)+IF(COUNTIF($AB$3:BZ$3,BZ$3)=12,INDEX(販管費予算!$E$36:$I$36,MATCH(BZ$3,販管費予算!$E$4:$I$4,0))-12*ROUND(INDEX(販管費予算!$E$36:$I$36,MATCH(BZ$3,販管費予算!$E$4:$I$4,0))/12,0),0)</f>
        <v>0.0</v>
      </c>
      <c r="CA88" s="409">
        <f>ROUND(INDEX(販管費予算!$E$36:$I$36,MATCH(CA$3,販管費予算!$E$4:$I$4,0))/12,0)+IF(COUNTIF($AB$3:CA$3,CA$3)=12,INDEX(販管費予算!$E$36:$I$36,MATCH(CA$3,販管費予算!$E$4:$I$4,0))-12*ROUND(INDEX(販管費予算!$E$36:$I$36,MATCH(CA$3,販管費予算!$E$4:$I$4,0))/12,0),0)</f>
        <v>0.0</v>
      </c>
      <c r="CB88" s="409">
        <f>ROUND(INDEX(販管費予算!$E$36:$I$36,MATCH(CB$3,販管費予算!$E$4:$I$4,0))/12,0)+IF(COUNTIF($AB$3:CB$3,CB$3)=12,INDEX(販管費予算!$E$36:$I$36,MATCH(CB$3,販管費予算!$E$4:$I$4,0))-12*ROUND(INDEX(販管費予算!$E$36:$I$36,MATCH(CB$3,販管費予算!$E$4:$I$4,0))/12,0),0)</f>
        <v>0.0</v>
      </c>
      <c r="CC88" s="409">
        <f>ROUND(INDEX(販管費予算!$E$36:$I$36,MATCH(CC$3,販管費予算!$E$4:$I$4,0))/12,0)+IF(COUNTIF($AB$3:CC$3,CC$3)=12,INDEX(販管費予算!$E$36:$I$36,MATCH(CC$3,販管費予算!$E$4:$I$4,0))-12*ROUND(INDEX(販管費予算!$E$36:$I$36,MATCH(CC$3,販管費予算!$E$4:$I$4,0))/12,0),0)</f>
        <v>0.0</v>
      </c>
      <c r="CD88" s="409">
        <f>ROUND(INDEX(販管費予算!$E$36:$I$36,MATCH(CD$3,販管費予算!$E$4:$I$4,0))/12,0)+IF(COUNTIF($AB$3:CD$3,CD$3)=12,INDEX(販管費予算!$E$36:$I$36,MATCH(CD$3,販管費予算!$E$4:$I$4,0))-12*ROUND(INDEX(販管費予算!$E$36:$I$36,MATCH(CD$3,販管費予算!$E$4:$I$4,0))/12,0),0)</f>
        <v>0.0</v>
      </c>
      <c r="CE88" s="409">
        <f>ROUND(INDEX(販管費予算!$E$36:$I$36,MATCH(CE$3,販管費予算!$E$4:$I$4,0))/12,0)+IF(COUNTIF($AB$3:CE$3,CE$3)=12,INDEX(販管費予算!$E$36:$I$36,MATCH(CE$3,販管費予算!$E$4:$I$4,0))-12*ROUND(INDEX(販管費予算!$E$36:$I$36,MATCH(CE$3,販管費予算!$E$4:$I$4,0))/12,0),0)</f>
        <v>0.0</v>
      </c>
      <c r="CF88" s="409">
        <f>ROUND(INDEX(販管費予算!$E$36:$I$36,MATCH(CF$3,販管費予算!$E$4:$I$4,0))/12,0)+IF(COUNTIF($AB$3:CF$3,CF$3)=12,INDEX(販管費予算!$E$36:$I$36,MATCH(CF$3,販管費予算!$E$4:$I$4,0))-12*ROUND(INDEX(販管費予算!$E$36:$I$36,MATCH(CF$3,販管費予算!$E$4:$I$4,0))/12,0),0)</f>
        <v>0.0</v>
      </c>
      <c r="CG88" s="409">
        <f>ROUND(INDEX(販管費予算!$E$36:$I$36,MATCH(CG$3,販管費予算!$E$4:$I$4,0))/12,0)+IF(COUNTIF($AB$3:CG$3,CG$3)=12,INDEX(販管費予算!$E$36:$I$36,MATCH(CG$3,販管費予算!$E$4:$I$4,0))-12*ROUND(INDEX(販管費予算!$E$36:$I$36,MATCH(CG$3,販管費予算!$E$4:$I$4,0))/12,0),0)</f>
        <v>0.0</v>
      </c>
      <c r="CH88" s="409">
        <f>ROUND(INDEX(販管費予算!$E$36:$I$36,MATCH(CH$3,販管費予算!$E$4:$I$4,0))/12,0)+IF(COUNTIF($AB$3:CH$3,CH$3)=12,INDEX(販管費予算!$E$36:$I$36,MATCH(CH$3,販管費予算!$E$4:$I$4,0))-12*ROUND(INDEX(販管費予算!$E$36:$I$36,MATCH(CH$3,販管費予算!$E$4:$I$4,0))/12,0),0)</f>
        <v>0.0</v>
      </c>
      <c r="CI88" s="412">
        <f>ROUND(INDEX(販管費予算!$E$36:$I$36,MATCH(CI$3,販管費予算!$E$4:$I$4,0))/12,0)+IF(COUNTIF($AB$3:CI$3,CI$3)=12,INDEX(販管費予算!$E$36:$I$36,MATCH(CI$3,販管費予算!$E$4:$I$4,0))-12*ROUND(INDEX(販管費予算!$E$36:$I$36,MATCH(CI$3,販管費予算!$E$4:$I$4,0))/12,0),0)</f>
        <v>0.0</v>
      </c>
    </row>
    <row r="89" ht="18" customHeight="1" s="145">
      <c r="A89" s="233" t="inlineStr">
        <is>
          <t>営業外費用</t>
        </is>
      </c>
      <c r="B89" s="233" t="n"/>
      <c r="C89" s="233" t="n"/>
      <c r="D89" s="234" t="inlineStr">
        <is>
          <t>円</t>
        </is>
      </c>
      <c r="E89" s="408">
        <f>SUMIF($AB$3:$CI$3,E$4,$AB89:$CI89)</f>
        <v>0.0</v>
      </c>
      <c r="F89" s="408">
        <f>SUMIF($AB$3:$CI$3,F$4,$AB89:$CI89)</f>
        <v>0.0</v>
      </c>
      <c r="G89" s="408">
        <f>SUMIF($AB$3:$CI$3,G$4,$AB89:$CI89)</f>
        <v>0.0</v>
      </c>
      <c r="H89" s="408">
        <f>SUMIF($AB$3:$CI$3,H$4,$AB89:$CI89)</f>
        <v>0.0</v>
      </c>
      <c r="I89" s="408">
        <f>SUMIF($AB$3:$CI$3,I$4,$AB89:$CI89)</f>
        <v>0.0</v>
      </c>
      <c r="J89" s="407">
        <f>SUM(E89:I89)</f>
        <v>0.0</v>
      </c>
      <c r="K89" s="407" t="n"/>
      <c r="L89" s="407" t="n"/>
      <c r="M89" s="407" t="n"/>
      <c r="N89" s="407" t="n"/>
      <c r="O89" s="235" t="n"/>
      <c r="P89" s="408" t="n"/>
      <c r="Q89" s="409" t="n"/>
      <c r="R89" s="409" t="n"/>
      <c r="S89" s="409" t="n"/>
      <c r="T89" s="409" t="n"/>
      <c r="U89" s="409" t="n"/>
      <c r="V89" s="409" t="n"/>
      <c r="W89" s="409" t="n"/>
      <c r="X89" s="409" t="n"/>
      <c r="Y89" s="409" t="n"/>
      <c r="Z89" s="409" t="n"/>
      <c r="AA89" s="412" t="n"/>
      <c r="AB89" s="476">
        <f>ROUND(INDEX(販管費予算!$E$37:$I$37,MATCH(AB$3,販管費予算!$E$4:$I$4,0))/12,0)+IF(COUNTIF($AB$3:AB$3,AB$3)=12,INDEX(販管費予算!$E$37:$I$37,MATCH(AB$3,販管費予算!$E$4:$I$4,0))-12*ROUND(INDEX(販管費予算!$E$37:$I$37,MATCH(AB$3,販管費予算!$E$4:$I$4,0))/12,0),0)</f>
        <v>0.0</v>
      </c>
      <c r="AC89" s="477">
        <f>ROUND(INDEX(販管費予算!$E$37:$I$37,MATCH(AC$3,販管費予算!$E$4:$I$4,0))/12,0)+IF(COUNTIF($AB$3:AC$3,AC$3)=12,INDEX(販管費予算!$E$37:$I$37,MATCH(AC$3,販管費予算!$E$4:$I$4,0))-12*ROUND(INDEX(販管費予算!$E$37:$I$37,MATCH(AC$3,販管費予算!$E$4:$I$4,0))/12,0),0)</f>
        <v>0.0</v>
      </c>
      <c r="AD89" s="477">
        <f>ROUND(INDEX(販管費予算!$E$37:$I$37,MATCH(AD$3,販管費予算!$E$4:$I$4,0))/12,0)+IF(COUNTIF($AB$3:AD$3,AD$3)=12,INDEX(販管費予算!$E$37:$I$37,MATCH(AD$3,販管費予算!$E$4:$I$4,0))-12*ROUND(INDEX(販管費予算!$E$37:$I$37,MATCH(AD$3,販管費予算!$E$4:$I$4,0))/12,0),0)</f>
        <v>0.0</v>
      </c>
      <c r="AE89" s="477">
        <f>ROUND(INDEX(販管費予算!$E$37:$I$37,MATCH(AE$3,販管費予算!$E$4:$I$4,0))/12,0)+IF(COUNTIF($AB$3:AE$3,AE$3)=12,INDEX(販管費予算!$E$37:$I$37,MATCH(AE$3,販管費予算!$E$4:$I$4,0))-12*ROUND(INDEX(販管費予算!$E$37:$I$37,MATCH(AE$3,販管費予算!$E$4:$I$4,0))/12,0),0)</f>
        <v>0.0</v>
      </c>
      <c r="AF89" s="477">
        <f>ROUND(INDEX(販管費予算!$E$37:$I$37,MATCH(AF$3,販管費予算!$E$4:$I$4,0))/12,0)+IF(COUNTIF($AB$3:AF$3,AF$3)=12,INDEX(販管費予算!$E$37:$I$37,MATCH(AF$3,販管費予算!$E$4:$I$4,0))-12*ROUND(INDEX(販管費予算!$E$37:$I$37,MATCH(AF$3,販管費予算!$E$4:$I$4,0))/12,0),0)</f>
        <v>0.0</v>
      </c>
      <c r="AG89" s="409">
        <f>ROUND(INDEX(販管費予算!$E$37:$I$37,MATCH(AG$3,販管費予算!$E$4:$I$4,0))/12,0)+IF(COUNTIF($AB$3:AG$3,AG$3)=12,INDEX(販管費予算!$E$37:$I$37,MATCH(AG$3,販管費予算!$E$4:$I$4,0))-12*ROUND(INDEX(販管費予算!$E$37:$I$37,MATCH(AG$3,販管費予算!$E$4:$I$4,0))/12,0),0)</f>
        <v>0.0</v>
      </c>
      <c r="AH89" s="409">
        <f>ROUND(INDEX(販管費予算!$E$37:$I$37,MATCH(AH$3,販管費予算!$E$4:$I$4,0))/12,0)+IF(COUNTIF($AB$3:AH$3,AH$3)=12,INDEX(販管費予算!$E$37:$I$37,MATCH(AH$3,販管費予算!$E$4:$I$4,0))-12*ROUND(INDEX(販管費予算!$E$37:$I$37,MATCH(AH$3,販管費予算!$E$4:$I$4,0))/12,0),0)</f>
        <v>0.0</v>
      </c>
      <c r="AI89" s="409">
        <f>ROUND(INDEX(販管費予算!$E$37:$I$37,MATCH(AI$3,販管費予算!$E$4:$I$4,0))/12,0)+IF(COUNTIF($AB$3:AI$3,AI$3)=12,INDEX(販管費予算!$E$37:$I$37,MATCH(AI$3,販管費予算!$E$4:$I$4,0))-12*ROUND(INDEX(販管費予算!$E$37:$I$37,MATCH(AI$3,販管費予算!$E$4:$I$4,0))/12,0),0)</f>
        <v>0.0</v>
      </c>
      <c r="AJ89" s="409">
        <f>ROUND(INDEX(販管費予算!$E$37:$I$37,MATCH(AJ$3,販管費予算!$E$4:$I$4,0))/12,0)+IF(COUNTIF($AB$3:AJ$3,AJ$3)=12,INDEX(販管費予算!$E$37:$I$37,MATCH(AJ$3,販管費予算!$E$4:$I$4,0))-12*ROUND(INDEX(販管費予算!$E$37:$I$37,MATCH(AJ$3,販管費予算!$E$4:$I$4,0))/12,0),0)</f>
        <v>0.0</v>
      </c>
      <c r="AK89" s="409">
        <f>ROUND(INDEX(販管費予算!$E$37:$I$37,MATCH(AK$3,販管費予算!$E$4:$I$4,0))/12,0)+IF(COUNTIF($AB$3:AK$3,AK$3)=12,INDEX(販管費予算!$E$37:$I$37,MATCH(AK$3,販管費予算!$E$4:$I$4,0))-12*ROUND(INDEX(販管費予算!$E$37:$I$37,MATCH(AK$3,販管費予算!$E$4:$I$4,0))/12,0),0)</f>
        <v>0.0</v>
      </c>
      <c r="AL89" s="409">
        <f>ROUND(INDEX(販管費予算!$E$37:$I$37,MATCH(AL$3,販管費予算!$E$4:$I$4,0))/12,0)+IF(COUNTIF($AB$3:AL$3,AL$3)=12,INDEX(販管費予算!$E$37:$I$37,MATCH(AL$3,販管費予算!$E$4:$I$4,0))-12*ROUND(INDEX(販管費予算!$E$37:$I$37,MATCH(AL$3,販管費予算!$E$4:$I$4,0))/12,0),0)</f>
        <v>0.0</v>
      </c>
      <c r="AM89" s="412">
        <f>ROUND(INDEX(販管費予算!$E$37:$I$37,MATCH(AM$3,販管費予算!$E$4:$I$4,0))/12,0)+IF(COUNTIF($AB$3:AM$3,AM$3)=12,INDEX(販管費予算!$E$37:$I$37,MATCH(AM$3,販管費予算!$E$4:$I$4,0))-12*ROUND(INDEX(販管費予算!$E$37:$I$37,MATCH(AM$3,販管費予算!$E$4:$I$4,0))/12,0),0)</f>
        <v>0.0</v>
      </c>
      <c r="AN89" s="408">
        <f>ROUND(INDEX(販管費予算!$E$37:$I$37,MATCH(AN$3,販管費予算!$E$4:$I$4,0))/12,0)+IF(COUNTIF($AB$3:AN$3,AN$3)=12,INDEX(販管費予算!$E$37:$I$37,MATCH(AN$3,販管費予算!$E$4:$I$4,0))-12*ROUND(INDEX(販管費予算!$E$37:$I$37,MATCH(AN$3,販管費予算!$E$4:$I$4,0))/12,0),0)</f>
        <v>0.0</v>
      </c>
      <c r="AO89" s="409">
        <f>ROUND(INDEX(販管費予算!$E$37:$I$37,MATCH(AO$3,販管費予算!$E$4:$I$4,0))/12,0)+IF(COUNTIF($AB$3:AO$3,AO$3)=12,INDEX(販管費予算!$E$37:$I$37,MATCH(AO$3,販管費予算!$E$4:$I$4,0))-12*ROUND(INDEX(販管費予算!$E$37:$I$37,MATCH(AO$3,販管費予算!$E$4:$I$4,0))/12,0),0)</f>
        <v>0.0</v>
      </c>
      <c r="AP89" s="409">
        <f>ROUND(INDEX(販管費予算!$E$37:$I$37,MATCH(AP$3,販管費予算!$E$4:$I$4,0))/12,0)+IF(COUNTIF($AB$3:AP$3,AP$3)=12,INDEX(販管費予算!$E$37:$I$37,MATCH(AP$3,販管費予算!$E$4:$I$4,0))-12*ROUND(INDEX(販管費予算!$E$37:$I$37,MATCH(AP$3,販管費予算!$E$4:$I$4,0))/12,0),0)</f>
        <v>0.0</v>
      </c>
      <c r="AQ89" s="409">
        <f>ROUND(INDEX(販管費予算!$E$37:$I$37,MATCH(AQ$3,販管費予算!$E$4:$I$4,0))/12,0)+IF(COUNTIF($AB$3:AQ$3,AQ$3)=12,INDEX(販管費予算!$E$37:$I$37,MATCH(AQ$3,販管費予算!$E$4:$I$4,0))-12*ROUND(INDEX(販管費予算!$E$37:$I$37,MATCH(AQ$3,販管費予算!$E$4:$I$4,0))/12,0),0)</f>
        <v>0.0</v>
      </c>
      <c r="AR89" s="409">
        <f>ROUND(INDEX(販管費予算!$E$37:$I$37,MATCH(AR$3,販管費予算!$E$4:$I$4,0))/12,0)+IF(COUNTIF($AB$3:AR$3,AR$3)=12,INDEX(販管費予算!$E$37:$I$37,MATCH(AR$3,販管費予算!$E$4:$I$4,0))-12*ROUND(INDEX(販管費予算!$E$37:$I$37,MATCH(AR$3,販管費予算!$E$4:$I$4,0))/12,0),0)</f>
        <v>0.0</v>
      </c>
      <c r="AS89" s="409">
        <f>ROUND(INDEX(販管費予算!$E$37:$I$37,MATCH(AS$3,販管費予算!$E$4:$I$4,0))/12,0)+IF(COUNTIF($AB$3:AS$3,AS$3)=12,INDEX(販管費予算!$E$37:$I$37,MATCH(AS$3,販管費予算!$E$4:$I$4,0))-12*ROUND(INDEX(販管費予算!$E$37:$I$37,MATCH(AS$3,販管費予算!$E$4:$I$4,0))/12,0),0)</f>
        <v>0.0</v>
      </c>
      <c r="AT89" s="409">
        <f>ROUND(INDEX(販管費予算!$E$37:$I$37,MATCH(AT$3,販管費予算!$E$4:$I$4,0))/12,0)+IF(COUNTIF($AB$3:AT$3,AT$3)=12,INDEX(販管費予算!$E$37:$I$37,MATCH(AT$3,販管費予算!$E$4:$I$4,0))-12*ROUND(INDEX(販管費予算!$E$37:$I$37,MATCH(AT$3,販管費予算!$E$4:$I$4,0))/12,0),0)</f>
        <v>0.0</v>
      </c>
      <c r="AU89" s="409">
        <f>ROUND(INDEX(販管費予算!$E$37:$I$37,MATCH(AU$3,販管費予算!$E$4:$I$4,0))/12,0)+IF(COUNTIF($AB$3:AU$3,AU$3)=12,INDEX(販管費予算!$E$37:$I$37,MATCH(AU$3,販管費予算!$E$4:$I$4,0))-12*ROUND(INDEX(販管費予算!$E$37:$I$37,MATCH(AU$3,販管費予算!$E$4:$I$4,0))/12,0),0)</f>
        <v>0.0</v>
      </c>
      <c r="AV89" s="409">
        <f>ROUND(INDEX(販管費予算!$E$37:$I$37,MATCH(AV$3,販管費予算!$E$4:$I$4,0))/12,0)+IF(COUNTIF($AB$3:AV$3,AV$3)=12,INDEX(販管費予算!$E$37:$I$37,MATCH(AV$3,販管費予算!$E$4:$I$4,0))-12*ROUND(INDEX(販管費予算!$E$37:$I$37,MATCH(AV$3,販管費予算!$E$4:$I$4,0))/12,0),0)</f>
        <v>0.0</v>
      </c>
      <c r="AW89" s="409">
        <f>ROUND(INDEX(販管費予算!$E$37:$I$37,MATCH(AW$3,販管費予算!$E$4:$I$4,0))/12,0)+IF(COUNTIF($AB$3:AW$3,AW$3)=12,INDEX(販管費予算!$E$37:$I$37,MATCH(AW$3,販管費予算!$E$4:$I$4,0))-12*ROUND(INDEX(販管費予算!$E$37:$I$37,MATCH(AW$3,販管費予算!$E$4:$I$4,0))/12,0),0)</f>
        <v>0.0</v>
      </c>
      <c r="AX89" s="409">
        <f>ROUND(INDEX(販管費予算!$E$37:$I$37,MATCH(AX$3,販管費予算!$E$4:$I$4,0))/12,0)+IF(COUNTIF($AB$3:AX$3,AX$3)=12,INDEX(販管費予算!$E$37:$I$37,MATCH(AX$3,販管費予算!$E$4:$I$4,0))-12*ROUND(INDEX(販管費予算!$E$37:$I$37,MATCH(AX$3,販管費予算!$E$4:$I$4,0))/12,0),0)</f>
        <v>0.0</v>
      </c>
      <c r="AY89" s="412">
        <f>ROUND(INDEX(販管費予算!$E$37:$I$37,MATCH(AY$3,販管費予算!$E$4:$I$4,0))/12,0)+IF(COUNTIF($AB$3:AY$3,AY$3)=12,INDEX(販管費予算!$E$37:$I$37,MATCH(AY$3,販管費予算!$E$4:$I$4,0))-12*ROUND(INDEX(販管費予算!$E$37:$I$37,MATCH(AY$3,販管費予算!$E$4:$I$4,0))/12,0),0)</f>
        <v>0.0</v>
      </c>
      <c r="AZ89" s="408">
        <f>ROUND(INDEX(販管費予算!$E$37:$I$37,MATCH(AZ$3,販管費予算!$E$4:$I$4,0))/12,0)+IF(COUNTIF($AB$3:AZ$3,AZ$3)=12,INDEX(販管費予算!$E$37:$I$37,MATCH(AZ$3,販管費予算!$E$4:$I$4,0))-12*ROUND(INDEX(販管費予算!$E$37:$I$37,MATCH(AZ$3,販管費予算!$E$4:$I$4,0))/12,0),0)</f>
        <v>0.0</v>
      </c>
      <c r="BA89" s="409">
        <f>ROUND(INDEX(販管費予算!$E$37:$I$37,MATCH(BA$3,販管費予算!$E$4:$I$4,0))/12,0)+IF(COUNTIF($AB$3:BA$3,BA$3)=12,INDEX(販管費予算!$E$37:$I$37,MATCH(BA$3,販管費予算!$E$4:$I$4,0))-12*ROUND(INDEX(販管費予算!$E$37:$I$37,MATCH(BA$3,販管費予算!$E$4:$I$4,0))/12,0),0)</f>
        <v>0.0</v>
      </c>
      <c r="BB89" s="409">
        <f>ROUND(INDEX(販管費予算!$E$37:$I$37,MATCH(BB$3,販管費予算!$E$4:$I$4,0))/12,0)+IF(COUNTIF($AB$3:BB$3,BB$3)=12,INDEX(販管費予算!$E$37:$I$37,MATCH(BB$3,販管費予算!$E$4:$I$4,0))-12*ROUND(INDEX(販管費予算!$E$37:$I$37,MATCH(BB$3,販管費予算!$E$4:$I$4,0))/12,0),0)</f>
        <v>0.0</v>
      </c>
      <c r="BC89" s="409">
        <f>ROUND(INDEX(販管費予算!$E$37:$I$37,MATCH(BC$3,販管費予算!$E$4:$I$4,0))/12,0)+IF(COUNTIF($AB$3:BC$3,BC$3)=12,INDEX(販管費予算!$E$37:$I$37,MATCH(BC$3,販管費予算!$E$4:$I$4,0))-12*ROUND(INDEX(販管費予算!$E$37:$I$37,MATCH(BC$3,販管費予算!$E$4:$I$4,0))/12,0),0)</f>
        <v>0.0</v>
      </c>
      <c r="BD89" s="409">
        <f>ROUND(INDEX(販管費予算!$E$37:$I$37,MATCH(BD$3,販管費予算!$E$4:$I$4,0))/12,0)+IF(COUNTIF($AB$3:BD$3,BD$3)=12,INDEX(販管費予算!$E$37:$I$37,MATCH(BD$3,販管費予算!$E$4:$I$4,0))-12*ROUND(INDEX(販管費予算!$E$37:$I$37,MATCH(BD$3,販管費予算!$E$4:$I$4,0))/12,0),0)</f>
        <v>0.0</v>
      </c>
      <c r="BE89" s="409">
        <f>ROUND(INDEX(販管費予算!$E$37:$I$37,MATCH(BE$3,販管費予算!$E$4:$I$4,0))/12,0)+IF(COUNTIF($AB$3:BE$3,BE$3)=12,INDEX(販管費予算!$E$37:$I$37,MATCH(BE$3,販管費予算!$E$4:$I$4,0))-12*ROUND(INDEX(販管費予算!$E$37:$I$37,MATCH(BE$3,販管費予算!$E$4:$I$4,0))/12,0),0)</f>
        <v>0.0</v>
      </c>
      <c r="BF89" s="409">
        <f>ROUND(INDEX(販管費予算!$E$37:$I$37,MATCH(BF$3,販管費予算!$E$4:$I$4,0))/12,0)+IF(COUNTIF($AB$3:BF$3,BF$3)=12,INDEX(販管費予算!$E$37:$I$37,MATCH(BF$3,販管費予算!$E$4:$I$4,0))-12*ROUND(INDEX(販管費予算!$E$37:$I$37,MATCH(BF$3,販管費予算!$E$4:$I$4,0))/12,0),0)</f>
        <v>0.0</v>
      </c>
      <c r="BG89" s="409">
        <f>ROUND(INDEX(販管費予算!$E$37:$I$37,MATCH(BG$3,販管費予算!$E$4:$I$4,0))/12,0)+IF(COUNTIF($AB$3:BG$3,BG$3)=12,INDEX(販管費予算!$E$37:$I$37,MATCH(BG$3,販管費予算!$E$4:$I$4,0))-12*ROUND(INDEX(販管費予算!$E$37:$I$37,MATCH(BG$3,販管費予算!$E$4:$I$4,0))/12,0),0)</f>
        <v>0.0</v>
      </c>
      <c r="BH89" s="409">
        <f>ROUND(INDEX(販管費予算!$E$37:$I$37,MATCH(BH$3,販管費予算!$E$4:$I$4,0))/12,0)+IF(COUNTIF($AB$3:BH$3,BH$3)=12,INDEX(販管費予算!$E$37:$I$37,MATCH(BH$3,販管費予算!$E$4:$I$4,0))-12*ROUND(INDEX(販管費予算!$E$37:$I$37,MATCH(BH$3,販管費予算!$E$4:$I$4,0))/12,0),0)</f>
        <v>0.0</v>
      </c>
      <c r="BI89" s="409">
        <f>ROUND(INDEX(販管費予算!$E$37:$I$37,MATCH(BI$3,販管費予算!$E$4:$I$4,0))/12,0)+IF(COUNTIF($AB$3:BI$3,BI$3)=12,INDEX(販管費予算!$E$37:$I$37,MATCH(BI$3,販管費予算!$E$4:$I$4,0))-12*ROUND(INDEX(販管費予算!$E$37:$I$37,MATCH(BI$3,販管費予算!$E$4:$I$4,0))/12,0),0)</f>
        <v>0.0</v>
      </c>
      <c r="BJ89" s="409">
        <f>ROUND(INDEX(販管費予算!$E$37:$I$37,MATCH(BJ$3,販管費予算!$E$4:$I$4,0))/12,0)+IF(COUNTIF($AB$3:BJ$3,BJ$3)=12,INDEX(販管費予算!$E$37:$I$37,MATCH(BJ$3,販管費予算!$E$4:$I$4,0))-12*ROUND(INDEX(販管費予算!$E$37:$I$37,MATCH(BJ$3,販管費予算!$E$4:$I$4,0))/12,0),0)</f>
        <v>0.0</v>
      </c>
      <c r="BK89" s="412">
        <f>ROUND(INDEX(販管費予算!$E$37:$I$37,MATCH(BK$3,販管費予算!$E$4:$I$4,0))/12,0)+IF(COUNTIF($AB$3:BK$3,BK$3)=12,INDEX(販管費予算!$E$37:$I$37,MATCH(BK$3,販管費予算!$E$4:$I$4,0))-12*ROUND(INDEX(販管費予算!$E$37:$I$37,MATCH(BK$3,販管費予算!$E$4:$I$4,0))/12,0),0)</f>
        <v>0.0</v>
      </c>
      <c r="BL89" s="408">
        <f>ROUND(INDEX(販管費予算!$E$37:$I$37,MATCH(BL$3,販管費予算!$E$4:$I$4,0))/12,0)+IF(COUNTIF($AB$3:BL$3,BL$3)=12,INDEX(販管費予算!$E$37:$I$37,MATCH(BL$3,販管費予算!$E$4:$I$4,0))-12*ROUND(INDEX(販管費予算!$E$37:$I$37,MATCH(BL$3,販管費予算!$E$4:$I$4,0))/12,0),0)</f>
        <v>0.0</v>
      </c>
      <c r="BM89" s="409">
        <f>ROUND(INDEX(販管費予算!$E$37:$I$37,MATCH(BM$3,販管費予算!$E$4:$I$4,0))/12,0)+IF(COUNTIF($AB$3:BM$3,BM$3)=12,INDEX(販管費予算!$E$37:$I$37,MATCH(BM$3,販管費予算!$E$4:$I$4,0))-12*ROUND(INDEX(販管費予算!$E$37:$I$37,MATCH(BM$3,販管費予算!$E$4:$I$4,0))/12,0),0)</f>
        <v>0.0</v>
      </c>
      <c r="BN89" s="409">
        <f>ROUND(INDEX(販管費予算!$E$37:$I$37,MATCH(BN$3,販管費予算!$E$4:$I$4,0))/12,0)+IF(COUNTIF($AB$3:BN$3,BN$3)=12,INDEX(販管費予算!$E$37:$I$37,MATCH(BN$3,販管費予算!$E$4:$I$4,0))-12*ROUND(INDEX(販管費予算!$E$37:$I$37,MATCH(BN$3,販管費予算!$E$4:$I$4,0))/12,0),0)</f>
        <v>0.0</v>
      </c>
      <c r="BO89" s="409">
        <f>ROUND(INDEX(販管費予算!$E$37:$I$37,MATCH(BO$3,販管費予算!$E$4:$I$4,0))/12,0)+IF(COUNTIF($AB$3:BO$3,BO$3)=12,INDEX(販管費予算!$E$37:$I$37,MATCH(BO$3,販管費予算!$E$4:$I$4,0))-12*ROUND(INDEX(販管費予算!$E$37:$I$37,MATCH(BO$3,販管費予算!$E$4:$I$4,0))/12,0),0)</f>
        <v>0.0</v>
      </c>
      <c r="BP89" s="409">
        <f>ROUND(INDEX(販管費予算!$E$37:$I$37,MATCH(BP$3,販管費予算!$E$4:$I$4,0))/12,0)+IF(COUNTIF($AB$3:BP$3,BP$3)=12,INDEX(販管費予算!$E$37:$I$37,MATCH(BP$3,販管費予算!$E$4:$I$4,0))-12*ROUND(INDEX(販管費予算!$E$37:$I$37,MATCH(BP$3,販管費予算!$E$4:$I$4,0))/12,0),0)</f>
        <v>0.0</v>
      </c>
      <c r="BQ89" s="409">
        <f>ROUND(INDEX(販管費予算!$E$37:$I$37,MATCH(BQ$3,販管費予算!$E$4:$I$4,0))/12,0)+IF(COUNTIF($AB$3:BQ$3,BQ$3)=12,INDEX(販管費予算!$E$37:$I$37,MATCH(BQ$3,販管費予算!$E$4:$I$4,0))-12*ROUND(INDEX(販管費予算!$E$37:$I$37,MATCH(BQ$3,販管費予算!$E$4:$I$4,0))/12,0),0)</f>
        <v>0.0</v>
      </c>
      <c r="BR89" s="409">
        <f>ROUND(INDEX(販管費予算!$E$37:$I$37,MATCH(BR$3,販管費予算!$E$4:$I$4,0))/12,0)+IF(COUNTIF($AB$3:BR$3,BR$3)=12,INDEX(販管費予算!$E$37:$I$37,MATCH(BR$3,販管費予算!$E$4:$I$4,0))-12*ROUND(INDEX(販管費予算!$E$37:$I$37,MATCH(BR$3,販管費予算!$E$4:$I$4,0))/12,0),0)</f>
        <v>0.0</v>
      </c>
      <c r="BS89" s="409">
        <f>ROUND(INDEX(販管費予算!$E$37:$I$37,MATCH(BS$3,販管費予算!$E$4:$I$4,0))/12,0)+IF(COUNTIF($AB$3:BS$3,BS$3)=12,INDEX(販管費予算!$E$37:$I$37,MATCH(BS$3,販管費予算!$E$4:$I$4,0))-12*ROUND(INDEX(販管費予算!$E$37:$I$37,MATCH(BS$3,販管費予算!$E$4:$I$4,0))/12,0),0)</f>
        <v>0.0</v>
      </c>
      <c r="BT89" s="409">
        <f>ROUND(INDEX(販管費予算!$E$37:$I$37,MATCH(BT$3,販管費予算!$E$4:$I$4,0))/12,0)+IF(COUNTIF($AB$3:BT$3,BT$3)=12,INDEX(販管費予算!$E$37:$I$37,MATCH(BT$3,販管費予算!$E$4:$I$4,0))-12*ROUND(INDEX(販管費予算!$E$37:$I$37,MATCH(BT$3,販管費予算!$E$4:$I$4,0))/12,0),0)</f>
        <v>0.0</v>
      </c>
      <c r="BU89" s="409">
        <f>ROUND(INDEX(販管費予算!$E$37:$I$37,MATCH(BU$3,販管費予算!$E$4:$I$4,0))/12,0)+IF(COUNTIF($AB$3:BU$3,BU$3)=12,INDEX(販管費予算!$E$37:$I$37,MATCH(BU$3,販管費予算!$E$4:$I$4,0))-12*ROUND(INDEX(販管費予算!$E$37:$I$37,MATCH(BU$3,販管費予算!$E$4:$I$4,0))/12,0),0)</f>
        <v>0.0</v>
      </c>
      <c r="BV89" s="409">
        <f>ROUND(INDEX(販管費予算!$E$37:$I$37,MATCH(BV$3,販管費予算!$E$4:$I$4,0))/12,0)+IF(COUNTIF($AB$3:BV$3,BV$3)=12,INDEX(販管費予算!$E$37:$I$37,MATCH(BV$3,販管費予算!$E$4:$I$4,0))-12*ROUND(INDEX(販管費予算!$E$37:$I$37,MATCH(BV$3,販管費予算!$E$4:$I$4,0))/12,0),0)</f>
        <v>0.0</v>
      </c>
      <c r="BW89" s="412">
        <f>ROUND(INDEX(販管費予算!$E$37:$I$37,MATCH(BW$3,販管費予算!$E$4:$I$4,0))/12,0)+IF(COUNTIF($AB$3:BW$3,BW$3)=12,INDEX(販管費予算!$E$37:$I$37,MATCH(BW$3,販管費予算!$E$4:$I$4,0))-12*ROUND(INDEX(販管費予算!$E$37:$I$37,MATCH(BW$3,販管費予算!$E$4:$I$4,0))/12,0),0)</f>
        <v>0.0</v>
      </c>
      <c r="BX89" s="408">
        <f>ROUND(INDEX(販管費予算!$E$37:$I$37,MATCH(BX$3,販管費予算!$E$4:$I$4,0))/12,0)+IF(COUNTIF($AB$3:BX$3,BX$3)=12,INDEX(販管費予算!$E$37:$I$37,MATCH(BX$3,販管費予算!$E$4:$I$4,0))-12*ROUND(INDEX(販管費予算!$E$37:$I$37,MATCH(BX$3,販管費予算!$E$4:$I$4,0))/12,0),0)</f>
        <v>0.0</v>
      </c>
      <c r="BY89" s="409">
        <f>ROUND(INDEX(販管費予算!$E$37:$I$37,MATCH(BY$3,販管費予算!$E$4:$I$4,0))/12,0)+IF(COUNTIF($AB$3:BY$3,BY$3)=12,INDEX(販管費予算!$E$37:$I$37,MATCH(BY$3,販管費予算!$E$4:$I$4,0))-12*ROUND(INDEX(販管費予算!$E$37:$I$37,MATCH(BY$3,販管費予算!$E$4:$I$4,0))/12,0),0)</f>
        <v>0.0</v>
      </c>
      <c r="BZ89" s="409">
        <f>ROUND(INDEX(販管費予算!$E$37:$I$37,MATCH(BZ$3,販管費予算!$E$4:$I$4,0))/12,0)+IF(COUNTIF($AB$3:BZ$3,BZ$3)=12,INDEX(販管費予算!$E$37:$I$37,MATCH(BZ$3,販管費予算!$E$4:$I$4,0))-12*ROUND(INDEX(販管費予算!$E$37:$I$37,MATCH(BZ$3,販管費予算!$E$4:$I$4,0))/12,0),0)</f>
        <v>0.0</v>
      </c>
      <c r="CA89" s="409">
        <f>ROUND(INDEX(販管費予算!$E$37:$I$37,MATCH(CA$3,販管費予算!$E$4:$I$4,0))/12,0)+IF(COUNTIF($AB$3:CA$3,CA$3)=12,INDEX(販管費予算!$E$37:$I$37,MATCH(CA$3,販管費予算!$E$4:$I$4,0))-12*ROUND(INDEX(販管費予算!$E$37:$I$37,MATCH(CA$3,販管費予算!$E$4:$I$4,0))/12,0),0)</f>
        <v>0.0</v>
      </c>
      <c r="CB89" s="409">
        <f>ROUND(INDEX(販管費予算!$E$37:$I$37,MATCH(CB$3,販管費予算!$E$4:$I$4,0))/12,0)+IF(COUNTIF($AB$3:CB$3,CB$3)=12,INDEX(販管費予算!$E$37:$I$37,MATCH(CB$3,販管費予算!$E$4:$I$4,0))-12*ROUND(INDEX(販管費予算!$E$37:$I$37,MATCH(CB$3,販管費予算!$E$4:$I$4,0))/12,0),0)</f>
        <v>0.0</v>
      </c>
      <c r="CC89" s="409">
        <f>ROUND(INDEX(販管費予算!$E$37:$I$37,MATCH(CC$3,販管費予算!$E$4:$I$4,0))/12,0)+IF(COUNTIF($AB$3:CC$3,CC$3)=12,INDEX(販管費予算!$E$37:$I$37,MATCH(CC$3,販管費予算!$E$4:$I$4,0))-12*ROUND(INDEX(販管費予算!$E$37:$I$37,MATCH(CC$3,販管費予算!$E$4:$I$4,0))/12,0),0)</f>
        <v>0.0</v>
      </c>
      <c r="CD89" s="409">
        <f>ROUND(INDEX(販管費予算!$E$37:$I$37,MATCH(CD$3,販管費予算!$E$4:$I$4,0))/12,0)+IF(COUNTIF($AB$3:CD$3,CD$3)=12,INDEX(販管費予算!$E$37:$I$37,MATCH(CD$3,販管費予算!$E$4:$I$4,0))-12*ROUND(INDEX(販管費予算!$E$37:$I$37,MATCH(CD$3,販管費予算!$E$4:$I$4,0))/12,0),0)</f>
        <v>0.0</v>
      </c>
      <c r="CE89" s="409">
        <f>ROUND(INDEX(販管費予算!$E$37:$I$37,MATCH(CE$3,販管費予算!$E$4:$I$4,0))/12,0)+IF(COUNTIF($AB$3:CE$3,CE$3)=12,INDEX(販管費予算!$E$37:$I$37,MATCH(CE$3,販管費予算!$E$4:$I$4,0))-12*ROUND(INDEX(販管費予算!$E$37:$I$37,MATCH(CE$3,販管費予算!$E$4:$I$4,0))/12,0),0)</f>
        <v>0.0</v>
      </c>
      <c r="CF89" s="409">
        <f>ROUND(INDEX(販管費予算!$E$37:$I$37,MATCH(CF$3,販管費予算!$E$4:$I$4,0))/12,0)+IF(COUNTIF($AB$3:CF$3,CF$3)=12,INDEX(販管費予算!$E$37:$I$37,MATCH(CF$3,販管費予算!$E$4:$I$4,0))-12*ROUND(INDEX(販管費予算!$E$37:$I$37,MATCH(CF$3,販管費予算!$E$4:$I$4,0))/12,0),0)</f>
        <v>0.0</v>
      </c>
      <c r="CG89" s="409">
        <f>ROUND(INDEX(販管費予算!$E$37:$I$37,MATCH(CG$3,販管費予算!$E$4:$I$4,0))/12,0)+IF(COUNTIF($AB$3:CG$3,CG$3)=12,INDEX(販管費予算!$E$37:$I$37,MATCH(CG$3,販管費予算!$E$4:$I$4,0))-12*ROUND(INDEX(販管費予算!$E$37:$I$37,MATCH(CG$3,販管費予算!$E$4:$I$4,0))/12,0),0)</f>
        <v>0.0</v>
      </c>
      <c r="CH89" s="409">
        <f>ROUND(INDEX(販管費予算!$E$37:$I$37,MATCH(CH$3,販管費予算!$E$4:$I$4,0))/12,0)+IF(COUNTIF($AB$3:CH$3,CH$3)=12,INDEX(販管費予算!$E$37:$I$37,MATCH(CH$3,販管費予算!$E$4:$I$4,0))-12*ROUND(INDEX(販管費予算!$E$37:$I$37,MATCH(CH$3,販管費予算!$E$4:$I$4,0))/12,0),0)</f>
        <v>0.0</v>
      </c>
      <c r="CI89" s="412">
        <f>ROUND(INDEX(販管費予算!$E$37:$I$37,MATCH(CI$3,販管費予算!$E$4:$I$4,0))/12,0)+IF(COUNTIF($AB$3:CI$3,CI$3)=12,INDEX(販管費予算!$E$37:$I$37,MATCH(CI$3,販管費予算!$E$4:$I$4,0))-12*ROUND(INDEX(販管費予算!$E$37:$I$37,MATCH(CI$3,販管費予算!$E$4:$I$4,0))/12,0),0)</f>
        <v>0.0</v>
      </c>
    </row>
    <row r="90" ht="18" customHeight="1" s="145">
      <c r="A90" s="300" t="inlineStr">
        <is>
          <t>経常利益</t>
        </is>
      </c>
      <c r="B90" s="300" t="n"/>
      <c r="C90" s="300" t="n"/>
      <c r="D90" s="309" t="inlineStr">
        <is>
          <t>円</t>
        </is>
      </c>
      <c r="E90" s="437">
        <f>E80+E88-E89</f>
        <v>-33249571.1899109</v>
      </c>
      <c r="F90" s="438">
        <f>F80+F88-F89</f>
        <v>-11905996.2600363</v>
      </c>
      <c r="G90" s="438">
        <f>G80+G88-G89</f>
        <v>-4146493.77162999</v>
      </c>
      <c r="H90" s="438">
        <f>H80+H88-H89</f>
        <v>4344500.14805055</v>
      </c>
      <c r="I90" s="438">
        <f>I80+I88-I89</f>
        <v>-59169879.6001254</v>
      </c>
      <c r="J90" s="436">
        <f>J80+J88-J89</f>
        <v>-104127440.673652</v>
      </c>
      <c r="K90" s="436" t="n"/>
      <c r="L90" s="436" t="n"/>
      <c r="M90" s="436" t="n"/>
      <c r="N90" s="436" t="n"/>
      <c r="O90" s="235" t="n"/>
      <c r="P90" s="437" t="n"/>
      <c r="Q90" s="438" t="n"/>
      <c r="R90" s="438" t="n"/>
      <c r="S90" s="438" t="n"/>
      <c r="T90" s="438" t="n"/>
      <c r="U90" s="438" t="n"/>
      <c r="V90" s="438" t="n"/>
      <c r="W90" s="438" t="n"/>
      <c r="X90" s="438" t="n"/>
      <c r="Y90" s="438" t="n"/>
      <c r="Z90" s="438" t="n"/>
      <c r="AA90" s="439" t="n"/>
      <c r="AB90" s="487">
        <f>AB80+AB88-AB89</f>
        <v>-4583335.0</v>
      </c>
      <c r="AC90" s="436">
        <f>AC80+AC88-AC89</f>
        <v>-4530080.12011887</v>
      </c>
      <c r="AD90" s="436">
        <f>AD80+AD88-AD89</f>
        <v>-4271607.98581083</v>
      </c>
      <c r="AE90" s="436">
        <f>AE80+AE88-AE89</f>
        <v>-4017747.42918896</v>
      </c>
      <c r="AF90" s="436">
        <f>AF80+AF88-AF89</f>
        <v>-3777519.60619952</v>
      </c>
      <c r="AG90" s="438">
        <f>AG80+AG88-AG89</f>
        <v>-3497287.01228874</v>
      </c>
      <c r="AH90" s="438">
        <f>AH80+AH88-AH89</f>
        <v>-2891704.76113117</v>
      </c>
      <c r="AI90" s="438">
        <f>AI80+AI88-AI89</f>
        <v>-2290696.56882801</v>
      </c>
      <c r="AJ90" s="438">
        <f>AJ80+AJ88-AJ89</f>
        <v>-1643184.21112946</v>
      </c>
      <c r="AK90" s="438">
        <f>AK80+AK88-AK89</f>
        <v>-1007785.09369259</v>
      </c>
      <c r="AL90" s="438">
        <f>AL80+AL88-AL89</f>
        <v>-707475.515431775</v>
      </c>
      <c r="AM90" s="439">
        <f>AM80+AM88-AM89</f>
        <v>-31147.8860909957</v>
      </c>
      <c r="AN90" s="437">
        <f>AN80+AN88-AN89</f>
        <v>-4555804.38546119</v>
      </c>
      <c r="AO90" s="438">
        <f>AO80+AO88-AO89</f>
        <v>-3897684.22628692</v>
      </c>
      <c r="AP90" s="438">
        <f>AP80+AP88-AP89</f>
        <v>-3194044.87128581</v>
      </c>
      <c r="AQ90" s="438">
        <f>AQ80+AQ88-AQ89</f>
        <v>-2503485.69171198</v>
      </c>
      <c r="AR90" s="438">
        <f>AR80+AR88-AR89</f>
        <v>-2148965.22951552</v>
      </c>
      <c r="AS90" s="438">
        <f>AS80+AS88-AS89</f>
        <v>-1419378.41352846</v>
      </c>
      <c r="AT90" s="438">
        <f>AT80+AT88-AT89</f>
        <v>-703316.21711541</v>
      </c>
      <c r="AU90" s="438">
        <f>AU80+AU88-AU89</f>
        <v>6271.08065281622</v>
      </c>
      <c r="AV90" s="438">
        <f>AV80+AV88-AV89</f>
        <v>760496.679866083</v>
      </c>
      <c r="AW90" s="438">
        <f>AW80+AW88-AW89</f>
        <v>1170777.60323839</v>
      </c>
      <c r="AX90" s="438">
        <f>AX80+AX88-AX89</f>
        <v>1904171.43610439</v>
      </c>
      <c r="AY90" s="439">
        <f>AY80+AY88-AY89</f>
        <v>2674965.97500728</v>
      </c>
      <c r="AZ90" s="437">
        <f>AZ80+AZ88-AZ89</f>
        <v>-4532398.75905124</v>
      </c>
      <c r="BA90" s="438">
        <f>BA80+BA88-BA89</f>
        <v>-4065953.72745042</v>
      </c>
      <c r="BB90" s="438">
        <f>BB80+BB88-BB89</f>
        <v>-3224391.89531236</v>
      </c>
      <c r="BC90" s="438">
        <f>BC80+BC88-BC89</f>
        <v>-2396120.71276208</v>
      </c>
      <c r="BD90" s="438">
        <f>BD80+BD88-BD89</f>
        <v>-1567278.1042684</v>
      </c>
      <c r="BE90" s="438">
        <f>BE80+BE88-BE89</f>
        <v>-707437.778047817</v>
      </c>
      <c r="BF90" s="438">
        <f>BF80+BF88-BF89</f>
        <v>152574.780812837</v>
      </c>
      <c r="BG90" s="438">
        <f>BG80+BG88-BG89</f>
        <v>669048.807423204</v>
      </c>
      <c r="BH90" s="438">
        <f>BH80+BH88-BH89</f>
        <v>1559992.4606346</v>
      </c>
      <c r="BI90" s="438">
        <f>BI80+BI88-BI89</f>
        <v>2437007.31644073</v>
      </c>
      <c r="BJ90" s="438">
        <f>BJ80+BJ88-BJ89</f>
        <v>3307103.24060227</v>
      </c>
      <c r="BK90" s="439">
        <f>BK80+BK88-BK89</f>
        <v>4221360.59934872</v>
      </c>
      <c r="BL90" s="437">
        <f>BL80+BL88-BL89</f>
        <v>-4616934.73077053</v>
      </c>
      <c r="BM90" s="438">
        <f>BM80+BM88-BM89</f>
        <v>-3724116.63343225</v>
      </c>
      <c r="BN90" s="438">
        <f>BN80+BN88-BN89</f>
        <v>-2794285.67933793</v>
      </c>
      <c r="BO90" s="438">
        <f>BO80+BO88-BO89</f>
        <v>-1872043.73329382</v>
      </c>
      <c r="BP90" s="438">
        <f>BP80+BP88-BP89</f>
        <v>-957300.700855687</v>
      </c>
      <c r="BQ90" s="438">
        <f>BQ80+BQ88-BQ89</f>
        <v>-5825.08160998672</v>
      </c>
      <c r="BR90" s="438">
        <f>BR80+BR88-BR89</f>
        <v>937785.280759752</v>
      </c>
      <c r="BS90" s="438">
        <f>BS80+BS88-BS89</f>
        <v>1543624.45200023</v>
      </c>
      <c r="BT90" s="438">
        <f>BT80+BT88-BT89</f>
        <v>2515927.85420614</v>
      </c>
      <c r="BU90" s="438">
        <f>BU80+BU88-BU89</f>
        <v>3473240.37847739</v>
      </c>
      <c r="BV90" s="438">
        <f>BV80+BV88-BV89</f>
        <v>4429448.0217245</v>
      </c>
      <c r="BW90" s="439">
        <f>BW80+BW88-BW89</f>
        <v>5414980.72018268</v>
      </c>
      <c r="BX90" s="437">
        <f>BX80+BX88-BX89</f>
        <v>-10924392.7371454</v>
      </c>
      <c r="BY90" s="438">
        <f>BY80+BY88-BY89</f>
        <v>-9835607.75309672</v>
      </c>
      <c r="BZ90" s="438">
        <f>BZ80+BZ88-BZ89</f>
        <v>-8709211.17994271</v>
      </c>
      <c r="CA90" s="438">
        <f>CA80+CA88-CA89</f>
        <v>-7589640.47732096</v>
      </c>
      <c r="CB90" s="438">
        <f>CB80+CB88-CB89</f>
        <v>-6806852.43784207</v>
      </c>
      <c r="CC90" s="438">
        <f>CC80+CC88-CC89</f>
        <v>-5649800.20745839</v>
      </c>
      <c r="CD90" s="438">
        <f>CD80+CD88-CD89</f>
        <v>-4506697.96833582</v>
      </c>
      <c r="CE90" s="438">
        <f>CE80+CE88-CE89</f>
        <v>-3370582.133451</v>
      </c>
      <c r="CF90" s="438">
        <f>CF80+CF88-CF89</f>
        <v>-2197265.04514826</v>
      </c>
      <c r="CG90" s="438">
        <f>CG80+CG88-CG89</f>
        <v>-1031180.25476072</v>
      </c>
      <c r="CH90" s="438">
        <f>CH80+CH88-CH89</f>
        <v>127719.326259971</v>
      </c>
      <c r="CI90" s="439">
        <f>CI80+CI88-CI89</f>
        <v>1323631.26811668</v>
      </c>
    </row>
    <row r="91" ht="18" customHeight="1" s="145">
      <c r="A91" s="337" t="n"/>
      <c r="B91" s="337" t="n"/>
      <c r="C91" s="488" t="inlineStr">
        <is>
          <t>前期比</t>
        </is>
      </c>
      <c r="D91" s="489" t="inlineStr">
        <is>
          <t>％</t>
        </is>
      </c>
      <c r="E91" s="490" t="n"/>
      <c r="F91" s="491" t="str">
        <f>IF(E90&gt;0,(F90-E90)/E90,"-")</f>
        <v>-</v>
      </c>
      <c r="G91" s="491" t="str">
        <f>IF(F90&gt;0,(G90-F90)/F90,"-")</f>
        <v>-</v>
      </c>
      <c r="H91" s="491" t="str">
        <f>IF(G90&gt;0,(H90-G90)/G90,"-")</f>
        <v>-</v>
      </c>
      <c r="I91" s="491">
        <f>IF(H90&gt;0,(I90-H90)/H90,"-")</f>
        <v>-14.6194907546904</v>
      </c>
      <c r="J91" s="342">
        <f>IFERROR((I90/E90)^(1/4)-1,"-")</f>
        <v>0.154991157210635</v>
      </c>
      <c r="K91" s="342" t="n"/>
      <c r="L91" s="342" t="n"/>
      <c r="M91" s="342" t="n"/>
      <c r="N91" s="342" t="n"/>
      <c r="O91" s="316" t="n"/>
      <c r="P91" s="490" t="n"/>
      <c r="Q91" s="492" t="n"/>
      <c r="R91" s="492" t="n"/>
      <c r="S91" s="492" t="n"/>
      <c r="T91" s="492" t="n"/>
      <c r="U91" s="492" t="n"/>
      <c r="V91" s="492" t="n"/>
      <c r="W91" s="492" t="n"/>
      <c r="X91" s="492" t="n"/>
      <c r="Y91" s="492" t="n"/>
      <c r="Z91" s="492" t="n"/>
      <c r="AA91" s="493" t="n"/>
      <c r="AB91" s="490" t="n"/>
      <c r="AC91" s="492" t="n"/>
      <c r="AD91" s="492" t="n"/>
      <c r="AE91" s="492" t="n"/>
      <c r="AF91" s="492" t="n"/>
      <c r="AG91" s="492" t="n"/>
      <c r="AH91" s="492" t="n"/>
      <c r="AI91" s="492" t="n"/>
      <c r="AJ91" s="492" t="n"/>
      <c r="AK91" s="492" t="n"/>
      <c r="AL91" s="492" t="n"/>
      <c r="AM91" s="493" t="n"/>
      <c r="AN91" s="490" t="n"/>
      <c r="AO91" s="492" t="n"/>
      <c r="AP91" s="492" t="n"/>
      <c r="AQ91" s="492" t="n"/>
      <c r="AR91" s="492" t="n"/>
      <c r="AS91" s="492" t="n"/>
      <c r="AT91" s="492" t="n"/>
      <c r="AU91" s="492" t="n"/>
      <c r="AV91" s="492" t="n"/>
      <c r="AW91" s="492" t="n"/>
      <c r="AX91" s="492" t="n"/>
      <c r="AY91" s="493" t="n"/>
      <c r="AZ91" s="490" t="n"/>
      <c r="BA91" s="492" t="n"/>
      <c r="BB91" s="492" t="n"/>
      <c r="BC91" s="492" t="n"/>
      <c r="BD91" s="492" t="n"/>
      <c r="BE91" s="492" t="n"/>
      <c r="BF91" s="492" t="n"/>
      <c r="BG91" s="492" t="n"/>
      <c r="BH91" s="492" t="n"/>
      <c r="BI91" s="492" t="n"/>
      <c r="BJ91" s="492" t="n"/>
      <c r="BK91" s="493" t="n"/>
      <c r="BL91" s="490" t="n"/>
      <c r="BM91" s="492" t="n"/>
      <c r="BN91" s="492" t="n"/>
      <c r="BO91" s="492" t="n"/>
      <c r="BP91" s="492" t="n"/>
      <c r="BQ91" s="492" t="n"/>
      <c r="BR91" s="492" t="n"/>
      <c r="BS91" s="492" t="n"/>
      <c r="BT91" s="492" t="n"/>
      <c r="BU91" s="492" t="n"/>
      <c r="BV91" s="492" t="n"/>
      <c r="BW91" s="493" t="n"/>
      <c r="BX91" s="490" t="n"/>
      <c r="BY91" s="492" t="n"/>
      <c r="BZ91" s="492" t="n"/>
      <c r="CA91" s="492" t="n"/>
      <c r="CB91" s="492" t="n"/>
      <c r="CC91" s="492" t="n"/>
      <c r="CD91" s="492" t="n"/>
      <c r="CE91" s="492" t="n"/>
      <c r="CF91" s="492" t="n"/>
      <c r="CG91" s="492" t="n"/>
      <c r="CH91" s="492" t="n"/>
      <c r="CI91" s="493" t="n"/>
    </row>
    <row r="92" ht="18" customHeight="1" s="145">
      <c r="A92" s="300" t="inlineStr">
        <is>
          <t>税引前当期純利益</t>
        </is>
      </c>
      <c r="B92" s="300" t="n"/>
      <c r="C92" s="300" t="inlineStr">
        <is>
          <t>（特別損益なし：経常利益と同額）</t>
        </is>
      </c>
      <c r="D92" s="309" t="inlineStr">
        <is>
          <t>円</t>
        </is>
      </c>
      <c r="E92" s="437">
        <f>E90</f>
        <v>-33249571.1899109</v>
      </c>
      <c r="F92" s="438">
        <f>F90</f>
        <v>-11905996.2600363</v>
      </c>
      <c r="G92" s="438">
        <f>G90</f>
        <v>-4146493.77162999</v>
      </c>
      <c r="H92" s="438">
        <f>H90</f>
        <v>4344500.14805055</v>
      </c>
      <c r="I92" s="438">
        <f>I90</f>
        <v>-59169879.6001254</v>
      </c>
      <c r="J92" s="436">
        <f>J90</f>
        <v>-104127440.673652</v>
      </c>
      <c r="K92" s="436" t="n"/>
      <c r="L92" s="436" t="n"/>
      <c r="M92" s="436" t="n"/>
      <c r="N92" s="436" t="n"/>
      <c r="O92" s="235" t="n"/>
      <c r="P92" s="437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9" t="n"/>
      <c r="AB92" s="487">
        <f>AB90</f>
        <v>-4583335.0</v>
      </c>
      <c r="AC92" s="436">
        <f>AC90</f>
        <v>-4530080.12011887</v>
      </c>
      <c r="AD92" s="436">
        <f>AD90</f>
        <v>-4271607.98581083</v>
      </c>
      <c r="AE92" s="436">
        <f>AE90</f>
        <v>-4017747.42918896</v>
      </c>
      <c r="AF92" s="436">
        <f>AF90</f>
        <v>-3777519.60619952</v>
      </c>
      <c r="AG92" s="438">
        <f>AG90</f>
        <v>-3497287.01228874</v>
      </c>
      <c r="AH92" s="438">
        <f>AH90</f>
        <v>-2891704.76113117</v>
      </c>
      <c r="AI92" s="438">
        <f>AI90</f>
        <v>-2290696.56882801</v>
      </c>
      <c r="AJ92" s="438">
        <f>AJ90</f>
        <v>-1643184.21112946</v>
      </c>
      <c r="AK92" s="438">
        <f>AK90</f>
        <v>-1007785.09369259</v>
      </c>
      <c r="AL92" s="438">
        <f>AL90</f>
        <v>-707475.515431775</v>
      </c>
      <c r="AM92" s="439">
        <f>AM90</f>
        <v>-31147.8860909957</v>
      </c>
      <c r="AN92" s="437">
        <f>AN90</f>
        <v>-4555804.38546119</v>
      </c>
      <c r="AO92" s="438">
        <f>AO90</f>
        <v>-3897684.22628692</v>
      </c>
      <c r="AP92" s="438">
        <f>AP90</f>
        <v>-3194044.87128581</v>
      </c>
      <c r="AQ92" s="438">
        <f>AQ90</f>
        <v>-2503485.69171198</v>
      </c>
      <c r="AR92" s="438">
        <f>AR90</f>
        <v>-2148965.22951552</v>
      </c>
      <c r="AS92" s="438">
        <f>AS90</f>
        <v>-1419378.41352846</v>
      </c>
      <c r="AT92" s="438">
        <f>AT90</f>
        <v>-703316.21711541</v>
      </c>
      <c r="AU92" s="438">
        <f>AU90</f>
        <v>6271.08065281622</v>
      </c>
      <c r="AV92" s="438">
        <f>AV90</f>
        <v>760496.679866083</v>
      </c>
      <c r="AW92" s="438">
        <f>AW90</f>
        <v>1170777.60323839</v>
      </c>
      <c r="AX92" s="438">
        <f>AX90</f>
        <v>1904171.43610439</v>
      </c>
      <c r="AY92" s="439">
        <f>AY90</f>
        <v>2674965.97500728</v>
      </c>
      <c r="AZ92" s="437">
        <f>AZ90</f>
        <v>-4532398.75905124</v>
      </c>
      <c r="BA92" s="438">
        <f>BA90</f>
        <v>-4065953.72745042</v>
      </c>
      <c r="BB92" s="438">
        <f>BB90</f>
        <v>-3224391.89531236</v>
      </c>
      <c r="BC92" s="438">
        <f>BC90</f>
        <v>-2396120.71276208</v>
      </c>
      <c r="BD92" s="438">
        <f>BD90</f>
        <v>-1567278.1042684</v>
      </c>
      <c r="BE92" s="438">
        <f>BE90</f>
        <v>-707437.778047817</v>
      </c>
      <c r="BF92" s="438">
        <f>BF90</f>
        <v>152574.780812837</v>
      </c>
      <c r="BG92" s="438">
        <f>BG90</f>
        <v>669048.807423204</v>
      </c>
      <c r="BH92" s="438">
        <f>BH90</f>
        <v>1559992.4606346</v>
      </c>
      <c r="BI92" s="438">
        <f>BI90</f>
        <v>2437007.31644073</v>
      </c>
      <c r="BJ92" s="438">
        <f>BJ90</f>
        <v>3307103.24060227</v>
      </c>
      <c r="BK92" s="439">
        <f>BK90</f>
        <v>4221360.59934872</v>
      </c>
      <c r="BL92" s="437">
        <f>BL90</f>
        <v>-4616934.73077053</v>
      </c>
      <c r="BM92" s="438">
        <f>BM90</f>
        <v>-3724116.63343225</v>
      </c>
      <c r="BN92" s="438">
        <f>BN90</f>
        <v>-2794285.67933793</v>
      </c>
      <c r="BO92" s="438">
        <f>BO90</f>
        <v>-1872043.73329382</v>
      </c>
      <c r="BP92" s="438">
        <f>BP90</f>
        <v>-957300.700855687</v>
      </c>
      <c r="BQ92" s="438">
        <f>BQ90</f>
        <v>-5825.08160998672</v>
      </c>
      <c r="BR92" s="438">
        <f>BR90</f>
        <v>937785.280759752</v>
      </c>
      <c r="BS92" s="438">
        <f>BS90</f>
        <v>1543624.45200023</v>
      </c>
      <c r="BT92" s="438">
        <f>BT90</f>
        <v>2515927.85420614</v>
      </c>
      <c r="BU92" s="438">
        <f>BU90</f>
        <v>3473240.37847739</v>
      </c>
      <c r="BV92" s="438">
        <f>BV90</f>
        <v>4429448.0217245</v>
      </c>
      <c r="BW92" s="439">
        <f>BW90</f>
        <v>5414980.72018268</v>
      </c>
      <c r="BX92" s="437">
        <f>BX90</f>
        <v>-10924392.7371454</v>
      </c>
      <c r="BY92" s="438">
        <f>BY90</f>
        <v>-9835607.75309672</v>
      </c>
      <c r="BZ92" s="438">
        <f>BZ90</f>
        <v>-8709211.17994271</v>
      </c>
      <c r="CA92" s="438">
        <f>CA90</f>
        <v>-7589640.47732096</v>
      </c>
      <c r="CB92" s="438">
        <f>CB90</f>
        <v>-6806852.43784207</v>
      </c>
      <c r="CC92" s="438">
        <f>CC90</f>
        <v>-5649800.20745839</v>
      </c>
      <c r="CD92" s="438">
        <f>CD90</f>
        <v>-4506697.96833582</v>
      </c>
      <c r="CE92" s="438">
        <f>CE90</f>
        <v>-3370582.133451</v>
      </c>
      <c r="CF92" s="438">
        <f>CF90</f>
        <v>-2197265.04514826</v>
      </c>
      <c r="CG92" s="438">
        <f>CG90</f>
        <v>-1031180.25476072</v>
      </c>
      <c r="CH92" s="438">
        <f>CH90</f>
        <v>127719.326259971</v>
      </c>
      <c r="CI92" s="439">
        <f>CI90</f>
        <v>1323631.26811668</v>
      </c>
    </row>
    <row r="93" ht="18" customHeight="1" s="145">
      <c r="A93" s="233" t="inlineStr">
        <is>
          <t>法人税等</t>
        </is>
      </c>
      <c r="B93" s="233" t="n"/>
      <c r="C93" s="233" t="n"/>
      <c r="D93" s="234" t="inlineStr">
        <is>
          <t>円</t>
        </is>
      </c>
      <c r="E93" s="408">
        <f>SUMIF($AB$3:$CI$3,E$4,$AB93:$CI93)</f>
        <v>0.0</v>
      </c>
      <c r="F93" s="408">
        <f>SUMIF($AB$3:$CI$3,F$4,$AB93:$CI93)</f>
        <v>0.0</v>
      </c>
      <c r="G93" s="408">
        <f>SUMIF($AB$3:$CI$3,G$4,$AB93:$CI93)</f>
        <v>0.0</v>
      </c>
      <c r="H93" s="408">
        <f>SUMIF($AB$3:$CI$3,H$4,$AB93:$CI93)</f>
        <v>0.0</v>
      </c>
      <c r="I93" s="408">
        <f>SUMIF($AB$3:$CI$3,I$4,$AB93:$CI93)</f>
        <v>0.0</v>
      </c>
      <c r="J93" s="407">
        <f>SUM(E93:I93)</f>
        <v>0.0</v>
      </c>
      <c r="K93" s="407" t="n"/>
      <c r="L93" s="407" t="n"/>
      <c r="M93" s="407" t="n"/>
      <c r="N93" s="407" t="n"/>
      <c r="O93" s="235" t="n"/>
      <c r="P93" s="408" t="n"/>
      <c r="Q93" s="409" t="n"/>
      <c r="R93" s="409" t="n"/>
      <c r="S93" s="409" t="n"/>
      <c r="T93" s="409" t="n"/>
      <c r="U93" s="409" t="n"/>
      <c r="V93" s="409" t="n"/>
      <c r="W93" s="409" t="n"/>
      <c r="X93" s="409" t="n"/>
      <c r="Y93" s="409" t="n"/>
      <c r="Z93" s="409" t="n"/>
      <c r="AA93" s="412" t="n"/>
      <c r="AB93" s="476">
        <f>INDEX($E$113:$I$113,MATCH(AB$3,$E$4:$I$4,0))/12</f>
        <v>0.0</v>
      </c>
      <c r="AC93" s="477">
        <f>INDEX($E$113:$I$113,MATCH(AC$3,$E$4:$I$4,0))/12</f>
        <v>0.0</v>
      </c>
      <c r="AD93" s="477">
        <f>INDEX($E$113:$I$113,MATCH(AD$3,$E$4:$I$4,0))/12</f>
        <v>0.0</v>
      </c>
      <c r="AE93" s="477">
        <f>INDEX($E$113:$I$113,MATCH(AE$3,$E$4:$I$4,0))/12</f>
        <v>0.0</v>
      </c>
      <c r="AF93" s="477">
        <f>INDEX($E$113:$I$113,MATCH(AF$3,$E$4:$I$4,0))/12</f>
        <v>0.0</v>
      </c>
      <c r="AG93" s="409">
        <f>INDEX($E$113:$I$113,MATCH(AG$3,$E$4:$I$4,0))/12</f>
        <v>0.0</v>
      </c>
      <c r="AH93" s="409">
        <f>INDEX($E$113:$I$113,MATCH(AH$3,$E$4:$I$4,0))/12</f>
        <v>0.0</v>
      </c>
      <c r="AI93" s="409">
        <f>INDEX($E$113:$I$113,MATCH(AI$3,$E$4:$I$4,0))/12</f>
        <v>0.0</v>
      </c>
      <c r="AJ93" s="409">
        <f>INDEX($E$113:$I$113,MATCH(AJ$3,$E$4:$I$4,0))/12</f>
        <v>0.0</v>
      </c>
      <c r="AK93" s="409">
        <f>INDEX($E$113:$I$113,MATCH(AK$3,$E$4:$I$4,0))/12</f>
        <v>0.0</v>
      </c>
      <c r="AL93" s="409">
        <f>INDEX($E$113:$I$113,MATCH(AL$3,$E$4:$I$4,0))/12</f>
        <v>0.0</v>
      </c>
      <c r="AM93" s="412">
        <f>INDEX($E$113:$I$113,MATCH(AM$3,$E$4:$I$4,0))/12</f>
        <v>0.0</v>
      </c>
      <c r="AN93" s="408">
        <f>INDEX($E$113:$I$113,MATCH(AN$3,$E$4:$I$4,0))/12</f>
        <v>0.0</v>
      </c>
      <c r="AO93" s="409">
        <f>INDEX($E$113:$I$113,MATCH(AO$3,$E$4:$I$4,0))/12</f>
        <v>0.0</v>
      </c>
      <c r="AP93" s="409">
        <f>INDEX($E$113:$I$113,MATCH(AP$3,$E$4:$I$4,0))/12</f>
        <v>0.0</v>
      </c>
      <c r="AQ93" s="409">
        <f>INDEX($E$113:$I$113,MATCH(AQ$3,$E$4:$I$4,0))/12</f>
        <v>0.0</v>
      </c>
      <c r="AR93" s="409">
        <f>INDEX($E$113:$I$113,MATCH(AR$3,$E$4:$I$4,0))/12</f>
        <v>0.0</v>
      </c>
      <c r="AS93" s="409">
        <f>INDEX($E$113:$I$113,MATCH(AS$3,$E$4:$I$4,0))/12</f>
        <v>0.0</v>
      </c>
      <c r="AT93" s="409">
        <f>INDEX($E$113:$I$113,MATCH(AT$3,$E$4:$I$4,0))/12</f>
        <v>0.0</v>
      </c>
      <c r="AU93" s="409">
        <f>INDEX($E$113:$I$113,MATCH(AU$3,$E$4:$I$4,0))/12</f>
        <v>0.0</v>
      </c>
      <c r="AV93" s="409">
        <f>INDEX($E$113:$I$113,MATCH(AV$3,$E$4:$I$4,0))/12</f>
        <v>0.0</v>
      </c>
      <c r="AW93" s="409">
        <f>INDEX($E$113:$I$113,MATCH(AW$3,$E$4:$I$4,0))/12</f>
        <v>0.0</v>
      </c>
      <c r="AX93" s="409">
        <f>INDEX($E$113:$I$113,MATCH(AX$3,$E$4:$I$4,0))/12</f>
        <v>0.0</v>
      </c>
      <c r="AY93" s="412">
        <f>INDEX($E$113:$I$113,MATCH(AY$3,$E$4:$I$4,0))/12</f>
        <v>0.0</v>
      </c>
      <c r="AZ93" s="408">
        <f>INDEX($E$113:$I$113,MATCH(AZ$3,$E$4:$I$4,0))/12</f>
        <v>0.0</v>
      </c>
      <c r="BA93" s="409">
        <f>INDEX($E$113:$I$113,MATCH(BA$3,$E$4:$I$4,0))/12</f>
        <v>0.0</v>
      </c>
      <c r="BB93" s="409">
        <f>INDEX($E$113:$I$113,MATCH(BB$3,$E$4:$I$4,0))/12</f>
        <v>0.0</v>
      </c>
      <c r="BC93" s="409">
        <f>INDEX($E$113:$I$113,MATCH(BC$3,$E$4:$I$4,0))/12</f>
        <v>0.0</v>
      </c>
      <c r="BD93" s="409">
        <f>INDEX($E$113:$I$113,MATCH(BD$3,$E$4:$I$4,0))/12</f>
        <v>0.0</v>
      </c>
      <c r="BE93" s="409">
        <f>INDEX($E$113:$I$113,MATCH(BE$3,$E$4:$I$4,0))/12</f>
        <v>0.0</v>
      </c>
      <c r="BF93" s="409">
        <f>INDEX($E$113:$I$113,MATCH(BF$3,$E$4:$I$4,0))/12</f>
        <v>0.0</v>
      </c>
      <c r="BG93" s="409">
        <f>INDEX($E$113:$I$113,MATCH(BG$3,$E$4:$I$4,0))/12</f>
        <v>0.0</v>
      </c>
      <c r="BH93" s="409">
        <f>INDEX($E$113:$I$113,MATCH(BH$3,$E$4:$I$4,0))/12</f>
        <v>0.0</v>
      </c>
      <c r="BI93" s="409">
        <f>INDEX($E$113:$I$113,MATCH(BI$3,$E$4:$I$4,0))/12</f>
        <v>0.0</v>
      </c>
      <c r="BJ93" s="409">
        <f>INDEX($E$113:$I$113,MATCH(BJ$3,$E$4:$I$4,0))/12</f>
        <v>0.0</v>
      </c>
      <c r="BK93" s="412">
        <f>INDEX($E$113:$I$113,MATCH(BK$3,$E$4:$I$4,0))/12</f>
        <v>0.0</v>
      </c>
      <c r="BL93" s="408">
        <f>INDEX($E$113:$I$113,MATCH(BL$3,$E$4:$I$4,0))/12</f>
        <v>0.0</v>
      </c>
      <c r="BM93" s="409">
        <f>INDEX($E$113:$I$113,MATCH(BM$3,$E$4:$I$4,0))/12</f>
        <v>0.0</v>
      </c>
      <c r="BN93" s="409">
        <f>INDEX($E$113:$I$113,MATCH(BN$3,$E$4:$I$4,0))/12</f>
        <v>0.0</v>
      </c>
      <c r="BO93" s="409">
        <f>INDEX($E$113:$I$113,MATCH(BO$3,$E$4:$I$4,0))/12</f>
        <v>0.0</v>
      </c>
      <c r="BP93" s="409">
        <f>INDEX($E$113:$I$113,MATCH(BP$3,$E$4:$I$4,0))/12</f>
        <v>0.0</v>
      </c>
      <c r="BQ93" s="409">
        <f>INDEX($E$113:$I$113,MATCH(BQ$3,$E$4:$I$4,0))/12</f>
        <v>0.0</v>
      </c>
      <c r="BR93" s="409">
        <f>INDEX($E$113:$I$113,MATCH(BR$3,$E$4:$I$4,0))/12</f>
        <v>0.0</v>
      </c>
      <c r="BS93" s="409">
        <f>INDEX($E$113:$I$113,MATCH(BS$3,$E$4:$I$4,0))/12</f>
        <v>0.0</v>
      </c>
      <c r="BT93" s="409">
        <f>INDEX($E$113:$I$113,MATCH(BT$3,$E$4:$I$4,0))/12</f>
        <v>0.0</v>
      </c>
      <c r="BU93" s="409">
        <f>INDEX($E$113:$I$113,MATCH(BU$3,$E$4:$I$4,0))/12</f>
        <v>0.0</v>
      </c>
      <c r="BV93" s="409">
        <f>INDEX($E$113:$I$113,MATCH(BV$3,$E$4:$I$4,0))/12</f>
        <v>0.0</v>
      </c>
      <c r="BW93" s="412">
        <f>INDEX($E$113:$I$113,MATCH(BW$3,$E$4:$I$4,0))/12</f>
        <v>0.0</v>
      </c>
      <c r="BX93" s="408">
        <f>INDEX($E$113:$I$113,MATCH(BX$3,$E$4:$I$4,0))/12</f>
        <v>0.0</v>
      </c>
      <c r="BY93" s="409">
        <f>INDEX($E$113:$I$113,MATCH(BY$3,$E$4:$I$4,0))/12</f>
        <v>0.0</v>
      </c>
      <c r="BZ93" s="409">
        <f>INDEX($E$113:$I$113,MATCH(BZ$3,$E$4:$I$4,0))/12</f>
        <v>0.0</v>
      </c>
      <c r="CA93" s="409">
        <f>INDEX($E$113:$I$113,MATCH(CA$3,$E$4:$I$4,0))/12</f>
        <v>0.0</v>
      </c>
      <c r="CB93" s="409">
        <f>INDEX($E$113:$I$113,MATCH(CB$3,$E$4:$I$4,0))/12</f>
        <v>0.0</v>
      </c>
      <c r="CC93" s="409">
        <f>INDEX($E$113:$I$113,MATCH(CC$3,$E$4:$I$4,0))/12</f>
        <v>0.0</v>
      </c>
      <c r="CD93" s="409">
        <f>INDEX($E$113:$I$113,MATCH(CD$3,$E$4:$I$4,0))/12</f>
        <v>0.0</v>
      </c>
      <c r="CE93" s="409">
        <f>INDEX($E$113:$I$113,MATCH(CE$3,$E$4:$I$4,0))/12</f>
        <v>0.0</v>
      </c>
      <c r="CF93" s="409">
        <f>INDEX($E$113:$I$113,MATCH(CF$3,$E$4:$I$4,0))/12</f>
        <v>0.0</v>
      </c>
      <c r="CG93" s="409">
        <f>INDEX($E$113:$I$113,MATCH(CG$3,$E$4:$I$4,0))/12</f>
        <v>0.0</v>
      </c>
      <c r="CH93" s="409">
        <f>INDEX($E$113:$I$113,MATCH(CH$3,$E$4:$I$4,0))/12</f>
        <v>0.0</v>
      </c>
      <c r="CI93" s="412">
        <f>INDEX($E$113:$I$113,MATCH(CI$3,$E$4:$I$4,0))/12</f>
        <v>0.0</v>
      </c>
    </row>
    <row r="94" ht="18" customHeight="1" s="145">
      <c r="A94" s="300" t="inlineStr">
        <is>
          <t>当期純利益</t>
        </is>
      </c>
      <c r="B94" s="300" t="n"/>
      <c r="C94" s="300" t="n"/>
      <c r="D94" s="309" t="inlineStr">
        <is>
          <t>円</t>
        </is>
      </c>
      <c r="E94" s="437">
        <f>E92-E93</f>
        <v>-33249571.1899109</v>
      </c>
      <c r="F94" s="438">
        <f>F92-F93</f>
        <v>-11905996.2600363</v>
      </c>
      <c r="G94" s="438">
        <f>G92-G93</f>
        <v>-4146493.77162999</v>
      </c>
      <c r="H94" s="438">
        <f>H92-H93</f>
        <v>4344500.14805055</v>
      </c>
      <c r="I94" s="438">
        <f>I92-I93</f>
        <v>-59169879.6001254</v>
      </c>
      <c r="J94" s="436">
        <f>J92-J93</f>
        <v>-104127440.673652</v>
      </c>
      <c r="K94" s="436" t="n"/>
      <c r="L94" s="436" t="n"/>
      <c r="M94" s="436" t="n"/>
      <c r="N94" s="436" t="n"/>
      <c r="O94" s="235" t="n"/>
      <c r="P94" s="437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9" t="n"/>
      <c r="AB94" s="487">
        <f>AB92-AB93</f>
        <v>-4583335.0</v>
      </c>
      <c r="AC94" s="436">
        <f>AC92-AC93</f>
        <v>-4530080.12011887</v>
      </c>
      <c r="AD94" s="436">
        <f>AD92-AD93</f>
        <v>-4271607.98581083</v>
      </c>
      <c r="AE94" s="436">
        <f>AE92-AE93</f>
        <v>-4017747.42918896</v>
      </c>
      <c r="AF94" s="436">
        <f>AF92-AF93</f>
        <v>-3777519.60619952</v>
      </c>
      <c r="AG94" s="438">
        <f>AG92-AG93</f>
        <v>-3497287.01228874</v>
      </c>
      <c r="AH94" s="438">
        <f>AH92-AH93</f>
        <v>-2891704.76113117</v>
      </c>
      <c r="AI94" s="438">
        <f>AI92-AI93</f>
        <v>-2290696.56882801</v>
      </c>
      <c r="AJ94" s="438">
        <f>AJ92-AJ93</f>
        <v>-1643184.21112946</v>
      </c>
      <c r="AK94" s="438">
        <f>AK92-AK93</f>
        <v>-1007785.09369259</v>
      </c>
      <c r="AL94" s="438">
        <f>AL92-AL93</f>
        <v>-707475.515431775</v>
      </c>
      <c r="AM94" s="439">
        <f>AM92-AM93</f>
        <v>-31147.8860909957</v>
      </c>
      <c r="AN94" s="437">
        <f>AN92-AN93</f>
        <v>-4555804.38546119</v>
      </c>
      <c r="AO94" s="438">
        <f>AO92-AO93</f>
        <v>-3897684.22628692</v>
      </c>
      <c r="AP94" s="438">
        <f>AP92-AP93</f>
        <v>-3194044.87128581</v>
      </c>
      <c r="AQ94" s="438">
        <f>AQ92-AQ93</f>
        <v>-2503485.69171198</v>
      </c>
      <c r="AR94" s="438">
        <f>AR92-AR93</f>
        <v>-2148965.22951552</v>
      </c>
      <c r="AS94" s="438">
        <f>AS92-AS93</f>
        <v>-1419378.41352846</v>
      </c>
      <c r="AT94" s="438">
        <f>AT92-AT93</f>
        <v>-703316.21711541</v>
      </c>
      <c r="AU94" s="438">
        <f>AU92-AU93</f>
        <v>6271.08065281622</v>
      </c>
      <c r="AV94" s="438">
        <f>AV92-AV93</f>
        <v>760496.679866083</v>
      </c>
      <c r="AW94" s="438">
        <f>AW92-AW93</f>
        <v>1170777.60323839</v>
      </c>
      <c r="AX94" s="438">
        <f>AX92-AX93</f>
        <v>1904171.43610439</v>
      </c>
      <c r="AY94" s="439">
        <f>AY92-AY93</f>
        <v>2674965.97500728</v>
      </c>
      <c r="AZ94" s="437">
        <f>AZ92-AZ93</f>
        <v>-4532398.75905124</v>
      </c>
      <c r="BA94" s="438">
        <f>BA92-BA93</f>
        <v>-4065953.72745042</v>
      </c>
      <c r="BB94" s="438">
        <f>BB92-BB93</f>
        <v>-3224391.89531236</v>
      </c>
      <c r="BC94" s="438">
        <f>BC92-BC93</f>
        <v>-2396120.71276208</v>
      </c>
      <c r="BD94" s="438">
        <f>BD92-BD93</f>
        <v>-1567278.1042684</v>
      </c>
      <c r="BE94" s="438">
        <f>BE92-BE93</f>
        <v>-707437.778047817</v>
      </c>
      <c r="BF94" s="438">
        <f>BF92-BF93</f>
        <v>152574.780812837</v>
      </c>
      <c r="BG94" s="438">
        <f>BG92-BG93</f>
        <v>669048.807423204</v>
      </c>
      <c r="BH94" s="438">
        <f>BH92-BH93</f>
        <v>1559992.4606346</v>
      </c>
      <c r="BI94" s="438">
        <f>BI92-BI93</f>
        <v>2437007.31644073</v>
      </c>
      <c r="BJ94" s="438">
        <f>BJ92-BJ93</f>
        <v>3307103.24060227</v>
      </c>
      <c r="BK94" s="439">
        <f>BK92-BK93</f>
        <v>4221360.59934872</v>
      </c>
      <c r="BL94" s="437">
        <f>BL92-BL93</f>
        <v>-4616934.73077053</v>
      </c>
      <c r="BM94" s="438">
        <f>BM92-BM93</f>
        <v>-3724116.63343225</v>
      </c>
      <c r="BN94" s="438">
        <f>BN92-BN93</f>
        <v>-2794285.67933793</v>
      </c>
      <c r="BO94" s="438">
        <f>BO92-BO93</f>
        <v>-1872043.73329382</v>
      </c>
      <c r="BP94" s="438">
        <f>BP92-BP93</f>
        <v>-957300.700855687</v>
      </c>
      <c r="BQ94" s="438">
        <f>BQ92-BQ93</f>
        <v>-5825.08160998672</v>
      </c>
      <c r="BR94" s="438">
        <f>BR92-BR93</f>
        <v>937785.280759752</v>
      </c>
      <c r="BS94" s="438">
        <f>BS92-BS93</f>
        <v>1543624.45200023</v>
      </c>
      <c r="BT94" s="438">
        <f>BT92-BT93</f>
        <v>2515927.85420614</v>
      </c>
      <c r="BU94" s="438">
        <f>BU92-BU93</f>
        <v>3473240.37847739</v>
      </c>
      <c r="BV94" s="438">
        <f>BV92-BV93</f>
        <v>4429448.0217245</v>
      </c>
      <c r="BW94" s="439">
        <f>BW92-BW93</f>
        <v>5414980.72018268</v>
      </c>
      <c r="BX94" s="437">
        <f>BX92-BX93</f>
        <v>-10924392.7371454</v>
      </c>
      <c r="BY94" s="438">
        <f>BY92-BY93</f>
        <v>-9835607.75309672</v>
      </c>
      <c r="BZ94" s="438">
        <f>BZ92-BZ93</f>
        <v>-8709211.17994271</v>
      </c>
      <c r="CA94" s="438">
        <f>CA92-CA93</f>
        <v>-7589640.47732096</v>
      </c>
      <c r="CB94" s="438">
        <f>CB92-CB93</f>
        <v>-6806852.43784207</v>
      </c>
      <c r="CC94" s="438">
        <f>CC92-CC93</f>
        <v>-5649800.20745839</v>
      </c>
      <c r="CD94" s="438">
        <f>CD92-CD93</f>
        <v>-4506697.96833582</v>
      </c>
      <c r="CE94" s="438">
        <f>CE92-CE93</f>
        <v>-3370582.133451</v>
      </c>
      <c r="CF94" s="438">
        <f>CF92-CF93</f>
        <v>-2197265.04514826</v>
      </c>
      <c r="CG94" s="438">
        <f>CG92-CG93</f>
        <v>-1031180.25476072</v>
      </c>
      <c r="CH94" s="438">
        <f>CH92-CH93</f>
        <v>127719.326259971</v>
      </c>
      <c r="CI94" s="439">
        <f>CI92-CI93</f>
        <v>1323631.26811668</v>
      </c>
    </row>
    <row r="95" ht="18" customHeight="1" s="145">
      <c r="A95" s="337" t="n"/>
      <c r="B95" s="337" t="n"/>
      <c r="C95" s="488" t="inlineStr">
        <is>
          <t>前期比</t>
        </is>
      </c>
      <c r="D95" s="489" t="inlineStr">
        <is>
          <t>％</t>
        </is>
      </c>
      <c r="E95" s="490" t="n"/>
      <c r="F95" s="491" t="str">
        <f>IF(E94&gt;0,(F94-E94)/E94,"-")</f>
        <v>-</v>
      </c>
      <c r="G95" s="491" t="str">
        <f>IF(F94&gt;0,(G94-F94)/F94,"-")</f>
        <v>-</v>
      </c>
      <c r="H95" s="491" t="str">
        <f>IF(G94&gt;0,(H94-G94)/G94,"-")</f>
        <v>-</v>
      </c>
      <c r="I95" s="491">
        <f>IF(H94&gt;0,(I94-H94)/H94,"-")</f>
        <v>-14.6194907546904</v>
      </c>
      <c r="J95" s="342">
        <f>IFERROR((I94/E94)^(1/4)-1,"-")</f>
        <v>0.154991157210635</v>
      </c>
      <c r="K95" s="342" t="n"/>
      <c r="L95" s="342" t="n"/>
      <c r="M95" s="342" t="n"/>
      <c r="N95" s="342" t="n"/>
      <c r="O95" s="316" t="n"/>
      <c r="P95" s="490" t="n"/>
      <c r="Q95" s="492" t="n"/>
      <c r="R95" s="492" t="n"/>
      <c r="S95" s="492" t="n"/>
      <c r="T95" s="492" t="n"/>
      <c r="U95" s="492" t="n"/>
      <c r="V95" s="492" t="n"/>
      <c r="W95" s="492" t="n"/>
      <c r="X95" s="492" t="n"/>
      <c r="Y95" s="492" t="n"/>
      <c r="Z95" s="492" t="n"/>
      <c r="AA95" s="493" t="n"/>
      <c r="AB95" s="490" t="n"/>
      <c r="AC95" s="492" t="n"/>
      <c r="AD95" s="492" t="n"/>
      <c r="AE95" s="492" t="n"/>
      <c r="AF95" s="492" t="n"/>
      <c r="AG95" s="492" t="n"/>
      <c r="AH95" s="492" t="n"/>
      <c r="AI95" s="492" t="n"/>
      <c r="AJ95" s="492" t="n"/>
      <c r="AK95" s="492" t="n"/>
      <c r="AL95" s="492" t="n"/>
      <c r="AM95" s="493" t="n"/>
      <c r="AN95" s="490" t="n"/>
      <c r="AO95" s="492" t="n"/>
      <c r="AP95" s="492" t="n"/>
      <c r="AQ95" s="492" t="n"/>
      <c r="AR95" s="492" t="n"/>
      <c r="AS95" s="492" t="n"/>
      <c r="AT95" s="492" t="n"/>
      <c r="AU95" s="492" t="n"/>
      <c r="AV95" s="492" t="n"/>
      <c r="AW95" s="492" t="n"/>
      <c r="AX95" s="492" t="n"/>
      <c r="AY95" s="493" t="n"/>
      <c r="AZ95" s="490" t="n"/>
      <c r="BA95" s="492" t="n"/>
      <c r="BB95" s="492" t="n"/>
      <c r="BC95" s="492" t="n"/>
      <c r="BD95" s="492" t="n"/>
      <c r="BE95" s="492" t="n"/>
      <c r="BF95" s="492" t="n"/>
      <c r="BG95" s="492" t="n"/>
      <c r="BH95" s="492" t="n"/>
      <c r="BI95" s="492" t="n"/>
      <c r="BJ95" s="492" t="n"/>
      <c r="BK95" s="493" t="n"/>
      <c r="BL95" s="490" t="n"/>
      <c r="BM95" s="492" t="n"/>
      <c r="BN95" s="492" t="n"/>
      <c r="BO95" s="492" t="n"/>
      <c r="BP95" s="492" t="n"/>
      <c r="BQ95" s="492" t="n"/>
      <c r="BR95" s="492" t="n"/>
      <c r="BS95" s="492" t="n"/>
      <c r="BT95" s="492" t="n"/>
      <c r="BU95" s="492" t="n"/>
      <c r="BV95" s="492" t="n"/>
      <c r="BW95" s="493" t="n"/>
      <c r="BX95" s="490" t="n"/>
      <c r="BY95" s="492" t="n"/>
      <c r="BZ95" s="492" t="n"/>
      <c r="CA95" s="492" t="n"/>
      <c r="CB95" s="492" t="n"/>
      <c r="CC95" s="492" t="n"/>
      <c r="CD95" s="492" t="n"/>
      <c r="CE95" s="492" t="n"/>
      <c r="CF95" s="492" t="n"/>
      <c r="CG95" s="492" t="n"/>
      <c r="CH95" s="492" t="n"/>
      <c r="CI95" s="493" t="n"/>
    </row>
    <row r="96" ht="18" customHeight="1" s="145">
      <c r="A96" s="293" t="n"/>
      <c r="B96" s="307" t="inlineStr">
        <is>
          <t>KPI</t>
        </is>
      </c>
      <c r="C96" s="293" t="inlineStr">
        <is>
          <t>営業利益率</t>
        </is>
      </c>
      <c r="D96" s="379" t="inlineStr">
        <is>
          <t>％</t>
        </is>
      </c>
      <c r="E96" s="496">
        <f>IFERROR(E80/E5,"-")</f>
        <v>-1.43932602613869</v>
      </c>
      <c r="F96" s="497">
        <f>IFERROR(F80/F5,"-")</f>
        <v>-0.110652246167675</v>
      </c>
      <c r="G96" s="497">
        <f>IFERROR(G80/G5,"-")</f>
        <v>-0.019021922773675</v>
      </c>
      <c r="H96" s="497">
        <f>IFERROR(H80/H5,"-")</f>
        <v>0.0125179654453227</v>
      </c>
      <c r="I96" s="497">
        <f>IFERROR(I80/I5,"-")</f>
        <v>-0.117859005805108</v>
      </c>
      <c r="J96" s="375">
        <f>IFERROR(J80/J5,"-")</f>
        <v>-0.0869333430190487</v>
      </c>
      <c r="K96" s="308" t="n"/>
      <c r="L96" s="308" t="n"/>
      <c r="M96" s="308" t="n"/>
      <c r="N96" s="308" t="n"/>
      <c r="O96" s="235" t="n"/>
      <c r="P96" s="429" t="n"/>
      <c r="Q96" s="430" t="n"/>
      <c r="R96" s="430" t="n"/>
      <c r="S96" s="430" t="n"/>
      <c r="T96" s="430" t="n"/>
      <c r="U96" s="430" t="n"/>
      <c r="V96" s="430" t="n"/>
      <c r="W96" s="430" t="n"/>
      <c r="X96" s="430" t="n"/>
      <c r="Y96" s="430" t="n"/>
      <c r="Z96" s="430" t="n"/>
      <c r="AA96" s="431" t="n"/>
      <c r="AB96" s="498" t="str">
        <f>IFERROR(AB80/AB5,"-")</f>
        <v>-</v>
      </c>
      <c r="AC96" s="499">
        <f>IFERROR(AC80/AC5,"-")</f>
        <v>-80.0389839273624</v>
      </c>
      <c r="AD96" s="499">
        <f>IFERROR(AD80/AD5,"-")</f>
        <v>-12.8770953655611</v>
      </c>
      <c r="AE96" s="499">
        <f>IFERROR(AE80/AE5,"-")</f>
        <v>-6.6751104652045</v>
      </c>
      <c r="AF96" s="499">
        <f>IFERROR(AF80/AF5,"-")</f>
        <v>-4.39056904699156</v>
      </c>
      <c r="AG96" s="499">
        <f>IFERROR(AG80/AG5,"-")</f>
        <v>-2.98717413352184</v>
      </c>
      <c r="AH96" s="499">
        <f>IFERROR(AH80/AH5,"-")</f>
        <v>-1.60154139438504</v>
      </c>
      <c r="AI96" s="499">
        <f>IFERROR(AI80/AI5,"-")</f>
        <v>-0.940773337307014</v>
      </c>
      <c r="AJ96" s="499">
        <f>IFERROR(AJ80/AJ5,"-")</f>
        <v>-0.527427104288107</v>
      </c>
      <c r="AK96" s="499">
        <f>IFERROR(AK80/AK5,"-")</f>
        <v>-0.266404953362964</v>
      </c>
      <c r="AL96" s="499">
        <f>IFERROR(AL80/AL5,"-")</f>
        <v>-0.171956305346501</v>
      </c>
      <c r="AM96" s="499">
        <f>IFERROR(AM80/AM5,"-")</f>
        <v>-0.00645378693417527</v>
      </c>
      <c r="AN96" s="498">
        <f>IFERROR(AN80/AN5,"-")</f>
        <v>-0.877023385875027</v>
      </c>
      <c r="AO96" s="500">
        <f>IFERROR(AO80/AO5,"-")</f>
        <v>-0.662159311830296</v>
      </c>
      <c r="AP96" s="500">
        <f>IFERROR(AP80/AP5,"-")</f>
        <v>-0.481891960818036</v>
      </c>
      <c r="AQ96" s="500">
        <f>IFERROR(AQ80/AQ5,"-")</f>
        <v>-0.340345613328493</v>
      </c>
      <c r="AR96" s="500">
        <f>IFERROR(AR80/AR5,"-")</f>
        <v>-0.277423599426592</v>
      </c>
      <c r="AS96" s="500">
        <f>IFERROR(AS80/AS5,"-")</f>
        <v>-0.166668389404626</v>
      </c>
      <c r="AT96" s="500">
        <f>IFERROR(AT80/AT5,"-")</f>
        <v>-0.0758580192716612</v>
      </c>
      <c r="AU96" s="500">
        <f>IFERROR(AU80/AU5,"-")</f>
        <v>0.000625909934752447</v>
      </c>
      <c r="AV96" s="500">
        <f>IFERROR(AV80/AV5,"-")</f>
        <v>0.0703127390861148</v>
      </c>
      <c r="AW96" s="500">
        <f>IFERROR(AW80/AW5,"-")</f>
        <v>0.103907625370118</v>
      </c>
      <c r="AX96" s="500">
        <f>IFERROR(AX80/AX5,"-")</f>
        <v>0.158141266167846</v>
      </c>
      <c r="AY96" s="500">
        <f>IFERROR(AY80/AY5,"-")</f>
        <v>0.208067887552151</v>
      </c>
      <c r="AZ96" s="498">
        <f>IFERROR(AZ80/AZ5,"-")</f>
        <v>-0.330559851430624</v>
      </c>
      <c r="BA96" s="500">
        <f>IFERROR(BA80/BA5,"-")</f>
        <v>-0.285885583545274</v>
      </c>
      <c r="BB96" s="500">
        <f>IFERROR(BB80/BB5,"-")</f>
        <v>-0.213352978046314</v>
      </c>
      <c r="BC96" s="500">
        <f>IFERROR(BC80/BC5,"-")</f>
        <v>-0.149860054270831</v>
      </c>
      <c r="BD96" s="500">
        <f>IFERROR(BD80/BD5,"-")</f>
        <v>-0.0929333066783706</v>
      </c>
      <c r="BE96" s="500">
        <f>IFERROR(BE80/BE5,"-")</f>
        <v>-0.0397985118345749</v>
      </c>
      <c r="BF96" s="500">
        <f>IFERROR(BF80/BF5,"-")</f>
        <v>0.00816548928509405</v>
      </c>
      <c r="BG96" s="500">
        <f>IFERROR(BG80/BG5,"-")</f>
        <v>0.0347550761556257</v>
      </c>
      <c r="BH96" s="500">
        <f>IFERROR(BH80/BH5,"-")</f>
        <v>0.0772489848719181</v>
      </c>
      <c r="BI96" s="500">
        <f>IFERROR(BI80/BI5,"-")</f>
        <v>0.11537189875886</v>
      </c>
      <c r="BJ96" s="500">
        <f>IFERROR(BJ80/BJ5,"-")</f>
        <v>0.15002560063502</v>
      </c>
      <c r="BK96" s="500">
        <f>IFERROR(BK80/BK5,"-")</f>
        <v>0.183436368183083</v>
      </c>
      <c r="BL96" s="498">
        <f>IFERROR(BL80/BL5,"-")</f>
        <v>-0.195333384550008</v>
      </c>
      <c r="BM96" s="500">
        <f>IFERROR(BM80/BM5,"-")</f>
        <v>-0.151502771487175</v>
      </c>
      <c r="BN96" s="500">
        <f>IFERROR(BN80/BN5,"-")</f>
        <v>-0.109290375279927</v>
      </c>
      <c r="BO96" s="500">
        <f>IFERROR(BO80/BO5,"-")</f>
        <v>-0.0705235746749912</v>
      </c>
      <c r="BP96" s="500">
        <f>IFERROR(BP80/BP5,"-")</f>
        <v>-0.0347938398244388</v>
      </c>
      <c r="BQ96" s="500">
        <f>IFERROR(BQ80/BQ5,"-")</f>
        <v>-0.000204223042132535</v>
      </c>
      <c r="BR96" s="500">
        <f>IFERROR(BR80/BR5,"-")</f>
        <v>0.0317640319667005</v>
      </c>
      <c r="BS96" s="500">
        <f>IFERROR(BS80/BS5,"-")</f>
        <v>0.0511392440819282</v>
      </c>
      <c r="BT96" s="500">
        <f>IFERROR(BT80/BT5,"-")</f>
        <v>0.0805955120519245</v>
      </c>
      <c r="BU96" s="500">
        <f>IFERROR(BU80/BU5,"-")</f>
        <v>0.107756524858714</v>
      </c>
      <c r="BV96" s="500">
        <f>IFERROR(BV80/BV5,"-")</f>
        <v>0.133234961438121</v>
      </c>
      <c r="BW96" s="500">
        <f>IFERROR(BW80/BW5,"-")</f>
        <v>0.157907584842728</v>
      </c>
      <c r="BX96" s="498">
        <f>IFERROR(BX80/BX5,"-")</f>
        <v>-0.308065377160061</v>
      </c>
      <c r="BY96" s="500">
        <f>IFERROR(BY80/BY5,"-")</f>
        <v>-0.268616976059357</v>
      </c>
      <c r="BZ96" s="500">
        <f>IFERROR(BZ80/BZ5,"-")</f>
        <v>-0.230328148497108</v>
      </c>
      <c r="CA96" s="500">
        <f>IFERROR(CA80/CA5,"-")</f>
        <v>-0.194603662676728</v>
      </c>
      <c r="CB96" s="500">
        <f>IFERROR(CB80/CB5,"-")</f>
        <v>-0.170808584569888</v>
      </c>
      <c r="CC96" s="500">
        <f>IFERROR(CC80/CC5,"-")</f>
        <v>-0.137532801205789</v>
      </c>
      <c r="CD96" s="500">
        <f>IFERROR(CD80/CD5,"-")</f>
        <v>-0.106558288466259</v>
      </c>
      <c r="CE96" s="500">
        <f>IFERROR(CE80/CE5,"-")</f>
        <v>-0.0774871444178698</v>
      </c>
      <c r="CF96" s="500">
        <f>IFERROR(CF80/CF5,"-")</f>
        <v>-0.0491058554288171</v>
      </c>
      <c r="CG96" s="500">
        <f>IFERROR(CG80/CG5,"-")</f>
        <v>-0.0224248716853758</v>
      </c>
      <c r="CH96" s="500">
        <f>IFERROR(CH80/CH5,"-")</f>
        <v>0.00270513985072545</v>
      </c>
      <c r="CI96" s="501">
        <f>IFERROR(CI80/CI5,"-")</f>
        <v>0.0272999725843919</v>
      </c>
    </row>
    <row r="97" ht="18" customHeight="1" s="145">
      <c r="A97" s="293" t="n"/>
      <c r="B97" s="307" t="inlineStr">
        <is>
          <t>KPI</t>
        </is>
      </c>
      <c r="C97" s="293" t="inlineStr">
        <is>
          <t>当期純利益率</t>
        </is>
      </c>
      <c r="D97" s="379" t="inlineStr">
        <is>
          <t>％</t>
        </is>
      </c>
      <c r="E97" s="496">
        <f>IFERROR(E94/E5,"-")</f>
        <v>-1.43932602613869</v>
      </c>
      <c r="F97" s="497">
        <f>IFERROR(F94/F5,"-")</f>
        <v>-0.110652246167675</v>
      </c>
      <c r="G97" s="497">
        <f>IFERROR(G94/G5,"-")</f>
        <v>-0.019021922773675</v>
      </c>
      <c r="H97" s="497">
        <f>IFERROR(H94/H5,"-")</f>
        <v>0.0125179654453227</v>
      </c>
      <c r="I97" s="497">
        <f>IFERROR(I94/I5,"-")</f>
        <v>-0.117859005805108</v>
      </c>
      <c r="J97" s="375">
        <f>IFERROR(J94/J5,"-")</f>
        <v>-0.0869333430190487</v>
      </c>
      <c r="K97" s="308" t="n"/>
      <c r="L97" s="308" t="n"/>
      <c r="M97" s="308" t="n"/>
      <c r="N97" s="308" t="n"/>
      <c r="O97" s="235" t="n"/>
      <c r="P97" s="429" t="n"/>
      <c r="Q97" s="430" t="n"/>
      <c r="R97" s="430" t="n"/>
      <c r="S97" s="430" t="n"/>
      <c r="T97" s="430" t="n"/>
      <c r="U97" s="430" t="n"/>
      <c r="V97" s="430" t="n"/>
      <c r="W97" s="430" t="n"/>
      <c r="X97" s="430" t="n"/>
      <c r="Y97" s="430" t="n"/>
      <c r="Z97" s="430" t="n"/>
      <c r="AA97" s="431" t="n"/>
      <c r="AB97" s="498" t="str">
        <f>IFERROR(AB94/AB5,"-")</f>
        <v>-</v>
      </c>
      <c r="AC97" s="499">
        <f>IFERROR(AC94/AC5,"-")</f>
        <v>-80.0389839273624</v>
      </c>
      <c r="AD97" s="499">
        <f>IFERROR(AD94/AD5,"-")</f>
        <v>-12.8770953655611</v>
      </c>
      <c r="AE97" s="499">
        <f>IFERROR(AE94/AE5,"-")</f>
        <v>-6.6751104652045</v>
      </c>
      <c r="AF97" s="499">
        <f>IFERROR(AF94/AF5,"-")</f>
        <v>-4.39056904699156</v>
      </c>
      <c r="AG97" s="499">
        <f>IFERROR(AG94/AG5,"-")</f>
        <v>-2.98717413352184</v>
      </c>
      <c r="AH97" s="499">
        <f>IFERROR(AH94/AH5,"-")</f>
        <v>-1.60154139438504</v>
      </c>
      <c r="AI97" s="499">
        <f>IFERROR(AI94/AI5,"-")</f>
        <v>-0.940773337307014</v>
      </c>
      <c r="AJ97" s="499">
        <f>IFERROR(AJ94/AJ5,"-")</f>
        <v>-0.527427104288107</v>
      </c>
      <c r="AK97" s="499">
        <f>IFERROR(AK94/AK5,"-")</f>
        <v>-0.266404953362964</v>
      </c>
      <c r="AL97" s="499">
        <f>IFERROR(AL94/AL5,"-")</f>
        <v>-0.171956305346501</v>
      </c>
      <c r="AM97" s="499">
        <f>IFERROR(AM94/AM5,"-")</f>
        <v>-0.00645378693417527</v>
      </c>
      <c r="AN97" s="498">
        <f>IFERROR(AN94/AN5,"-")</f>
        <v>-0.877023385875027</v>
      </c>
      <c r="AO97" s="500">
        <f>IFERROR(AO94/AO5,"-")</f>
        <v>-0.662159311830296</v>
      </c>
      <c r="AP97" s="500">
        <f>IFERROR(AP94/AP5,"-")</f>
        <v>-0.481891960818036</v>
      </c>
      <c r="AQ97" s="500">
        <f>IFERROR(AQ94/AQ5,"-")</f>
        <v>-0.340345613328493</v>
      </c>
      <c r="AR97" s="500">
        <f>IFERROR(AR94/AR5,"-")</f>
        <v>-0.277423599426592</v>
      </c>
      <c r="AS97" s="500">
        <f>IFERROR(AS94/AS5,"-")</f>
        <v>-0.166668389404626</v>
      </c>
      <c r="AT97" s="500">
        <f>IFERROR(AT94/AT5,"-")</f>
        <v>-0.0758580192716612</v>
      </c>
      <c r="AU97" s="500">
        <f>IFERROR(AU94/AU5,"-")</f>
        <v>0.000625909934752447</v>
      </c>
      <c r="AV97" s="500">
        <f>IFERROR(AV94/AV5,"-")</f>
        <v>0.0703127390861148</v>
      </c>
      <c r="AW97" s="500">
        <f>IFERROR(AW94/AW5,"-")</f>
        <v>0.103907625370118</v>
      </c>
      <c r="AX97" s="500">
        <f>IFERROR(AX94/AX5,"-")</f>
        <v>0.158141266167846</v>
      </c>
      <c r="AY97" s="500">
        <f>IFERROR(AY94/AY5,"-")</f>
        <v>0.208067887552151</v>
      </c>
      <c r="AZ97" s="498">
        <f>IFERROR(AZ94/AZ5,"-")</f>
        <v>-0.330559851430624</v>
      </c>
      <c r="BA97" s="500">
        <f>IFERROR(BA94/BA5,"-")</f>
        <v>-0.285885583545274</v>
      </c>
      <c r="BB97" s="500">
        <f>IFERROR(BB94/BB5,"-")</f>
        <v>-0.213352978046314</v>
      </c>
      <c r="BC97" s="500">
        <f>IFERROR(BC94/BC5,"-")</f>
        <v>-0.149860054270831</v>
      </c>
      <c r="BD97" s="500">
        <f>IFERROR(BD94/BD5,"-")</f>
        <v>-0.0929333066783706</v>
      </c>
      <c r="BE97" s="500">
        <f>IFERROR(BE94/BE5,"-")</f>
        <v>-0.0397985118345749</v>
      </c>
      <c r="BF97" s="500">
        <f>IFERROR(BF94/BF5,"-")</f>
        <v>0.00816548928509405</v>
      </c>
      <c r="BG97" s="500">
        <f>IFERROR(BG94/BG5,"-")</f>
        <v>0.0347550761556257</v>
      </c>
      <c r="BH97" s="500">
        <f>IFERROR(BH94/BH5,"-")</f>
        <v>0.0772489848719181</v>
      </c>
      <c r="BI97" s="500">
        <f>IFERROR(BI94/BI5,"-")</f>
        <v>0.11537189875886</v>
      </c>
      <c r="BJ97" s="500">
        <f>IFERROR(BJ94/BJ5,"-")</f>
        <v>0.15002560063502</v>
      </c>
      <c r="BK97" s="500">
        <f>IFERROR(BK94/BK5,"-")</f>
        <v>0.183436368183083</v>
      </c>
      <c r="BL97" s="498">
        <f>IFERROR(BL94/BL5,"-")</f>
        <v>-0.195333384550008</v>
      </c>
      <c r="BM97" s="500">
        <f>IFERROR(BM94/BM5,"-")</f>
        <v>-0.151502771487175</v>
      </c>
      <c r="BN97" s="500">
        <f>IFERROR(BN94/BN5,"-")</f>
        <v>-0.109290375279927</v>
      </c>
      <c r="BO97" s="500">
        <f>IFERROR(BO94/BO5,"-")</f>
        <v>-0.0705235746749912</v>
      </c>
      <c r="BP97" s="500">
        <f>IFERROR(BP94/BP5,"-")</f>
        <v>-0.0347938398244388</v>
      </c>
      <c r="BQ97" s="500">
        <f>IFERROR(BQ94/BQ5,"-")</f>
        <v>-0.000204223042132535</v>
      </c>
      <c r="BR97" s="500">
        <f>IFERROR(BR94/BR5,"-")</f>
        <v>0.0317640319667005</v>
      </c>
      <c r="BS97" s="500">
        <f>IFERROR(BS94/BS5,"-")</f>
        <v>0.0511392440819282</v>
      </c>
      <c r="BT97" s="500">
        <f>IFERROR(BT94/BT5,"-")</f>
        <v>0.0805955120519245</v>
      </c>
      <c r="BU97" s="500">
        <f>IFERROR(BU94/BU5,"-")</f>
        <v>0.107756524858714</v>
      </c>
      <c r="BV97" s="500">
        <f>IFERROR(BV94/BV5,"-")</f>
        <v>0.133234961438121</v>
      </c>
      <c r="BW97" s="500">
        <f>IFERROR(BW94/BW5,"-")</f>
        <v>0.157907584842728</v>
      </c>
      <c r="BX97" s="498">
        <f>IFERROR(BX94/BX5,"-")</f>
        <v>-0.308065377160061</v>
      </c>
      <c r="BY97" s="500">
        <f>IFERROR(BY94/BY5,"-")</f>
        <v>-0.268616976059357</v>
      </c>
      <c r="BZ97" s="500">
        <f>IFERROR(BZ94/BZ5,"-")</f>
        <v>-0.230328148497108</v>
      </c>
      <c r="CA97" s="500">
        <f>IFERROR(CA94/CA5,"-")</f>
        <v>-0.194603662676728</v>
      </c>
      <c r="CB97" s="500">
        <f>IFERROR(CB94/CB5,"-")</f>
        <v>-0.170808584569888</v>
      </c>
      <c r="CC97" s="500">
        <f>IFERROR(CC94/CC5,"-")</f>
        <v>-0.137532801205789</v>
      </c>
      <c r="CD97" s="500">
        <f>IFERROR(CD94/CD5,"-")</f>
        <v>-0.106558288466259</v>
      </c>
      <c r="CE97" s="500">
        <f>IFERROR(CE94/CE5,"-")</f>
        <v>-0.0774871444178698</v>
      </c>
      <c r="CF97" s="500">
        <f>IFERROR(CF94/CF5,"-")</f>
        <v>-0.0491058554288171</v>
      </c>
      <c r="CG97" s="500">
        <f>IFERROR(CG94/CG5,"-")</f>
        <v>-0.0224248716853758</v>
      </c>
      <c r="CH97" s="500">
        <f>IFERROR(CH94/CH5,"-")</f>
        <v>0.00270513985072545</v>
      </c>
      <c r="CI97" s="501">
        <f>IFERROR(CI94/CI5,"-")</f>
        <v>0.0272999725843919</v>
      </c>
    </row>
    <row r="98" ht="18" customHeight="1" s="145">
      <c r="A98" s="233" t="n"/>
      <c r="B98" s="233" t="n"/>
      <c r="C98" s="233" t="n"/>
      <c r="D98" s="234" t="n"/>
      <c r="J98" s="234" t="n"/>
      <c r="K98" s="234" t="n"/>
      <c r="L98" s="234" t="n"/>
      <c r="M98" s="234" t="n"/>
      <c r="N98" s="234" t="n"/>
      <c r="O98" s="235" t="n"/>
    </row>
    <row r="99" ht="18" customHeight="1" s="145">
      <c r="A99" s="300" t="inlineStr">
        <is>
          <t>■ 事業別売上・SaaS KPI</t>
        </is>
      </c>
      <c r="B99" s="300" t="n"/>
      <c r="C99" s="300" t="n"/>
      <c r="D99" s="309" t="n"/>
      <c r="E99" s="437" t="n"/>
      <c r="F99" s="438" t="n"/>
      <c r="G99" s="438" t="n"/>
      <c r="H99" s="438" t="n"/>
      <c r="I99" s="438" t="n"/>
      <c r="J99" s="436" t="n"/>
      <c r="K99" s="436" t="n"/>
      <c r="L99" s="436" t="n"/>
      <c r="M99" s="436" t="n"/>
      <c r="N99" s="436" t="n"/>
      <c r="O99" s="235" t="n"/>
      <c r="P99" s="437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9" t="n"/>
      <c r="AB99" s="487" t="n"/>
      <c r="AC99" s="436" t="n"/>
      <c r="AD99" s="436" t="n"/>
      <c r="AE99" s="436" t="n"/>
      <c r="AF99" s="436" t="n"/>
      <c r="AG99" s="438" t="n"/>
      <c r="AH99" s="438" t="n"/>
      <c r="AI99" s="438" t="n"/>
      <c r="AJ99" s="438" t="n"/>
      <c r="AK99" s="438" t="n"/>
      <c r="AL99" s="438" t="n"/>
      <c r="AM99" s="439" t="n"/>
      <c r="AN99" s="437" t="n"/>
      <c r="AO99" s="438" t="n"/>
      <c r="AP99" s="438" t="n"/>
      <c r="AQ99" s="438" t="n"/>
      <c r="AR99" s="438" t="n"/>
      <c r="AS99" s="438" t="n"/>
      <c r="AT99" s="438" t="n"/>
      <c r="AU99" s="438" t="n"/>
      <c r="AV99" s="438" t="n"/>
      <c r="AW99" s="438" t="n"/>
      <c r="AX99" s="438" t="n"/>
      <c r="AY99" s="439" t="n"/>
      <c r="AZ99" s="437" t="n"/>
      <c r="BA99" s="438" t="n"/>
      <c r="BB99" s="438" t="n"/>
      <c r="BC99" s="438" t="n"/>
      <c r="BD99" s="438" t="n"/>
      <c r="BE99" s="438" t="n"/>
      <c r="BF99" s="438" t="n"/>
      <c r="BG99" s="438" t="n"/>
      <c r="BH99" s="438" t="n"/>
      <c r="BI99" s="438" t="n"/>
      <c r="BJ99" s="438" t="n"/>
      <c r="BK99" s="439" t="n"/>
      <c r="BL99" s="437" t="n"/>
      <c r="BM99" s="438" t="n"/>
      <c r="BN99" s="438" t="n"/>
      <c r="BO99" s="438" t="n"/>
      <c r="BP99" s="438" t="n"/>
      <c r="BQ99" s="438" t="n"/>
      <c r="BR99" s="438" t="n"/>
      <c r="BS99" s="438" t="n"/>
      <c r="BT99" s="438" t="n"/>
      <c r="BU99" s="438" t="n"/>
      <c r="BV99" s="438" t="n"/>
      <c r="BW99" s="439" t="n"/>
      <c r="BX99" s="437" t="n"/>
      <c r="BY99" s="438" t="n"/>
      <c r="BZ99" s="438" t="n"/>
      <c r="CA99" s="438" t="n"/>
      <c r="CB99" s="438" t="n"/>
      <c r="CC99" s="438" t="n"/>
      <c r="CD99" s="438" t="n"/>
      <c r="CE99" s="438" t="n"/>
      <c r="CF99" s="438" t="n"/>
      <c r="CG99" s="438" t="n"/>
      <c r="CH99" s="438" t="n"/>
      <c r="CI99" s="439" t="n"/>
    </row>
    <row r="100" ht="18" customHeight="1" s="145">
      <c r="A100" s="233" t="n"/>
      <c r="B100" s="233" t="inlineStr">
        <is>
          <t>事業別</t>
        </is>
      </c>
      <c r="C100" s="233" t="inlineStr">
        <is>
          <t>SaaS事業</t>
        </is>
      </c>
      <c r="D100" s="234" t="n"/>
      <c r="E100" s="408">
        <f>SUMIF($AB$3:$CI$3,E$4,$AB100:$CI100)</f>
        <v>13155039.002765</v>
      </c>
      <c r="F100" s="408">
        <f>SUMIF($AB$3:$CI$3,F$4,$AB100:$CI100)</f>
        <v>54970474.5696967</v>
      </c>
      <c r="G100" s="408">
        <f>SUMIF($AB$3:$CI$3,G$4,$AB100:$CI100)</f>
        <v>113001022.39506</v>
      </c>
      <c r="H100" s="408">
        <f>SUMIF($AB$3:$CI$3,H$4,$AB100:$CI100)</f>
        <v>185629949.11089</v>
      </c>
      <c r="I100" s="408">
        <f>SUMIF($AB$3:$CI$3,I$4,$AB100:$CI100)</f>
        <v>276761272.629352</v>
      </c>
      <c r="J100" s="407">
        <f>SUM(E100:I100)</f>
        <v>643517757.707764</v>
      </c>
      <c r="K100" s="407" t="n"/>
      <c r="L100" s="407" t="n"/>
      <c r="M100" s="407" t="n"/>
      <c r="N100" s="407" t="n"/>
      <c r="O100" s="235" t="n"/>
      <c r="P100" s="408" t="n"/>
      <c r="Q100" s="409" t="n"/>
      <c r="R100" s="409" t="n"/>
      <c r="S100" s="409" t="n"/>
      <c r="T100" s="409" t="n"/>
      <c r="U100" s="409" t="n"/>
      <c r="V100" s="409" t="n"/>
      <c r="W100" s="409" t="n"/>
      <c r="X100" s="409" t="n"/>
      <c r="Y100" s="409" t="n"/>
      <c r="Z100" s="409" t="n"/>
      <c r="AA100" s="412" t="n"/>
      <c r="AB100" s="476">
        <f>SUMIF($B$6:$B$12,"SaaS事業",AB$6:AB$12)</f>
        <v>0.0</v>
      </c>
      <c r="AC100" s="477">
        <f>SUMIF($B$6:$B$12,"SaaS事業",AC$6:AC$12)</f>
        <v>42876.1461422529</v>
      </c>
      <c r="AD100" s="477">
        <f>SUMIF($B$6:$B$12,"SaaS事業",AD$6:AD$12)</f>
        <v>256399.353930672</v>
      </c>
      <c r="AE100" s="477">
        <f>SUMIF($B$6:$B$12,"SaaS事業",AE$6:AE$12)</f>
        <v>465652.097563323</v>
      </c>
      <c r="AF100" s="477">
        <f>SUMIF($B$6:$B$12,"SaaS事業",AF$6:AF$12)</f>
        <v>670719.786323322</v>
      </c>
      <c r="AG100" s="409">
        <f>SUMIF($B$6:$B$12,"SaaS事業",AG$6:AG$12)</f>
        <v>914562.267450373</v>
      </c>
      <c r="AH100" s="409">
        <f>SUMIF($B$6:$B$12,"SaaS事業",AH$6:AH$12)</f>
        <v>1153527.89895488</v>
      </c>
      <c r="AI100" s="409">
        <f>SUMIF($B$6:$B$12,"SaaS事業",AI$6:AI$12)</f>
        <v>1387714.2178293</v>
      </c>
      <c r="AJ100" s="409">
        <f>SUMIF($B$6:$B$12,"SaaS事業",AJ$6:AJ$12)</f>
        <v>1660092.95646849</v>
      </c>
      <c r="AK100" s="409">
        <f>SUMIF($B$6:$B$12,"SaaS事業",AK$6:AK$12)</f>
        <v>1927024.12033489</v>
      </c>
      <c r="AL100" s="409">
        <f>SUMIF($B$6:$B$12,"SaaS事業",AL$6:AL$12)</f>
        <v>2188616.66092396</v>
      </c>
      <c r="AM100" s="412">
        <f>SUMIF($B$6:$B$12,"SaaS事業",AM$6:AM$12)</f>
        <v>2487853.4968435</v>
      </c>
      <c r="AN100" s="408">
        <f>SUMIF($B$6:$B$12,"SaaS事業",AN$6:AN$12)</f>
        <v>2781105.59604466</v>
      </c>
      <c r="AO100" s="409">
        <f>SUMIF($B$6:$B$12,"SaaS事業",AO$6:AO$12)</f>
        <v>3068492.65326179</v>
      </c>
      <c r="AP100" s="409">
        <f>SUMIF($B$6:$B$12,"SaaS事業",AP$6:AP$12)</f>
        <v>3393008.11547683</v>
      </c>
      <c r="AQ100" s="409">
        <f>SUMIF($B$6:$B$12,"SaaS事業",AQ$6:AQ$12)</f>
        <v>3711033.26844757</v>
      </c>
      <c r="AR100" s="409">
        <f>SUMIF($B$6:$B$12,"SaaS事業",AR$6:AR$12)</f>
        <v>4022697.91835889</v>
      </c>
      <c r="AS100" s="409">
        <f>SUMIF($B$6:$B$12,"SaaS事業",AS$6:AS$12)</f>
        <v>4371005.42141424</v>
      </c>
      <c r="AT100" s="409">
        <f>SUMIF($B$6:$B$12,"SaaS事業",AT$6:AT$12)</f>
        <v>4712346.77440849</v>
      </c>
      <c r="AU100" s="409">
        <f>SUMIF($B$6:$B$12,"SaaS事業",AU$6:AU$12)</f>
        <v>5046861.30034285</v>
      </c>
      <c r="AV100" s="409">
        <f>SUMIF($B$6:$B$12,"SaaS事業",AV$6:AV$12)</f>
        <v>5417561.68190077</v>
      </c>
      <c r="AW100" s="409">
        <f>SUMIF($B$6:$B$12,"SaaS事業",AW$6:AW$12)</f>
        <v>5780848.05582754</v>
      </c>
      <c r="AX100" s="409">
        <f>SUMIF($B$6:$B$12,"SaaS事業",AX$6:AX$12)</f>
        <v>6136868.70227577</v>
      </c>
      <c r="AY100" s="412">
        <f>SUMIF($B$6:$B$12,"SaaS事業",AY$6:AY$12)</f>
        <v>6528645.08193729</v>
      </c>
      <c r="AZ100" s="408">
        <f>SUMIF($B$6:$B$12,"SaaS事業",AZ$6:AZ$12)</f>
        <v>6945229.15941526</v>
      </c>
      <c r="BA100" s="409">
        <f>SUMIF($B$6:$B$12,"SaaS事業",BA$6:BA$12)</f>
        <v>7355564.47573107</v>
      </c>
      <c r="BB100" s="409">
        <f>SUMIF($B$6:$B$12,"SaaS事業",BB$6:BB$12)</f>
        <v>7802620.90844439</v>
      </c>
      <c r="BC100" s="409">
        <f>SUMIF($B$6:$B$12,"SaaS事業",BC$6:BC$12)</f>
        <v>8242971.49466701</v>
      </c>
      <c r="BD100" s="409">
        <f>SUMIF($B$6:$B$12,"SaaS事業",BD$6:BD$12)</f>
        <v>8676716.8220963</v>
      </c>
      <c r="BE100" s="409">
        <f>SUMIF($B$6:$B$12,"SaaS事業",BE$6:BE$12)</f>
        <v>9146832.11575639</v>
      </c>
      <c r="BF100" s="409">
        <f>SUMIF($B$6:$B$12,"SaaS事業",BF$6:BF$12)</f>
        <v>9609895.68001159</v>
      </c>
      <c r="BG100" s="409">
        <f>SUMIF($B$6:$B$12,"SaaS事業",BG$6:BG$12)</f>
        <v>10066013.290803</v>
      </c>
      <c r="BH100" s="409">
        <f>SUMIF($B$6:$B$12,"SaaS事業",BH$6:BH$12)</f>
        <v>10558165.2835747</v>
      </c>
      <c r="BI100" s="409">
        <f>SUMIF($B$6:$B$12,"SaaS事業",BI$6:BI$12)</f>
        <v>11042934.9964549</v>
      </c>
      <c r="BJ100" s="409">
        <f>SUMIF($B$6:$B$12,"SaaS事業",BJ$6:BJ$12)</f>
        <v>11520433.1636418</v>
      </c>
      <c r="BK100" s="412">
        <f>SUMIF($B$6:$B$12,"SaaS事業",BK$6:BK$12)</f>
        <v>12033645.0044633</v>
      </c>
      <c r="BL100" s="408">
        <f>SUMIF($B$6:$B$12,"SaaS事業",BL$6:BL$12)</f>
        <v>12539158.6676724</v>
      </c>
      <c r="BM100" s="409">
        <f>SUMIF($B$6:$B$12,"SaaS事業",BM$6:BM$12)</f>
        <v>13037089.6259333</v>
      </c>
      <c r="BN100" s="409">
        <f>SUMIF($B$6:$B$12,"SaaS事業",BN$6:BN$12)</f>
        <v>13570427.7659626</v>
      </c>
      <c r="BO100" s="409">
        <f>SUMIF($B$6:$B$12,"SaaS事業",BO$6:BO$12)</f>
        <v>14095765.8338915</v>
      </c>
      <c r="BP100" s="409">
        <f>SUMIF($B$6:$B$12,"SaaS事業",BP$6:BP$12)</f>
        <v>14613223.8308014</v>
      </c>
      <c r="BQ100" s="409">
        <f>SUMIF($B$6:$B$12,"SaaS事業",BQ$6:BQ$12)</f>
        <v>15165796.1038999</v>
      </c>
      <c r="BR100" s="409">
        <f>SUMIF($B$6:$B$12,"SaaS事業",BR$6:BR$12)</f>
        <v>15710079.792902</v>
      </c>
      <c r="BS100" s="409">
        <f>SUMIF($B$6:$B$12,"SaaS事業",BS$6:BS$12)</f>
        <v>16246199.226569</v>
      </c>
      <c r="BT100" s="409">
        <f>SUMIF($B$6:$B$12,"SaaS事業",BT$6:BT$12)</f>
        <v>16817153.0148733</v>
      </c>
      <c r="BU100" s="409">
        <f>SUMIF($B$6:$B$12,"SaaS事業",BU$6:BU$12)</f>
        <v>17379542.496353</v>
      </c>
      <c r="BV100" s="409">
        <f>SUMIF($B$6:$B$12,"SaaS事業",BV$6:BV$12)</f>
        <v>17933496.1356105</v>
      </c>
      <c r="BW100" s="412">
        <f>SUMIF($B$6:$B$12,"SaaS事業",BW$6:BW$12)</f>
        <v>18522016.6164214</v>
      </c>
      <c r="BX100" s="408">
        <f>SUMIF($B$6:$B$12,"SaaS事業",BX$6:BX$12)</f>
        <v>19194319.3731022</v>
      </c>
      <c r="BY100" s="409">
        <f>SUMIF($B$6:$B$12,"SaaS事業",BY$6:BY$12)</f>
        <v>19859899.1022163</v>
      </c>
      <c r="BZ100" s="409">
        <f>SUMIF($B$6:$B$12,"SaaS事業",BZ$6:BZ$12)</f>
        <v>20561699.1801814</v>
      </c>
      <c r="CA100" s="409">
        <f>SUMIF($B$6:$B$12,"SaaS事業",CA$6:CA$12)</f>
        <v>21256481.2573669</v>
      </c>
      <c r="CB100" s="409">
        <f>SUMIF($B$6:$B$12,"SaaS事業",CB$6:CB$12)</f>
        <v>21944315.5137806</v>
      </c>
      <c r="CC100" s="409">
        <f>SUMIF($B$6:$B$12,"SaaS事業",CC$6:CC$12)</f>
        <v>22668147.5737723</v>
      </c>
      <c r="CD100" s="409">
        <f>SUMIF($B$6:$B$12,"SaaS事業",CD$6:CD$12)</f>
        <v>23384741.3131642</v>
      </c>
      <c r="CE100" s="409">
        <f>SUMIF($B$6:$B$12,"SaaS事業",CE$6:CE$12)</f>
        <v>24094169.1151621</v>
      </c>
      <c r="CF100" s="409">
        <f>SUMIF($B$6:$B$12,"SaaS事業",CF$6:CF$12)</f>
        <v>24839378.7852823</v>
      </c>
      <c r="CG100" s="409">
        <f>SUMIF($B$6:$B$12,"SaaS事業",CG$6:CG$12)</f>
        <v>25577136.3587013</v>
      </c>
      <c r="CH100" s="409">
        <f>SUMIF($B$6:$B$12,"SaaS事業",CH$6:CH$12)</f>
        <v>26307516.3563861</v>
      </c>
      <c r="CI100" s="412">
        <f>SUMIF($B$6:$B$12,"SaaS事業",CI$6:CI$12)</f>
        <v>27073468.7002363</v>
      </c>
    </row>
    <row r="101" ht="18" customHeight="1" s="145">
      <c r="A101" s="233" t="n"/>
      <c r="B101" s="233" t="inlineStr">
        <is>
          <t>事業別</t>
        </is>
      </c>
      <c r="C101" s="233" t="inlineStr">
        <is>
          <t>紹介事業</t>
        </is>
      </c>
      <c r="D101" s="234" t="n"/>
      <c r="E101" s="408">
        <f>SUMIF($AB$3:$CI$3,E$4,$AB101:$CI101)</f>
        <v>3202637.74826313</v>
      </c>
      <c r="F101" s="408">
        <f>SUMIF($AB$3:$CI$3,F$4,$AB101:$CI101)</f>
        <v>12865449.3443943</v>
      </c>
      <c r="G101" s="408">
        <f>SUMIF($AB$3:$CI$3,G$4,$AB101:$CI101)</f>
        <v>25619621.5719765</v>
      </c>
      <c r="H101" s="408">
        <f>SUMIF($AB$3:$CI$3,H$4,$AB101:$CI101)</f>
        <v>40934826.5810945</v>
      </c>
      <c r="I101" s="408">
        <f>SUMIF($AB$3:$CI$3,I$4,$AB101:$CI101)</f>
        <v>59945550.1419413</v>
      </c>
      <c r="J101" s="407">
        <f>SUM(E101:I101)</f>
        <v>142568085.38767</v>
      </c>
      <c r="K101" s="407" t="n"/>
      <c r="L101" s="407" t="n"/>
      <c r="M101" s="407" t="n"/>
      <c r="N101" s="407" t="n"/>
      <c r="O101" s="235" t="n"/>
      <c r="P101" s="408" t="n"/>
      <c r="Q101" s="409" t="n"/>
      <c r="R101" s="409" t="n"/>
      <c r="S101" s="409" t="n"/>
      <c r="T101" s="409" t="n"/>
      <c r="U101" s="409" t="n"/>
      <c r="V101" s="409" t="n"/>
      <c r="W101" s="409" t="n"/>
      <c r="X101" s="409" t="n"/>
      <c r="Y101" s="409" t="n"/>
      <c r="Z101" s="409" t="n"/>
      <c r="AA101" s="412" t="n"/>
      <c r="AB101" s="476">
        <f>SUMIF($B$6:$B$12,"紹介事業",AB$6:AB$12)</f>
        <v>0.0</v>
      </c>
      <c r="AC101" s="477">
        <f>SUMIF($B$6:$B$12,"紹介事業",AC$6:AC$12)</f>
        <v>11907.875</v>
      </c>
      <c r="AD101" s="477">
        <f>SUMIF($B$6:$B$12,"紹介事業",AD$6:AD$12)</f>
        <v>65379.125</v>
      </c>
      <c r="AE101" s="477">
        <f>SUMIF($B$6:$B$12,"紹介事業",AE$6:AE$12)</f>
        <v>118338.815</v>
      </c>
      <c r="AF101" s="477">
        <f>SUMIF($B$6:$B$12,"紹介事業",AF$6:AF$12)</f>
        <v>164843.2387</v>
      </c>
      <c r="AG101" s="409">
        <f>SUMIF($B$6:$B$12,"紹介事業",AG$6:AG$12)</f>
        <v>222821.328926</v>
      </c>
      <c r="AH101" s="409">
        <f>SUMIF($B$6:$B$12,"紹介事業",AH$6:AH$12)</f>
        <v>280259.70734748</v>
      </c>
      <c r="AI101" s="409">
        <f>SUMIF($B$6:$B$12,"紹介事業",AI$6:AI$12)</f>
        <v>337169.16820053</v>
      </c>
      <c r="AJ101" s="409">
        <f>SUMIF($B$6:$B$12,"紹介事業",AJ$6:AJ$12)</f>
        <v>405468.16483652</v>
      </c>
      <c r="AK101" s="409">
        <f>SUMIF($B$6:$B$12,"紹介事業",AK$6:AK$12)</f>
        <v>467191.064039789</v>
      </c>
      <c r="AL101" s="409">
        <f>SUMIF($B$6:$B$12,"紹介事業",AL$6:AL$12)</f>
        <v>528361.340258994</v>
      </c>
      <c r="AM101" s="412">
        <f>SUMIF($B$6:$B$12,"紹介事業",AM$6:AM$12)</f>
        <v>600897.920953814</v>
      </c>
      <c r="AN101" s="408">
        <f>SUMIF($B$6:$B$12,"紹介事業",AN$6:AN$12)</f>
        <v>666835.637534738</v>
      </c>
      <c r="AO101" s="409">
        <f>SUMIF($B$6:$B$12,"紹介事業",AO$6:AO$12)</f>
        <v>732198.419784043</v>
      </c>
      <c r="AP101" s="409">
        <f>SUMIF($B$6:$B$12,"紹介事業",AP$6:AP$12)</f>
        <v>808905.641388362</v>
      </c>
      <c r="AQ101" s="409">
        <f>SUMIF($B$6:$B$12,"紹介事業",AQ$6:AQ$12)</f>
        <v>878992.571060595</v>
      </c>
      <c r="AR101" s="409">
        <f>SUMIF($B$6:$B$12,"紹介事業",AR$6:AR$12)</f>
        <v>948483.567139383</v>
      </c>
      <c r="AS101" s="409">
        <f>SUMIF($B$6:$B$12,"紹介事業",AS$6:AS$12)</f>
        <v>1029298.42329659</v>
      </c>
      <c r="AT101" s="409">
        <f>SUMIF($B$6:$B$12,"紹介事業",AT$6:AT$12)</f>
        <v>1103472.81983066</v>
      </c>
      <c r="AU101" s="409">
        <f>SUMIF($B$6:$B$12,"紹介事業",AU$6:AU$12)</f>
        <v>1177031.51843405</v>
      </c>
      <c r="AV101" s="409">
        <f>SUMIF($B$6:$B$12,"紹介事業",AV$6:AV$12)</f>
        <v>1261894.70806537</v>
      </c>
      <c r="AW101" s="409">
        <f>SUMIF($B$6:$B$12,"紹介事業",AW$6:AW$12)</f>
        <v>1340098.45640406</v>
      </c>
      <c r="AX101" s="409">
        <f>SUMIF($B$6:$B$12,"紹介事業",AX$6:AX$12)</f>
        <v>1417667.90477598</v>
      </c>
      <c r="AY101" s="412">
        <f>SUMIF($B$6:$B$12,"紹介事業",AY$6:AY$12)</f>
        <v>1500569.67668046</v>
      </c>
      <c r="AZ101" s="408">
        <f>SUMIF($B$6:$B$12,"紹介事業",AZ$6:AZ$12)</f>
        <v>1596341.48608855</v>
      </c>
      <c r="BA101" s="409">
        <f>SUMIF($B$6:$B$12,"紹介事業",BA$6:BA$12)</f>
        <v>1685459.615082</v>
      </c>
      <c r="BB101" s="409">
        <f>SUMIF($B$6:$B$12,"紹介事業",BB$6:BB$12)</f>
        <v>1785848.07869307</v>
      </c>
      <c r="BC101" s="409">
        <f>SUMIF($B$6:$B$12,"紹介事業",BC$6:BC$12)</f>
        <v>1879556.30731594</v>
      </c>
      <c r="BD101" s="409">
        <f>SUMIF($B$6:$B$12,"紹介事業",BD$6:BD$12)</f>
        <v>1978554.84318791</v>
      </c>
      <c r="BE101" s="409">
        <f>SUMIF($B$6:$B$12,"紹介事業",BE$6:BE$12)</f>
        <v>2076851.40530712</v>
      </c>
      <c r="BF101" s="409">
        <f>SUMIF($B$6:$B$12,"紹介事業",BF$6:BF$12)</f>
        <v>2180412.21571425</v>
      </c>
      <c r="BG101" s="409">
        <f>SUMIF($B$6:$B$12,"紹介事業",BG$6:BG$12)</f>
        <v>2277291.51193925</v>
      </c>
      <c r="BH101" s="409">
        <f>SUMIF($B$6:$B$12,"紹介事業",BH$6:BH$12)</f>
        <v>2385413.79610531</v>
      </c>
      <c r="BI101" s="409">
        <f>SUMIF($B$6:$B$12,"紹介事業",BI$6:BI$12)</f>
        <v>2486828.97717347</v>
      </c>
      <c r="BJ101" s="409">
        <f>SUMIF($B$6:$B$12,"紹介事業",BJ$6:BJ$12)</f>
        <v>2587554.13007293</v>
      </c>
      <c r="BK101" s="412">
        <f>SUMIF($B$6:$B$12,"紹介事業",BK$6:BK$12)</f>
        <v>2699509.20529666</v>
      </c>
      <c r="BL101" s="408">
        <f>SUMIF($B$6:$B$12,"紹介事業",BL$6:BL$12)</f>
        <v>2804744.34045396</v>
      </c>
      <c r="BM101" s="409">
        <f>SUMIF($B$6:$B$12,"紹介事業",BM$6:BM$12)</f>
        <v>2909276.83512102</v>
      </c>
      <c r="BN101" s="409">
        <f>SUMIF($B$6:$B$12,"紹介事業",BN$6:BN$12)</f>
        <v>3019072.9230064</v>
      </c>
      <c r="BO101" s="409">
        <f>SUMIF($B$6:$B$12,"紹介事業",BO$6:BO$12)</f>
        <v>3128140.79060379</v>
      </c>
      <c r="BP101" s="409">
        <f>SUMIF($B$6:$B$12,"紹介事業",BP$6:BP$12)</f>
        <v>3236493.18176822</v>
      </c>
      <c r="BQ101" s="409">
        <f>SUMIF($B$6:$B$12,"紹介事業",BQ$6:BQ$12)</f>
        <v>3350096.55483728</v>
      </c>
      <c r="BR101" s="409">
        <f>SUMIF($B$6:$B$12,"紹介事業",BR$6:BR$12)</f>
        <v>3462959.31700263</v>
      </c>
      <c r="BS101" s="409">
        <f>SUMIF($B$6:$B$12,"紹介事業",BS$6:BS$12)</f>
        <v>3575094.42895508</v>
      </c>
      <c r="BT101" s="409">
        <f>SUMIF($B$6:$B$12,"紹介事業",BT$6:BT$12)</f>
        <v>3692468.56207337</v>
      </c>
      <c r="BU101" s="409">
        <f>SUMIF($B$6:$B$12,"紹介事業",BU$6:BU$12)</f>
        <v>3803136.39536208</v>
      </c>
      <c r="BV101" s="409">
        <f>SUMIF($B$6:$B$12,"紹介事業",BV$6:BV$12)</f>
        <v>3919068.92719325</v>
      </c>
      <c r="BW101" s="412">
        <f>SUMIF($B$6:$B$12,"紹介事業",BW$6:BW$12)</f>
        <v>4034274.32471737</v>
      </c>
      <c r="BX101" s="408">
        <f>SUMIF($B$6:$B$12,"紹介事業",BX$6:BX$12)</f>
        <v>4182592.6448466</v>
      </c>
      <c r="BY101" s="409">
        <f>SUMIF($B$6:$B$12,"紹介事業",BY$6:BY$12)</f>
        <v>4324080.42642391</v>
      </c>
      <c r="BZ101" s="409">
        <f>SUMIF($B$6:$B$12,"紹介事業",BZ$6:BZ$12)</f>
        <v>4470701.51377755</v>
      </c>
      <c r="CA101" s="409">
        <f>SUMIF($B$6:$B$12,"紹介事業",CA$6:CA$12)</f>
        <v>4616471.45857088</v>
      </c>
      <c r="CB101" s="409">
        <f>SUMIF($B$6:$B$12,"紹介事業",CB$6:CB$12)</f>
        <v>4761403.02794232</v>
      </c>
      <c r="CC101" s="409">
        <f>SUMIF($B$6:$B$12,"紹介事業",CC$6:CC$12)</f>
        <v>4917416.67252319</v>
      </c>
      <c r="CD101" s="409">
        <f>SUMIF($B$6:$B$12,"紹介事業",CD$6:CD$12)</f>
        <v>5066577.32618534</v>
      </c>
      <c r="CE101" s="409">
        <f>SUMIF($B$6:$B$12,"紹介事業",CE$6:CE$12)</f>
        <v>5214895.23254256</v>
      </c>
      <c r="CF101" s="409">
        <f>SUMIF($B$6:$B$12,"紹介事業",CF$6:CF$12)</f>
        <v>5368336.97030442</v>
      </c>
      <c r="CG101" s="409">
        <f>SUMIF($B$6:$B$12,"紹介事業",CG$6:CG$12)</f>
        <v>5520918.23324985</v>
      </c>
      <c r="CH101" s="409">
        <f>SUMIF($B$6:$B$12,"紹介事業",CH$6:CH$12)</f>
        <v>5672651.92850111</v>
      </c>
      <c r="CI101" s="412">
        <f>SUMIF($B$6:$B$12,"紹介事業",CI$6:CI$12)</f>
        <v>5829504.70707359</v>
      </c>
    </row>
    <row r="102" ht="18" customHeight="1" s="145">
      <c r="A102" s="233" t="n"/>
      <c r="B102" s="233" t="inlineStr">
        <is>
          <t>事業別</t>
        </is>
      </c>
      <c r="C102" s="233" t="inlineStr">
        <is>
          <t>仲介事業</t>
        </is>
      </c>
      <c r="D102" s="234" t="n"/>
      <c r="E102" s="408">
        <f>SUMIF($AB$3:$CI$3,E$4,$AB102:$CI102)</f>
        <v>473115.276689413</v>
      </c>
      <c r="F102" s="408">
        <f>SUMIF($AB$3:$CI$3,F$4,$AB102:$CI102)</f>
        <v>1812400.31689441</v>
      </c>
      <c r="G102" s="408">
        <f>SUMIF($AB$3:$CI$3,G$4,$AB102:$CI102)</f>
        <v>3464352.65845983</v>
      </c>
      <c r="H102" s="408">
        <f>SUMIF($AB$3:$CI$3,H$4,$AB102:$CI102)</f>
        <v>5326427.42659885</v>
      </c>
      <c r="I102" s="408">
        <f>SUMIF($AB$3:$CI$3,I$4,$AB102:$CI102)</f>
        <v>7592704.84841832</v>
      </c>
      <c r="J102" s="407">
        <f>SUM(E102:I102)</f>
        <v>18669000.5270608</v>
      </c>
      <c r="K102" s="407" t="n"/>
      <c r="L102" s="407" t="n"/>
      <c r="M102" s="407" t="n"/>
      <c r="N102" s="407" t="n"/>
      <c r="O102" s="235" t="n"/>
      <c r="P102" s="408" t="n"/>
      <c r="Q102" s="409" t="n"/>
      <c r="R102" s="409" t="n"/>
      <c r="S102" s="409" t="n"/>
      <c r="T102" s="409" t="n"/>
      <c r="U102" s="409" t="n"/>
      <c r="V102" s="409" t="n"/>
      <c r="W102" s="409" t="n"/>
      <c r="X102" s="409" t="n"/>
      <c r="Y102" s="409" t="n"/>
      <c r="Z102" s="409" t="n"/>
      <c r="AA102" s="412" t="n"/>
      <c r="AB102" s="476">
        <f>SUMIF($B$6:$B$12,"仲介事業",AB$6:AB$12)</f>
        <v>0.0</v>
      </c>
      <c r="AC102" s="477">
        <f>SUMIF($B$6:$B$12,"仲介事業",AC$6:AC$12)</f>
        <v>1814.4</v>
      </c>
      <c r="AD102" s="477">
        <f>SUMIF($B$6:$B$12,"仲介事業",AD$6:AD$12)</f>
        <v>9942.912</v>
      </c>
      <c r="AE102" s="477">
        <f>SUMIF($B$6:$B$12,"仲介事業",AE$6:AE$12)</f>
        <v>17908.85376</v>
      </c>
      <c r="AF102" s="477">
        <f>SUMIF($B$6:$B$12,"仲介事業",AF$6:AF$12)</f>
        <v>24808.2766848</v>
      </c>
      <c r="AG102" s="409">
        <f>SUMIF($B$6:$B$12,"仲介事業",AG$6:AG$12)</f>
        <v>33384.111151104</v>
      </c>
      <c r="AH102" s="409">
        <f>SUMIF($B$6:$B$12,"仲介事業",AH$6:AH$12)</f>
        <v>41788.4289280819</v>
      </c>
      <c r="AI102" s="409">
        <f>SUMIF($B$6:$B$12,"仲介事業",AI$6:AI$12)</f>
        <v>50024.6603495203</v>
      </c>
      <c r="AJ102" s="409">
        <f>SUMIF($B$6:$B$12,"仲介事業",AJ$6:AJ$12)</f>
        <v>59910.5671425299</v>
      </c>
      <c r="AK102" s="409">
        <f>SUMIF($B$6:$B$12,"仲介事業",AK$6:AK$12)</f>
        <v>68691.5557996793</v>
      </c>
      <c r="AL102" s="409">
        <f>SUMIF($B$6:$B$12,"仲介事業",AL$6:AL$12)</f>
        <v>77296.9246836857</v>
      </c>
      <c r="AM102" s="412">
        <f>SUMIF($B$6:$B$12,"仲介事業",AM$6:AM$12)</f>
        <v>87544.586190012</v>
      </c>
      <c r="AN102" s="408">
        <f>SUMIF($B$6:$B$12,"仲介事業",AN$6:AN$12)</f>
        <v>96680.0944662118</v>
      </c>
      <c r="AO102" s="409">
        <f>SUMIF($B$6:$B$12,"仲介事業",AO$6:AO$12)</f>
        <v>105632.892576888</v>
      </c>
      <c r="AP102" s="409">
        <f>SUMIF($B$6:$B$12,"仲介事業",AP$6:AP$12)</f>
        <v>116221.03472535</v>
      </c>
      <c r="AQ102" s="409">
        <f>SUMIF($B$6:$B$12,"仲介事業",AQ$6:AQ$12)</f>
        <v>125690.214030843</v>
      </c>
      <c r="AR102" s="409">
        <f>SUMIF($B$6:$B$12,"仲介事業",AR$6:AR$12)</f>
        <v>134970.009750226</v>
      </c>
      <c r="AS102" s="409">
        <f>SUMIF($B$6:$B$12,"仲介事業",AS$6:AS$12)</f>
        <v>145878.609555221</v>
      </c>
      <c r="AT102" s="409">
        <f>SUMIF($B$6:$B$12,"仲介事業",AT$6:AT$12)</f>
        <v>155661.837364117</v>
      </c>
      <c r="AU102" s="409">
        <f>SUMIF($B$6:$B$12,"仲介事業",AU$6:AU$12)</f>
        <v>165249.400616835</v>
      </c>
      <c r="AV102" s="409">
        <f>SUMIF($B$6:$B$12,"仲介事業",AV$6:AV$12)</f>
        <v>176459.612604498</v>
      </c>
      <c r="AW102" s="409">
        <f>SUMIF($B$6:$B$12,"仲介事業",AW$6:AW$12)</f>
        <v>186538.420352408</v>
      </c>
      <c r="AX102" s="409">
        <f>SUMIF($B$6:$B$12,"仲介事業",AX$6:AX$12)</f>
        <v>196415.65194536</v>
      </c>
      <c r="AY102" s="412">
        <f>SUMIF($B$6:$B$12,"仲介事業",AY$6:AY$12)</f>
        <v>207002.538906453</v>
      </c>
      <c r="AZ102" s="408">
        <f>SUMIF($B$6:$B$12,"仲介事業",AZ$6:AZ$12)</f>
        <v>219709.59447559</v>
      </c>
      <c r="BA102" s="409">
        <f>SUMIF($B$6:$B$12,"仲介事業",BA$6:BA$12)</f>
        <v>231287.076572267</v>
      </c>
      <c r="BB102" s="409">
        <f>SUMIF($B$6:$B$12,"仲介事業",BB$6:BB$12)</f>
        <v>244476.352732252</v>
      </c>
      <c r="BC102" s="409">
        <f>SUMIF($B$6:$B$12,"仲介事業",BC$6:BC$12)</f>
        <v>256527.616559438</v>
      </c>
      <c r="BD102" s="409">
        <f>SUMIF($B$6:$B$12,"仲介事業",BD$6:BD$12)</f>
        <v>269275.183269648</v>
      </c>
      <c r="BE102" s="409">
        <f>SUMIF($B$6:$B$12,"仲介事業",BE$6:BE$12)</f>
        <v>281799.667562429</v>
      </c>
      <c r="BF102" s="409">
        <f>SUMIF($B$6:$B$12,"仲介事業",BF$6:BF$12)</f>
        <v>295012.173380086</v>
      </c>
      <c r="BG102" s="409">
        <f>SUMIF($B$6:$B$12,"仲介事業",BG$6:BG$12)</f>
        <v>307086.260345935</v>
      </c>
      <c r="BH102" s="409">
        <f>SUMIF($B$6:$B$12,"仲介事業",BH$6:BH$12)</f>
        <v>320763.450789881</v>
      </c>
      <c r="BI102" s="409">
        <f>SUMIF($B$6:$B$12,"仲介事業",BI$6:BI$12)</f>
        <v>333294.090401058</v>
      </c>
      <c r="BJ102" s="409">
        <f>SUMIF($B$6:$B$12,"仲介事業",BJ$6:BJ$12)</f>
        <v>345605.443819039</v>
      </c>
      <c r="BK102" s="412">
        <f>SUMIF($B$6:$B$12,"仲介事業",BK$6:BK$12)</f>
        <v>359515.748552206</v>
      </c>
      <c r="BL102" s="408">
        <f>SUMIF($B$6:$B$12,"仲介事業",BL$6:BL$12)</f>
        <v>372275.422952543</v>
      </c>
      <c r="BM102" s="409">
        <f>SUMIF($B$6:$B$12,"仲介事業",BM$6:BM$12)</f>
        <v>384811.803050873</v>
      </c>
      <c r="BN102" s="409">
        <f>SUMIF($B$6:$B$12,"仲介事業",BN$6:BN$12)</f>
        <v>398035.996497483</v>
      </c>
      <c r="BO102" s="409">
        <f>SUMIF($B$6:$B$12,"仲介事業",BO$6:BO$12)</f>
        <v>411028.766558777</v>
      </c>
      <c r="BP102" s="409">
        <f>SUMIF($B$6:$B$12,"仲介事業",BP$6:BP$12)</f>
        <v>423794.163143998</v>
      </c>
      <c r="BQ102" s="409">
        <f>SUMIF($B$6:$B$12,"仲介事業",BQ$6:BQ$12)</f>
        <v>437243.365288978</v>
      </c>
      <c r="BR102" s="409">
        <f>SUMIF($B$6:$B$12,"仲介事業",BR$6:BR$12)</f>
        <v>450457.206396421</v>
      </c>
      <c r="BS102" s="409">
        <f>SUMIF($B$6:$B$12,"仲介事業",BS$6:BS$12)</f>
        <v>463439.805284484</v>
      </c>
      <c r="BT102" s="409">
        <f>SUMIF($B$6:$B$12,"仲介事業",BT$6:BT$12)</f>
        <v>477102.408692005</v>
      </c>
      <c r="BU102" s="409">
        <f>SUMIF($B$6:$B$12,"仲介事業",BU$6:BU$12)</f>
        <v>489618.716539895</v>
      </c>
      <c r="BV102" s="409">
        <f>SUMIF($B$6:$B$12,"仲介事業",BV$6:BV$12)</f>
        <v>502823.189000447</v>
      </c>
      <c r="BW102" s="412">
        <f>SUMIF($B$6:$B$12,"仲介事業",BW$6:BW$12)</f>
        <v>515796.583192939</v>
      </c>
      <c r="BX102" s="408">
        <f>SUMIF($B$6:$B$12,"仲介事業",BX$6:BX$12)</f>
        <v>534368.434445045</v>
      </c>
      <c r="BY102" s="409">
        <f>SUMIF($B$6:$B$12,"仲介事業",BY$6:BY$12)</f>
        <v>551754.50792837</v>
      </c>
      <c r="BZ102" s="409">
        <f>SUMIF($B$6:$B$12,"仲介事業",BZ$6:BZ$12)</f>
        <v>569786.990309444</v>
      </c>
      <c r="CA102" s="409">
        <f>SUMIF($B$6:$B$12,"仲介事業",CA$6:CA$12)</f>
        <v>587548.985454802</v>
      </c>
      <c r="CB102" s="409">
        <f>SUMIF($B$6:$B$12,"仲介事業",CB$6:CB$12)</f>
        <v>605044.55067298</v>
      </c>
      <c r="CC102" s="409">
        <f>SUMIF($B$6:$B$12,"仲介事業",CC$6:CC$12)</f>
        <v>624092.082412886</v>
      </c>
      <c r="CD102" s="409">
        <f>SUMIF($B$6:$B$12,"仲介事業",CD$6:CD$12)</f>
        <v>641946.701176692</v>
      </c>
      <c r="CE102" s="409">
        <f>SUMIF($B$6:$B$12,"仲介事業",CE$6:CE$12)</f>
        <v>659533.500659042</v>
      </c>
      <c r="CF102" s="409">
        <f>SUMIF($B$6:$B$12,"仲介事業",CF$6:CF$12)</f>
        <v>677763.698149156</v>
      </c>
      <c r="CG102" s="409">
        <f>SUMIF($B$6:$B$12,"仲介事業",CG$6:CG$12)</f>
        <v>695720.442676919</v>
      </c>
      <c r="CH102" s="409">
        <f>SUMIF($B$6:$B$12,"仲介事業",CH$6:CH$12)</f>
        <v>713407.836036765</v>
      </c>
      <c r="CI102" s="412">
        <f>SUMIF($B$6:$B$12,"仲介事業",CI$6:CI$12)</f>
        <v>731737.118496214</v>
      </c>
    </row>
    <row r="103" ht="18" customHeight="1" s="145">
      <c r="A103" s="233" t="n"/>
      <c r="B103" s="233" t="inlineStr">
        <is>
          <t>事業別</t>
        </is>
      </c>
      <c r="C103" s="233" t="inlineStr">
        <is>
          <t>コンサルティング事業</t>
        </is>
      </c>
      <c r="D103" s="234" t="n"/>
      <c r="E103" s="408">
        <f>SUMIF($AB$3:$CI$3,E$4,$AB103:$CI103)</f>
        <v>6270000.0</v>
      </c>
      <c r="F103" s="408">
        <f>SUMIF($AB$3:$CI$3,F$4,$AB103:$CI103)</f>
        <v>37950000.0</v>
      </c>
      <c r="G103" s="408">
        <f>SUMIF($AB$3:$CI$3,G$4,$AB103:$CI103)</f>
        <v>75900000.0</v>
      </c>
      <c r="H103" s="408">
        <f>SUMIF($AB$3:$CI$3,H$4,$AB103:$CI103)</f>
        <v>115170000.0</v>
      </c>
      <c r="I103" s="408">
        <f>SUMIF($AB$3:$CI$3,I$4,$AB103:$CI103)</f>
        <v>157740000.0</v>
      </c>
      <c r="J103" s="407">
        <f>SUM(E103:I103)</f>
        <v>393030000.0</v>
      </c>
      <c r="K103" s="407" t="n"/>
      <c r="L103" s="407" t="n"/>
      <c r="M103" s="407" t="n"/>
      <c r="N103" s="407" t="n"/>
      <c r="O103" s="235" t="n"/>
      <c r="P103" s="408" t="n"/>
      <c r="Q103" s="409" t="n"/>
      <c r="R103" s="409" t="n"/>
      <c r="S103" s="409" t="n"/>
      <c r="T103" s="409" t="n"/>
      <c r="U103" s="409" t="n"/>
      <c r="V103" s="409" t="n"/>
      <c r="W103" s="409" t="n"/>
      <c r="X103" s="409" t="n"/>
      <c r="Y103" s="409" t="n"/>
      <c r="Z103" s="409" t="n"/>
      <c r="AA103" s="412" t="n"/>
      <c r="AB103" s="476">
        <f>SUMIF($B$6:$B$12,"コンサルティング事業",AB$6:AB$12)</f>
        <v>0.0</v>
      </c>
      <c r="AC103" s="477">
        <f>SUMIF($B$6:$B$12,"コンサルティング事業",AC$6:AC$12)</f>
        <v>0.0</v>
      </c>
      <c r="AD103" s="477">
        <f>SUMIF($B$6:$B$12,"コンサルティング事業",AD$6:AD$12)</f>
        <v>0.0</v>
      </c>
      <c r="AE103" s="477">
        <f>SUMIF($B$6:$B$12,"コンサルティング事業",AE$6:AE$12)</f>
        <v>0.0</v>
      </c>
      <c r="AF103" s="477">
        <f>SUMIF($B$6:$B$12,"コンサルティング事業",AF$6:AF$12)</f>
        <v>0.0</v>
      </c>
      <c r="AG103" s="409">
        <f>SUMIF($B$6:$B$12,"コンサルティング事業",AG$6:AG$12)</f>
        <v>0.0</v>
      </c>
      <c r="AH103" s="409">
        <f>SUMIF($B$6:$B$12,"コンサルティング事業",AH$6:AH$12)</f>
        <v>330000.0</v>
      </c>
      <c r="AI103" s="409">
        <f>SUMIF($B$6:$B$12,"コンサルティング事業",AI$6:AI$12)</f>
        <v>660000.0</v>
      </c>
      <c r="AJ103" s="409">
        <f>SUMIF($B$6:$B$12,"コンサルティング事業",AJ$6:AJ$12)</f>
        <v>990000.0</v>
      </c>
      <c r="AK103" s="409">
        <f>SUMIF($B$6:$B$12,"コンサルティング事業",AK$6:AK$12)</f>
        <v>1320000.0</v>
      </c>
      <c r="AL103" s="409">
        <f>SUMIF($B$6:$B$12,"コンサルティング事業",AL$6:AL$12)</f>
        <v>1320000.0</v>
      </c>
      <c r="AM103" s="412">
        <f>SUMIF($B$6:$B$12,"コンサルティング事業",AM$6:AM$12)</f>
        <v>1650000.0</v>
      </c>
      <c r="AN103" s="408">
        <f>SUMIF($B$6:$B$12,"コンサルティング事業",AN$6:AN$12)</f>
        <v>1650000.0</v>
      </c>
      <c r="AO103" s="409">
        <f>SUMIF($B$6:$B$12,"コンサルティング事業",AO$6:AO$12)</f>
        <v>1980000.0</v>
      </c>
      <c r="AP103" s="409">
        <f>SUMIF($B$6:$B$12,"コンサルティング事業",AP$6:AP$12)</f>
        <v>2310000.0</v>
      </c>
      <c r="AQ103" s="409">
        <f>SUMIF($B$6:$B$12,"コンサルティング事業",AQ$6:AQ$12)</f>
        <v>2640000.0</v>
      </c>
      <c r="AR103" s="409">
        <f>SUMIF($B$6:$B$12,"コンサルティング事業",AR$6:AR$12)</f>
        <v>2640000.0</v>
      </c>
      <c r="AS103" s="409">
        <f>SUMIF($B$6:$B$12,"コンサルティング事業",AS$6:AS$12)</f>
        <v>2970000.0</v>
      </c>
      <c r="AT103" s="409">
        <f>SUMIF($B$6:$B$12,"コンサルティング事業",AT$6:AT$12)</f>
        <v>3300000.0</v>
      </c>
      <c r="AU103" s="409">
        <f>SUMIF($B$6:$B$12,"コンサルティング事業",AU$6:AU$12)</f>
        <v>3630000.0</v>
      </c>
      <c r="AV103" s="409">
        <f>SUMIF($B$6:$B$12,"コンサルティング事業",AV$6:AV$12)</f>
        <v>3960000.0</v>
      </c>
      <c r="AW103" s="409">
        <f>SUMIF($B$6:$B$12,"コンサルティング事業",AW$6:AW$12)</f>
        <v>3960000.0</v>
      </c>
      <c r="AX103" s="409">
        <f>SUMIF($B$6:$B$12,"コンサルティング事業",AX$6:AX$12)</f>
        <v>4290000.0</v>
      </c>
      <c r="AY103" s="412">
        <f>SUMIF($B$6:$B$12,"コンサルティング事業",AY$6:AY$12)</f>
        <v>4620000.0</v>
      </c>
      <c r="AZ103" s="408">
        <f>SUMIF($B$6:$B$12,"コンサルティング事業",AZ$6:AZ$12)</f>
        <v>4950000.0</v>
      </c>
      <c r="BA103" s="409">
        <f>SUMIF($B$6:$B$12,"コンサルティング事業",BA$6:BA$12)</f>
        <v>4950000.0</v>
      </c>
      <c r="BB103" s="409">
        <f>SUMIF($B$6:$B$12,"コンサルティング事業",BB$6:BB$12)</f>
        <v>5280000.0</v>
      </c>
      <c r="BC103" s="409">
        <f>SUMIF($B$6:$B$12,"コンサルティング事業",BC$6:BC$12)</f>
        <v>5610000.0</v>
      </c>
      <c r="BD103" s="409">
        <f>SUMIF($B$6:$B$12,"コンサルティング事業",BD$6:BD$12)</f>
        <v>5940000.0</v>
      </c>
      <c r="BE103" s="409">
        <f>SUMIF($B$6:$B$12,"コンサルティング事業",BE$6:BE$12)</f>
        <v>6270000.0</v>
      </c>
      <c r="BF103" s="409">
        <f>SUMIF($B$6:$B$12,"コンサルティング事業",BF$6:BF$12)</f>
        <v>6600000.0</v>
      </c>
      <c r="BG103" s="409">
        <f>SUMIF($B$6:$B$12,"コンサルティング事業",BG$6:BG$12)</f>
        <v>6600000.0</v>
      </c>
      <c r="BH103" s="409">
        <f>SUMIF($B$6:$B$12,"コンサルティング事業",BH$6:BH$12)</f>
        <v>6930000.0</v>
      </c>
      <c r="BI103" s="409">
        <f>SUMIF($B$6:$B$12,"コンサルティング事業",BI$6:BI$12)</f>
        <v>7260000.0</v>
      </c>
      <c r="BJ103" s="409">
        <f>SUMIF($B$6:$B$12,"コンサルティング事業",BJ$6:BJ$12)</f>
        <v>7590000.0</v>
      </c>
      <c r="BK103" s="412">
        <f>SUMIF($B$6:$B$12,"コンサルティング事業",BK$6:BK$12)</f>
        <v>7920000.0</v>
      </c>
      <c r="BL103" s="408">
        <f>SUMIF($B$6:$B$12,"コンサルティング事業",BL$6:BL$12)</f>
        <v>7920000.0</v>
      </c>
      <c r="BM103" s="409">
        <f>SUMIF($B$6:$B$12,"コンサルティング事業",BM$6:BM$12)</f>
        <v>8250000.0</v>
      </c>
      <c r="BN103" s="409">
        <f>SUMIF($B$6:$B$12,"コンサルティング事業",BN$6:BN$12)</f>
        <v>8580000.0</v>
      </c>
      <c r="BO103" s="409">
        <f>SUMIF($B$6:$B$12,"コンサルティング事業",BO$6:BO$12)</f>
        <v>8910000.0</v>
      </c>
      <c r="BP103" s="409">
        <f>SUMIF($B$6:$B$12,"コンサルティング事業",BP$6:BP$12)</f>
        <v>9240000.0</v>
      </c>
      <c r="BQ103" s="409">
        <f>SUMIF($B$6:$B$12,"コンサルティング事業",BQ$6:BQ$12)</f>
        <v>9570000.0</v>
      </c>
      <c r="BR103" s="409">
        <f>SUMIF($B$6:$B$12,"コンサルティング事業",BR$6:BR$12)</f>
        <v>9900000.0</v>
      </c>
      <c r="BS103" s="409">
        <f>SUMIF($B$6:$B$12,"コンサルティング事業",BS$6:BS$12)</f>
        <v>9900000.0</v>
      </c>
      <c r="BT103" s="409">
        <f>SUMIF($B$6:$B$12,"コンサルティング事業",BT$6:BT$12)</f>
        <v>10230000.0</v>
      </c>
      <c r="BU103" s="409">
        <f>SUMIF($B$6:$B$12,"コンサルティング事業",BU$6:BU$12)</f>
        <v>10560000.0</v>
      </c>
      <c r="BV103" s="409">
        <f>SUMIF($B$6:$B$12,"コンサルティング事業",BV$6:BV$12)</f>
        <v>10890000.0</v>
      </c>
      <c r="BW103" s="412">
        <f>SUMIF($B$6:$B$12,"コンサルティング事業",BW$6:BW$12)</f>
        <v>11220000.0</v>
      </c>
      <c r="BX103" s="408">
        <f>SUMIF($B$6:$B$12,"コンサルティング事業",BX$6:BX$12)</f>
        <v>11550000.0</v>
      </c>
      <c r="BY103" s="409">
        <f>SUMIF($B$6:$B$12,"コンサルティング事業",BY$6:BY$12)</f>
        <v>11880000.0</v>
      </c>
      <c r="BZ103" s="409">
        <f>SUMIF($B$6:$B$12,"コンサルティング事業",BZ$6:BZ$12)</f>
        <v>12210000.0</v>
      </c>
      <c r="CA103" s="409">
        <f>SUMIF($B$6:$B$12,"コンサルティング事業",CA$6:CA$12)</f>
        <v>12540000.0</v>
      </c>
      <c r="CB103" s="409">
        <f>SUMIF($B$6:$B$12,"コンサルティング事業",CB$6:CB$12)</f>
        <v>12540000.0</v>
      </c>
      <c r="CC103" s="409">
        <f>SUMIF($B$6:$B$12,"コンサルティング事業",CC$6:CC$12)</f>
        <v>12870000.0</v>
      </c>
      <c r="CD103" s="409">
        <f>SUMIF($B$6:$B$12,"コンサルティング事業",CD$6:CD$12)</f>
        <v>13200000.0</v>
      </c>
      <c r="CE103" s="409">
        <f>SUMIF($B$6:$B$12,"コンサルティング事業",CE$6:CE$12)</f>
        <v>13530000.0</v>
      </c>
      <c r="CF103" s="409">
        <f>SUMIF($B$6:$B$12,"コンサルティング事業",CF$6:CF$12)</f>
        <v>13860000.0</v>
      </c>
      <c r="CG103" s="409">
        <f>SUMIF($B$6:$B$12,"コンサルティング事業",CG$6:CG$12)</f>
        <v>14190000.0</v>
      </c>
      <c r="CH103" s="409">
        <f>SUMIF($B$6:$B$12,"コンサルティング事業",CH$6:CH$12)</f>
        <v>14520000.0</v>
      </c>
      <c r="CI103" s="412">
        <f>SUMIF($B$6:$B$12,"コンサルティング事業",CI$6:CI$12)</f>
        <v>14850000.0</v>
      </c>
    </row>
    <row r="104" ht="18" customHeight="1" s="145">
      <c r="A104" s="233" t="n"/>
      <c r="B104" s="233" t="inlineStr">
        <is>
          <t>KPI</t>
        </is>
      </c>
      <c r="C104" s="233" t="inlineStr">
        <is>
          <t>SaaS 契約事務所数（期末）</t>
        </is>
      </c>
      <c r="D104" s="234" t="n"/>
      <c r="E104" s="408">
        <f>INDEX($AB104:$CI104,MATCH(E$4,$AB$3:$CI$3,0)+11)</f>
        <v>58.0241864226648</v>
      </c>
      <c r="F104" s="408">
        <f>INDEX($AB104:$CI104,MATCH(F$4,$AB$3:$CI$3,0)+11)</f>
        <v>152.267534966337</v>
      </c>
      <c r="G104" s="408">
        <f>INDEX($AB104:$CI104,MATCH(G$4,$AB$3:$CI$3,0)+11)</f>
        <v>280.660602390394</v>
      </c>
      <c r="H104" s="408">
        <f>INDEX($AB104:$CI104,MATCH(H$4,$AB$3:$CI$3,0)+11)</f>
        <v>431.988839551244</v>
      </c>
      <c r="I104" s="408">
        <f>INDEX($AB104:$CI104,MATCH(I$4,$AB$3:$CI$3,0)+11)</f>
        <v>631.434285404591</v>
      </c>
      <c r="J104" s="407">
        <f>I104</f>
        <v>631.434285404591</v>
      </c>
      <c r="K104" s="407" t="n"/>
      <c r="L104" s="407" t="n"/>
      <c r="M104" s="407" t="n"/>
      <c r="N104" s="407" t="n"/>
      <c r="O104" s="235" t="n"/>
      <c r="P104" s="408" t="n"/>
      <c r="Q104" s="409" t="n"/>
      <c r="R104" s="409" t="n"/>
      <c r="S104" s="409" t="n"/>
      <c r="T104" s="409" t="n"/>
      <c r="U104" s="409" t="n"/>
      <c r="V104" s="409" t="n"/>
      <c r="W104" s="409" t="n"/>
      <c r="X104" s="409" t="n"/>
      <c r="Y104" s="409" t="n"/>
      <c r="Z104" s="409" t="n"/>
      <c r="AA104" s="412" t="n"/>
      <c r="AB104" s="476">
        <f>SaaS!F17</f>
        <v>0.0</v>
      </c>
      <c r="AC104" s="477">
        <f>SaaS!G17</f>
        <v>1.0</v>
      </c>
      <c r="AD104" s="477">
        <f>SaaS!H17</f>
        <v>5.98</v>
      </c>
      <c r="AE104" s="477">
        <f>SaaS!I17</f>
        <v>10.8604</v>
      </c>
      <c r="AF104" s="477">
        <f>SaaS!J17</f>
        <v>15.643192</v>
      </c>
      <c r="AG104" s="409">
        <f>SaaS!K17</f>
        <v>21.33032816</v>
      </c>
      <c r="AH104" s="409">
        <f>SaaS!L17</f>
        <v>26.9037215968</v>
      </c>
      <c r="AI104" s="409">
        <f>SaaS!M17</f>
        <v>32.365647164864</v>
      </c>
      <c r="AJ104" s="409">
        <f>SaaS!N17</f>
        <v>38.7183342215667</v>
      </c>
      <c r="AK104" s="409">
        <f>SaaS!O17</f>
        <v>44.9439675371354</v>
      </c>
      <c r="AL104" s="409">
        <f>SaaS!P17</f>
        <v>51.0450881863927</v>
      </c>
      <c r="AM104" s="412">
        <f>SaaS!Q17</f>
        <v>58.0241864226648</v>
      </c>
      <c r="AN104" s="408">
        <f>SaaS!R17</f>
        <v>64.8637026942115</v>
      </c>
      <c r="AO104" s="409">
        <f>SaaS!S17</f>
        <v>71.5664286403273</v>
      </c>
      <c r="AP104" s="409">
        <f>SaaS!T17</f>
        <v>79.1351000675208</v>
      </c>
      <c r="AQ104" s="409">
        <f>SaaS!U17</f>
        <v>86.5523980661703</v>
      </c>
      <c r="AR104" s="409">
        <f>SaaS!V17</f>
        <v>93.8213501048469</v>
      </c>
      <c r="AS104" s="409">
        <f>SaaS!W17</f>
        <v>101.94492310275</v>
      </c>
      <c r="AT104" s="409">
        <f>SaaS!X17</f>
        <v>109.906024640695</v>
      </c>
      <c r="AU104" s="409">
        <f>SaaS!Y17</f>
        <v>117.707904147881</v>
      </c>
      <c r="AV104" s="409">
        <f>SaaS!Z17</f>
        <v>126.353746064923</v>
      </c>
      <c r="AW104" s="409">
        <f>SaaS!AA17</f>
        <v>134.826671143625</v>
      </c>
      <c r="AX104" s="409">
        <f>SaaS!AB17</f>
        <v>143.130137720753</v>
      </c>
      <c r="AY104" s="412">
        <f>SaaS!AC17</f>
        <v>152.267534966337</v>
      </c>
      <c r="AZ104" s="408">
        <f>SaaS!AD17</f>
        <v>161.983521941842</v>
      </c>
      <c r="BA104" s="409">
        <f>SaaS!AE17</f>
        <v>171.553769112715</v>
      </c>
      <c r="BB104" s="409">
        <f>SaaS!AF17</f>
        <v>181.980462576024</v>
      </c>
      <c r="BC104" s="409">
        <f>SaaS!AG17</f>
        <v>192.250755637384</v>
      </c>
      <c r="BD104" s="409">
        <f>SaaS!AH17</f>
        <v>202.366994302823</v>
      </c>
      <c r="BE104" s="409">
        <f>SaaS!AI17</f>
        <v>213.331489388281</v>
      </c>
      <c r="BF104" s="409">
        <f>SaaS!AJ17</f>
        <v>224.131517047456</v>
      </c>
      <c r="BG104" s="409">
        <f>SaaS!AK17</f>
        <v>234.769544291744</v>
      </c>
      <c r="BH104" s="409">
        <f>SaaS!AL17</f>
        <v>246.248001127368</v>
      </c>
      <c r="BI104" s="409">
        <f>SaaS!AM17</f>
        <v>257.554281110458</v>
      </c>
      <c r="BJ104" s="409">
        <f>SaaS!AN17</f>
        <v>268.690966893801</v>
      </c>
      <c r="BK104" s="412">
        <f>SaaS!AO17</f>
        <v>280.660602390394</v>
      </c>
      <c r="BL104" s="408">
        <f>SaaS!AP17</f>
        <v>292.450693354538</v>
      </c>
      <c r="BM104" s="409">
        <f>SaaS!AQ17</f>
        <v>304.06393295422</v>
      </c>
      <c r="BN104" s="409">
        <f>SaaS!AR17</f>
        <v>316.502973959907</v>
      </c>
      <c r="BO104" s="409">
        <f>SaaS!AS17</f>
        <v>328.755429350508</v>
      </c>
      <c r="BP104" s="409">
        <f>SaaS!AT17</f>
        <v>340.82409791025</v>
      </c>
      <c r="BQ104" s="409">
        <f>SaaS!AU17</f>
        <v>353.711736441597</v>
      </c>
      <c r="BR104" s="409">
        <f>SaaS!AV17</f>
        <v>366.406060394973</v>
      </c>
      <c r="BS104" s="409">
        <f>SaaS!AW17</f>
        <v>378.909969489048</v>
      </c>
      <c r="BT104" s="409">
        <f>SaaS!AX17</f>
        <v>392.226319946712</v>
      </c>
      <c r="BU104" s="409">
        <f>SaaS!AY17</f>
        <v>405.342925147512</v>
      </c>
      <c r="BV104" s="409">
        <f>SaaS!AZ17</f>
        <v>418.262781270299</v>
      </c>
      <c r="BW104" s="412">
        <f>SaaS!BA17</f>
        <v>431.988839551244</v>
      </c>
      <c r="BX104" s="408">
        <f>SaaS!BB17</f>
        <v>447.668951155732</v>
      </c>
      <c r="BY104" s="409">
        <f>SaaS!BC17</f>
        <v>463.192261644175</v>
      </c>
      <c r="BZ104" s="409">
        <f>SaaS!BD17</f>
        <v>479.560339027733</v>
      </c>
      <c r="CA104" s="409">
        <f>SaaS!BE17</f>
        <v>495.764735637456</v>
      </c>
      <c r="CB104" s="409">
        <f>SaaS!BF17</f>
        <v>511.807088281081</v>
      </c>
      <c r="CC104" s="409">
        <f>SaaS!BG17</f>
        <v>528.68901739827</v>
      </c>
      <c r="CD104" s="409">
        <f>SaaS!BH17</f>
        <v>545.402127224288</v>
      </c>
      <c r="CE104" s="409">
        <f>SaaS!BI17</f>
        <v>561.948105952045</v>
      </c>
      <c r="CF104" s="409">
        <f>SaaS!BJ17</f>
        <v>579.328624892524</v>
      </c>
      <c r="CG104" s="409">
        <f>SaaS!BK17</f>
        <v>596.535338643599</v>
      </c>
      <c r="CH104" s="409">
        <f>SaaS!BL17</f>
        <v>613.569985257163</v>
      </c>
      <c r="CI104" s="412">
        <f>SaaS!BM17</f>
        <v>631.434285404591</v>
      </c>
    </row>
    <row r="105" ht="18" customHeight="1" s="145">
      <c r="A105" s="233" t="n"/>
      <c r="B105" s="233" t="inlineStr">
        <is>
          <t>KPI</t>
        </is>
      </c>
      <c r="C105" s="233" t="inlineStr">
        <is>
          <t>SaaS MRR（月次売上）</t>
        </is>
      </c>
      <c r="D105" s="234" t="n"/>
      <c r="E105" s="408">
        <f>INDEX($AB105:$CI105,MATCH(E$4,$AB$3:$CI$3,0)+11)</f>
        <v>2487853.4968435</v>
      </c>
      <c r="F105" s="408">
        <f>INDEX($AB105:$CI105,MATCH(F$4,$AB$3:$CI$3,0)+11)</f>
        <v>6528645.08193729</v>
      </c>
      <c r="G105" s="408">
        <f>INDEX($AB105:$CI105,MATCH(G$4,$AB$3:$CI$3,0)+11)</f>
        <v>12033645.0044633</v>
      </c>
      <c r="H105" s="408">
        <f>INDEX($AB105:$CI105,MATCH(H$4,$AB$3:$CI$3,0)+11)</f>
        <v>18522016.6164214</v>
      </c>
      <c r="I105" s="408">
        <f>INDEX($AB105:$CI105,MATCH(I$4,$AB$3:$CI$3,0)+11)</f>
        <v>27073468.7002363</v>
      </c>
      <c r="J105" s="407">
        <f>I105</f>
        <v>27073468.7002363</v>
      </c>
      <c r="K105" s="407" t="n"/>
      <c r="L105" s="407" t="n"/>
      <c r="M105" s="407" t="n"/>
      <c r="N105" s="407" t="n"/>
      <c r="O105" s="235" t="n"/>
      <c r="P105" s="408" t="n"/>
      <c r="Q105" s="409" t="n"/>
      <c r="R105" s="409" t="n"/>
      <c r="S105" s="409" t="n"/>
      <c r="T105" s="409" t="n"/>
      <c r="U105" s="409" t="n"/>
      <c r="V105" s="409" t="n"/>
      <c r="W105" s="409" t="n"/>
      <c r="X105" s="409" t="n"/>
      <c r="Y105" s="409" t="n"/>
      <c r="Z105" s="409" t="n"/>
      <c r="AA105" s="412" t="n"/>
      <c r="AB105" s="476">
        <f>SaaS!F5</f>
        <v>0.0</v>
      </c>
      <c r="AC105" s="477">
        <f>SaaS!G5</f>
        <v>42876.1461422529</v>
      </c>
      <c r="AD105" s="477">
        <f>SaaS!H5</f>
        <v>256399.353930672</v>
      </c>
      <c r="AE105" s="477">
        <f>SaaS!I5</f>
        <v>465652.097563323</v>
      </c>
      <c r="AF105" s="477">
        <f>SaaS!J5</f>
        <v>670719.786323322</v>
      </c>
      <c r="AG105" s="409">
        <f>SaaS!K5</f>
        <v>914562.267450373</v>
      </c>
      <c r="AH105" s="409">
        <f>SaaS!L5</f>
        <v>1153527.89895488</v>
      </c>
      <c r="AI105" s="409">
        <f>SaaS!M5</f>
        <v>1387714.2178293</v>
      </c>
      <c r="AJ105" s="409">
        <f>SaaS!N5</f>
        <v>1660092.95646849</v>
      </c>
      <c r="AK105" s="409">
        <f>SaaS!O5</f>
        <v>1927024.12033489</v>
      </c>
      <c r="AL105" s="409">
        <f>SaaS!P5</f>
        <v>2188616.66092396</v>
      </c>
      <c r="AM105" s="412">
        <f>SaaS!Q5</f>
        <v>2487853.4968435</v>
      </c>
      <c r="AN105" s="408">
        <f>SaaS!R5</f>
        <v>2781105.59604466</v>
      </c>
      <c r="AO105" s="409">
        <f>SaaS!S5</f>
        <v>3068492.65326179</v>
      </c>
      <c r="AP105" s="409">
        <f>SaaS!T5</f>
        <v>3393008.11547683</v>
      </c>
      <c r="AQ105" s="409">
        <f>SaaS!U5</f>
        <v>3711033.26844757</v>
      </c>
      <c r="AR105" s="409">
        <f>SaaS!V5</f>
        <v>4022697.91835889</v>
      </c>
      <c r="AS105" s="409">
        <f>SaaS!W5</f>
        <v>4371005.42141424</v>
      </c>
      <c r="AT105" s="409">
        <f>SaaS!X5</f>
        <v>4712346.77440849</v>
      </c>
      <c r="AU105" s="409">
        <f>SaaS!Y5</f>
        <v>5046861.30034285</v>
      </c>
      <c r="AV105" s="409">
        <f>SaaS!Z5</f>
        <v>5417561.68190077</v>
      </c>
      <c r="AW105" s="409">
        <f>SaaS!AA5</f>
        <v>5780848.05582754</v>
      </c>
      <c r="AX105" s="409">
        <f>SaaS!AB5</f>
        <v>6136868.70227577</v>
      </c>
      <c r="AY105" s="412">
        <f>SaaS!AC5</f>
        <v>6528645.08193729</v>
      </c>
      <c r="AZ105" s="408">
        <f>SaaS!AD5</f>
        <v>6945229.15941526</v>
      </c>
      <c r="BA105" s="409">
        <f>SaaS!AE5</f>
        <v>7355564.47573107</v>
      </c>
      <c r="BB105" s="409">
        <f>SaaS!AF5</f>
        <v>7802620.90844439</v>
      </c>
      <c r="BC105" s="409">
        <f>SaaS!AG5</f>
        <v>8242971.49466701</v>
      </c>
      <c r="BD105" s="409">
        <f>SaaS!AH5</f>
        <v>8676716.8220963</v>
      </c>
      <c r="BE105" s="409">
        <f>SaaS!AI5</f>
        <v>9146832.11575639</v>
      </c>
      <c r="BF105" s="409">
        <f>SaaS!AJ5</f>
        <v>9609895.68001159</v>
      </c>
      <c r="BG105" s="409">
        <f>SaaS!AK5</f>
        <v>10066013.290803</v>
      </c>
      <c r="BH105" s="409">
        <f>SaaS!AL5</f>
        <v>10558165.2835747</v>
      </c>
      <c r="BI105" s="409">
        <f>SaaS!AM5</f>
        <v>11042934.9964549</v>
      </c>
      <c r="BJ105" s="409">
        <f>SaaS!AN5</f>
        <v>11520433.1636418</v>
      </c>
      <c r="BK105" s="412">
        <f>SaaS!AO5</f>
        <v>12033645.0044633</v>
      </c>
      <c r="BL105" s="408">
        <f>SaaS!AP5</f>
        <v>12539158.6676724</v>
      </c>
      <c r="BM105" s="409">
        <f>SaaS!AQ5</f>
        <v>13037089.6259333</v>
      </c>
      <c r="BN105" s="409">
        <f>SaaS!AR5</f>
        <v>13570427.7659626</v>
      </c>
      <c r="BO105" s="409">
        <f>SaaS!AS5</f>
        <v>14095765.8338915</v>
      </c>
      <c r="BP105" s="409">
        <f>SaaS!AT5</f>
        <v>14613223.8308014</v>
      </c>
      <c r="BQ105" s="409">
        <f>SaaS!AU5</f>
        <v>15165796.1038999</v>
      </c>
      <c r="BR105" s="409">
        <f>SaaS!AV5</f>
        <v>15710079.792902</v>
      </c>
      <c r="BS105" s="409">
        <f>SaaS!AW5</f>
        <v>16246199.226569</v>
      </c>
      <c r="BT105" s="409">
        <f>SaaS!AX5</f>
        <v>16817153.0148733</v>
      </c>
      <c r="BU105" s="409">
        <f>SaaS!AY5</f>
        <v>17379542.496353</v>
      </c>
      <c r="BV105" s="409">
        <f>SaaS!AZ5</f>
        <v>17933496.1356105</v>
      </c>
      <c r="BW105" s="412">
        <f>SaaS!BA5</f>
        <v>18522016.6164214</v>
      </c>
      <c r="BX105" s="408">
        <f>SaaS!BB5</f>
        <v>19194319.3731022</v>
      </c>
      <c r="BY105" s="409">
        <f>SaaS!BC5</f>
        <v>19859899.1022163</v>
      </c>
      <c r="BZ105" s="409">
        <f>SaaS!BD5</f>
        <v>20561699.1801814</v>
      </c>
      <c r="CA105" s="409">
        <f>SaaS!BE5</f>
        <v>21256481.2573669</v>
      </c>
      <c r="CB105" s="409">
        <f>SaaS!BF5</f>
        <v>21944315.5137806</v>
      </c>
      <c r="CC105" s="409">
        <f>SaaS!BG5</f>
        <v>22668147.5737723</v>
      </c>
      <c r="CD105" s="409">
        <f>SaaS!BH5</f>
        <v>23384741.3131642</v>
      </c>
      <c r="CE105" s="409">
        <f>SaaS!BI5</f>
        <v>24094169.1151621</v>
      </c>
      <c r="CF105" s="409">
        <f>SaaS!BJ5</f>
        <v>24839378.7852823</v>
      </c>
      <c r="CG105" s="409">
        <f>SaaS!BK5</f>
        <v>25577136.3587013</v>
      </c>
      <c r="CH105" s="409">
        <f>SaaS!BL5</f>
        <v>26307516.3563861</v>
      </c>
      <c r="CI105" s="412">
        <f>SaaS!BM5</f>
        <v>27073468.7002363</v>
      </c>
    </row>
    <row r="106" ht="18" customHeight="1" s="145">
      <c r="A106" s="233" t="n"/>
      <c r="B106" s="233" t="inlineStr">
        <is>
          <t>KPI</t>
        </is>
      </c>
      <c r="C106" s="233" t="inlineStr">
        <is>
          <t>SaaS ARR（MRR×12）</t>
        </is>
      </c>
      <c r="D106" s="234" t="n"/>
      <c r="E106" s="408">
        <f>INDEX($AB106:$CI106,MATCH(E$4,$AB$3:$CI$3,0)+11)</f>
        <v>29854241.962122</v>
      </c>
      <c r="F106" s="408">
        <f>INDEX($AB106:$CI106,MATCH(F$4,$AB$3:$CI$3,0)+11)</f>
        <v>78343740.9832475</v>
      </c>
      <c r="G106" s="408">
        <f>INDEX($AB106:$CI106,MATCH(G$4,$AB$3:$CI$3,0)+11)</f>
        <v>144403740.053559</v>
      </c>
      <c r="H106" s="408">
        <f>INDEX($AB106:$CI106,MATCH(H$4,$AB$3:$CI$3,0)+11)</f>
        <v>222264199.397057</v>
      </c>
      <c r="I106" s="408">
        <f>INDEX($AB106:$CI106,MATCH(I$4,$AB$3:$CI$3,0)+11)</f>
        <v>324881624.402835</v>
      </c>
      <c r="J106" s="407">
        <f>I106</f>
        <v>324881624.402835</v>
      </c>
      <c r="K106" s="407" t="n"/>
      <c r="L106" s="407" t="n"/>
      <c r="M106" s="407" t="n"/>
      <c r="N106" s="407" t="n"/>
      <c r="O106" s="235" t="n"/>
      <c r="P106" s="408" t="n"/>
      <c r="Q106" s="409" t="n"/>
      <c r="R106" s="409" t="n"/>
      <c r="S106" s="409" t="n"/>
      <c r="T106" s="409" t="n"/>
      <c r="U106" s="409" t="n"/>
      <c r="V106" s="409" t="n"/>
      <c r="W106" s="409" t="n"/>
      <c r="X106" s="409" t="n"/>
      <c r="Y106" s="409" t="n"/>
      <c r="Z106" s="409" t="n"/>
      <c r="AA106" s="412" t="n"/>
      <c r="AB106" s="476">
        <f>AB105*12</f>
        <v>0.0</v>
      </c>
      <c r="AC106" s="477">
        <f>AC105*12</f>
        <v>514513.753707035</v>
      </c>
      <c r="AD106" s="477">
        <f>AD105*12</f>
        <v>3076792.24716807</v>
      </c>
      <c r="AE106" s="477">
        <f>AE105*12</f>
        <v>5587825.17075988</v>
      </c>
      <c r="AF106" s="477">
        <f>AF105*12</f>
        <v>8048637.43587986</v>
      </c>
      <c r="AG106" s="409">
        <f>AG105*12</f>
        <v>10974747.2094045</v>
      </c>
      <c r="AH106" s="409">
        <f>AH105*12</f>
        <v>13842334.7874586</v>
      </c>
      <c r="AI106" s="409">
        <f>AI105*12</f>
        <v>16652570.6139516</v>
      </c>
      <c r="AJ106" s="409">
        <f>AJ105*12</f>
        <v>19921115.4776218</v>
      </c>
      <c r="AK106" s="409">
        <f>AK105*12</f>
        <v>23124289.4440186</v>
      </c>
      <c r="AL106" s="409">
        <f>AL105*12</f>
        <v>26263399.9310875</v>
      </c>
      <c r="AM106" s="412">
        <f>AM105*12</f>
        <v>29854241.962122</v>
      </c>
      <c r="AN106" s="408">
        <f>AN105*12</f>
        <v>33373267.1525359</v>
      </c>
      <c r="AO106" s="409">
        <f>AO105*12</f>
        <v>36821911.8391414</v>
      </c>
      <c r="AP106" s="409">
        <f>AP105*12</f>
        <v>40716097.3857219</v>
      </c>
      <c r="AQ106" s="409">
        <f>AQ105*12</f>
        <v>44532399.2213708</v>
      </c>
      <c r="AR106" s="409">
        <f>AR105*12</f>
        <v>48272375.0203067</v>
      </c>
      <c r="AS106" s="409">
        <f>AS105*12</f>
        <v>52452065.0569709</v>
      </c>
      <c r="AT106" s="409">
        <f>AT105*12</f>
        <v>56548161.2929019</v>
      </c>
      <c r="AU106" s="409">
        <f>AU105*12</f>
        <v>60562335.6041142</v>
      </c>
      <c r="AV106" s="409">
        <f>AV105*12</f>
        <v>65010740.1828093</v>
      </c>
      <c r="AW106" s="409">
        <f>AW105*12</f>
        <v>69370176.6699305</v>
      </c>
      <c r="AX106" s="409">
        <f>AX105*12</f>
        <v>73642424.4273092</v>
      </c>
      <c r="AY106" s="412">
        <f>AY105*12</f>
        <v>78343740.9832475</v>
      </c>
      <c r="AZ106" s="408">
        <f>AZ105*12</f>
        <v>83342749.9129832</v>
      </c>
      <c r="BA106" s="409">
        <f>BA105*12</f>
        <v>88266773.7087728</v>
      </c>
      <c r="BB106" s="409">
        <f>BB105*12</f>
        <v>93631450.9013327</v>
      </c>
      <c r="BC106" s="409">
        <f>BC105*12</f>
        <v>98915657.9360042</v>
      </c>
      <c r="BD106" s="409">
        <f>BD105*12</f>
        <v>104120601.865156</v>
      </c>
      <c r="BE106" s="409">
        <f>BE105*12</f>
        <v>109761985.389077</v>
      </c>
      <c r="BF106" s="409">
        <f>BF105*12</f>
        <v>115318748.160139</v>
      </c>
      <c r="BG106" s="409">
        <f>BG105*12</f>
        <v>120792159.489635</v>
      </c>
      <c r="BH106" s="409">
        <f>BH105*12</f>
        <v>126697983.402896</v>
      </c>
      <c r="BI106" s="409">
        <f>BI105*12</f>
        <v>132515219.957459</v>
      </c>
      <c r="BJ106" s="409">
        <f>BJ105*12</f>
        <v>138245197.963702</v>
      </c>
      <c r="BK106" s="412">
        <f>BK105*12</f>
        <v>144403740.053559</v>
      </c>
      <c r="BL106" s="408">
        <f>BL105*12</f>
        <v>150469904.012068</v>
      </c>
      <c r="BM106" s="409">
        <f>BM105*12</f>
        <v>156445075.5112</v>
      </c>
      <c r="BN106" s="409">
        <f>BN105*12</f>
        <v>162845133.191551</v>
      </c>
      <c r="BO106" s="409">
        <f>BO105*12</f>
        <v>169149190.006698</v>
      </c>
      <c r="BP106" s="409">
        <f>BP105*12</f>
        <v>175358685.969617</v>
      </c>
      <c r="BQ106" s="409">
        <f>BQ105*12</f>
        <v>181989553.246799</v>
      </c>
      <c r="BR106" s="409">
        <f>BR105*12</f>
        <v>188520957.514824</v>
      </c>
      <c r="BS106" s="409">
        <f>BS105*12</f>
        <v>194954390.718828</v>
      </c>
      <c r="BT106" s="409">
        <f>BT105*12</f>
        <v>201805836.178479</v>
      </c>
      <c r="BU106" s="409">
        <f>BU105*12</f>
        <v>208554509.956236</v>
      </c>
      <c r="BV106" s="409">
        <f>BV105*12</f>
        <v>215201953.627326</v>
      </c>
      <c r="BW106" s="412">
        <f>BW105*12</f>
        <v>222264199.397057</v>
      </c>
      <c r="BX106" s="408">
        <f>BX105*12</f>
        <v>230331832.477227</v>
      </c>
      <c r="BY106" s="409">
        <f>BY105*12</f>
        <v>238318789.226595</v>
      </c>
      <c r="BZ106" s="409">
        <f>BZ105*12</f>
        <v>246740390.162177</v>
      </c>
      <c r="CA106" s="409">
        <f>CA105*12</f>
        <v>255077775.088403</v>
      </c>
      <c r="CB106" s="409">
        <f>CB105*12</f>
        <v>263331786.165367</v>
      </c>
      <c r="CC106" s="409">
        <f>CC105*12</f>
        <v>272017770.885268</v>
      </c>
      <c r="CD106" s="409">
        <f>CD105*12</f>
        <v>280616895.75797</v>
      </c>
      <c r="CE106" s="409">
        <f>CE105*12</f>
        <v>289130029.381945</v>
      </c>
      <c r="CF106" s="409">
        <f>CF105*12</f>
        <v>298072545.423387</v>
      </c>
      <c r="CG106" s="409">
        <f>CG105*12</f>
        <v>306925636.304415</v>
      </c>
      <c r="CH106" s="409">
        <f>CH105*12</f>
        <v>315690196.276633</v>
      </c>
      <c r="CI106" s="412">
        <f>CI105*12</f>
        <v>324881624.402835</v>
      </c>
    </row>
    <row r="107" ht="18" customHeight="1" s="145">
      <c r="A107" s="233" t="n"/>
      <c r="B107" s="233" t="inlineStr">
        <is>
          <t>KPI</t>
        </is>
      </c>
      <c r="C107" s="233" t="inlineStr">
        <is>
          <t>SaaS ARPA（MRR÷契約事務所）</t>
        </is>
      </c>
      <c r="D107" s="234" t="n"/>
      <c r="E107" s="408">
        <f>IFERROR(E105/E104,0)</f>
        <v>42876.1461422529</v>
      </c>
      <c r="F107" s="408">
        <f>IFERROR(F105/F104,0)</f>
        <v>42876.1461422529</v>
      </c>
      <c r="G107" s="408">
        <f>IFERROR(G105/G104,0)</f>
        <v>42876.1461422529</v>
      </c>
      <c r="H107" s="408">
        <f>IFERROR(H105/H104,0)</f>
        <v>42876.1461422529</v>
      </c>
      <c r="I107" s="408">
        <f>IFERROR(I105/I104,0)</f>
        <v>42876.1461422529</v>
      </c>
      <c r="J107" s="407">
        <f>I107</f>
        <v>42876.1461422529</v>
      </c>
      <c r="K107" s="407" t="n"/>
      <c r="L107" s="407" t="n"/>
      <c r="M107" s="407" t="n"/>
      <c r="N107" s="407" t="n"/>
      <c r="O107" s="235" t="n"/>
      <c r="P107" s="408" t="n"/>
      <c r="Q107" s="409" t="n"/>
      <c r="R107" s="409" t="n"/>
      <c r="S107" s="409" t="n"/>
      <c r="T107" s="409" t="n"/>
      <c r="U107" s="409" t="n"/>
      <c r="V107" s="409" t="n"/>
      <c r="W107" s="409" t="n"/>
      <c r="X107" s="409" t="n"/>
      <c r="Y107" s="409" t="n"/>
      <c r="Z107" s="409" t="n"/>
      <c r="AA107" s="412" t="n"/>
      <c r="AB107" s="476">
        <f>IFERROR(AB105/AB104,0)</f>
        <v>0.0</v>
      </c>
      <c r="AC107" s="477">
        <f>IFERROR(AC105/AC104,0)</f>
        <v>42876.1461422529</v>
      </c>
      <c r="AD107" s="477">
        <f>IFERROR(AD105/AD104,0)</f>
        <v>42876.1461422529</v>
      </c>
      <c r="AE107" s="477">
        <f>IFERROR(AE105/AE104,0)</f>
        <v>42876.1461422529</v>
      </c>
      <c r="AF107" s="477">
        <f>IFERROR(AF105/AF104,0)</f>
        <v>42876.1461422529</v>
      </c>
      <c r="AG107" s="409">
        <f>IFERROR(AG105/AG104,0)</f>
        <v>42876.1461422529</v>
      </c>
      <c r="AH107" s="409">
        <f>IFERROR(AH105/AH104,0)</f>
        <v>42876.1461422529</v>
      </c>
      <c r="AI107" s="409">
        <f>IFERROR(AI105/AI104,0)</f>
        <v>42876.1461422529</v>
      </c>
      <c r="AJ107" s="409">
        <f>IFERROR(AJ105/AJ104,0)</f>
        <v>42876.1461422529</v>
      </c>
      <c r="AK107" s="409">
        <f>IFERROR(AK105/AK104,0)</f>
        <v>42876.1461422529</v>
      </c>
      <c r="AL107" s="409">
        <f>IFERROR(AL105/AL104,0)</f>
        <v>42876.1461422529</v>
      </c>
      <c r="AM107" s="412">
        <f>IFERROR(AM105/AM104,0)</f>
        <v>42876.1461422529</v>
      </c>
      <c r="AN107" s="408">
        <f>IFERROR(AN105/AN104,0)</f>
        <v>42876.1461422529</v>
      </c>
      <c r="AO107" s="409">
        <f>IFERROR(AO105/AO104,0)</f>
        <v>42876.1461422529</v>
      </c>
      <c r="AP107" s="409">
        <f>IFERROR(AP105/AP104,0)</f>
        <v>42876.1461422529</v>
      </c>
      <c r="AQ107" s="409">
        <f>IFERROR(AQ105/AQ104,0)</f>
        <v>42876.1461422529</v>
      </c>
      <c r="AR107" s="409">
        <f>IFERROR(AR105/AR104,0)</f>
        <v>42876.1461422529</v>
      </c>
      <c r="AS107" s="409">
        <f>IFERROR(AS105/AS104,0)</f>
        <v>42876.1461422529</v>
      </c>
      <c r="AT107" s="409">
        <f>IFERROR(AT105/AT104,0)</f>
        <v>42876.1461422529</v>
      </c>
      <c r="AU107" s="409">
        <f>IFERROR(AU105/AU104,0)</f>
        <v>42876.1461422529</v>
      </c>
      <c r="AV107" s="409">
        <f>IFERROR(AV105/AV104,0)</f>
        <v>42876.1461422529</v>
      </c>
      <c r="AW107" s="409">
        <f>IFERROR(AW105/AW104,0)</f>
        <v>42876.1461422529</v>
      </c>
      <c r="AX107" s="409">
        <f>IFERROR(AX105/AX104,0)</f>
        <v>42876.1461422529</v>
      </c>
      <c r="AY107" s="412">
        <f>IFERROR(AY105/AY104,0)</f>
        <v>42876.1461422529</v>
      </c>
      <c r="AZ107" s="408">
        <f>IFERROR(AZ105/AZ104,0)</f>
        <v>42876.1461422529</v>
      </c>
      <c r="BA107" s="409">
        <f>IFERROR(BA105/BA104,0)</f>
        <v>42876.1461422529</v>
      </c>
      <c r="BB107" s="409">
        <f>IFERROR(BB105/BB104,0)</f>
        <v>42876.1461422529</v>
      </c>
      <c r="BC107" s="409">
        <f>IFERROR(BC105/BC104,0)</f>
        <v>42876.1461422529</v>
      </c>
      <c r="BD107" s="409">
        <f>IFERROR(BD105/BD104,0)</f>
        <v>42876.1461422529</v>
      </c>
      <c r="BE107" s="409">
        <f>IFERROR(BE105/BE104,0)</f>
        <v>42876.1461422529</v>
      </c>
      <c r="BF107" s="409">
        <f>IFERROR(BF105/BF104,0)</f>
        <v>42876.1461422529</v>
      </c>
      <c r="BG107" s="409">
        <f>IFERROR(BG105/BG104,0)</f>
        <v>42876.1461422529</v>
      </c>
      <c r="BH107" s="409">
        <f>IFERROR(BH105/BH104,0)</f>
        <v>42876.1461422529</v>
      </c>
      <c r="BI107" s="409">
        <f>IFERROR(BI105/BI104,0)</f>
        <v>42876.1461422529</v>
      </c>
      <c r="BJ107" s="409">
        <f>IFERROR(BJ105/BJ104,0)</f>
        <v>42876.1461422529</v>
      </c>
      <c r="BK107" s="412">
        <f>IFERROR(BK105/BK104,0)</f>
        <v>42876.1461422529</v>
      </c>
      <c r="BL107" s="408">
        <f>IFERROR(BL105/BL104,0)</f>
        <v>42876.1461422529</v>
      </c>
      <c r="BM107" s="409">
        <f>IFERROR(BM105/BM104,0)</f>
        <v>42876.1461422529</v>
      </c>
      <c r="BN107" s="409">
        <f>IFERROR(BN105/BN104,0)</f>
        <v>42876.1461422529</v>
      </c>
      <c r="BO107" s="409">
        <f>IFERROR(BO105/BO104,0)</f>
        <v>42876.1461422529</v>
      </c>
      <c r="BP107" s="409">
        <f>IFERROR(BP105/BP104,0)</f>
        <v>42876.1461422529</v>
      </c>
      <c r="BQ107" s="409">
        <f>IFERROR(BQ105/BQ104,0)</f>
        <v>42876.1461422529</v>
      </c>
      <c r="BR107" s="409">
        <f>IFERROR(BR105/BR104,0)</f>
        <v>42876.1461422529</v>
      </c>
      <c r="BS107" s="409">
        <f>IFERROR(BS105/BS104,0)</f>
        <v>42876.1461422529</v>
      </c>
      <c r="BT107" s="409">
        <f>IFERROR(BT105/BT104,0)</f>
        <v>42876.1461422529</v>
      </c>
      <c r="BU107" s="409">
        <f>IFERROR(BU105/BU104,0)</f>
        <v>42876.1461422529</v>
      </c>
      <c r="BV107" s="409">
        <f>IFERROR(BV105/BV104,0)</f>
        <v>42876.1461422529</v>
      </c>
      <c r="BW107" s="412">
        <f>IFERROR(BW105/BW104,0)</f>
        <v>42876.1461422529</v>
      </c>
      <c r="BX107" s="408">
        <f>IFERROR(BX105/BX104,0)</f>
        <v>42876.1461422529</v>
      </c>
      <c r="BY107" s="409">
        <f>IFERROR(BY105/BY104,0)</f>
        <v>42876.1461422529</v>
      </c>
      <c r="BZ107" s="409">
        <f>IFERROR(BZ105/BZ104,0)</f>
        <v>42876.1461422529</v>
      </c>
      <c r="CA107" s="409">
        <f>IFERROR(CA105/CA104,0)</f>
        <v>42876.1461422529</v>
      </c>
      <c r="CB107" s="409">
        <f>IFERROR(CB105/CB104,0)</f>
        <v>42876.1461422529</v>
      </c>
      <c r="CC107" s="409">
        <f>IFERROR(CC105/CC104,0)</f>
        <v>42876.1461422529</v>
      </c>
      <c r="CD107" s="409">
        <f>IFERROR(CD105/CD104,0)</f>
        <v>42876.1461422529</v>
      </c>
      <c r="CE107" s="409">
        <f>IFERROR(CE105/CE104,0)</f>
        <v>42876.1461422529</v>
      </c>
      <c r="CF107" s="409">
        <f>IFERROR(CF105/CF104,0)</f>
        <v>42876.1461422529</v>
      </c>
      <c r="CG107" s="409">
        <f>IFERROR(CG105/CG104,0)</f>
        <v>42876.1461422529</v>
      </c>
      <c r="CH107" s="409">
        <f>IFERROR(CH105/CH104,0)</f>
        <v>42876.1461422529</v>
      </c>
      <c r="CI107" s="412">
        <f>IFERROR(CI105/CI104,0)</f>
        <v>42876.1461422529</v>
      </c>
    </row>
    <row r="108" ht="18" customHeight="1" s="145">
      <c r="A108" s="233" t="n"/>
      <c r="B108" s="233" t="n"/>
      <c r="C108" s="233" t="n"/>
      <c r="D108" s="234" t="n"/>
      <c r="J108" s="234" t="n"/>
      <c r="K108" s="234" t="n"/>
      <c r="L108" s="234" t="n"/>
      <c r="M108" s="234" t="n"/>
      <c r="N108" s="234" t="n"/>
      <c r="O108" s="235" t="n"/>
    </row>
    <row r="109" ht="18" customHeight="1" s="145">
      <c r="A109" s="300" t="inlineStr">
        <is>
          <t>■ 法人税等の計算（年次・繰越欠損金考慮）</t>
        </is>
      </c>
      <c r="B109" s="300" t="n"/>
      <c r="C109" s="300" t="n"/>
      <c r="D109" s="309" t="n"/>
      <c r="E109" s="437" t="n"/>
      <c r="F109" s="438" t="n"/>
      <c r="G109" s="438" t="n"/>
      <c r="H109" s="438" t="n"/>
      <c r="I109" s="438" t="n"/>
      <c r="J109" s="436" t="n"/>
      <c r="K109" s="436" t="n"/>
      <c r="L109" s="436" t="n"/>
      <c r="M109" s="436" t="n"/>
      <c r="N109" s="436" t="n"/>
      <c r="O109" s="235" t="n"/>
      <c r="P109" s="437" t="n"/>
      <c r="Q109" s="438" t="n"/>
      <c r="R109" s="438" t="n"/>
      <c r="S109" s="438" t="n"/>
      <c r="T109" s="438" t="n"/>
      <c r="U109" s="438" t="n"/>
      <c r="V109" s="438" t="n"/>
      <c r="W109" s="438" t="n"/>
      <c r="X109" s="438" t="n"/>
      <c r="Y109" s="438" t="n"/>
      <c r="Z109" s="438" t="n"/>
      <c r="AA109" s="439" t="n"/>
      <c r="AB109" s="487" t="n"/>
      <c r="AC109" s="436" t="n"/>
      <c r="AD109" s="436" t="n"/>
      <c r="AE109" s="436" t="n"/>
      <c r="AF109" s="436" t="n"/>
      <c r="AG109" s="438" t="n"/>
      <c r="AH109" s="438" t="n"/>
      <c r="AI109" s="438" t="n"/>
      <c r="AJ109" s="438" t="n"/>
      <c r="AK109" s="438" t="n"/>
      <c r="AL109" s="438" t="n"/>
      <c r="AM109" s="439" t="n"/>
      <c r="AN109" s="437" t="n"/>
      <c r="AO109" s="438" t="n"/>
      <c r="AP109" s="438" t="n"/>
      <c r="AQ109" s="438" t="n"/>
      <c r="AR109" s="438" t="n"/>
      <c r="AS109" s="438" t="n"/>
      <c r="AT109" s="438" t="n"/>
      <c r="AU109" s="438" t="n"/>
      <c r="AV109" s="438" t="n"/>
      <c r="AW109" s="438" t="n"/>
      <c r="AX109" s="438" t="n"/>
      <c r="AY109" s="439" t="n"/>
      <c r="AZ109" s="437" t="n"/>
      <c r="BA109" s="438" t="n"/>
      <c r="BB109" s="438" t="n"/>
      <c r="BC109" s="438" t="n"/>
      <c r="BD109" s="438" t="n"/>
      <c r="BE109" s="438" t="n"/>
      <c r="BF109" s="438" t="n"/>
      <c r="BG109" s="438" t="n"/>
      <c r="BH109" s="438" t="n"/>
      <c r="BI109" s="438" t="n"/>
      <c r="BJ109" s="438" t="n"/>
      <c r="BK109" s="439" t="n"/>
      <c r="BL109" s="437" t="n"/>
      <c r="BM109" s="438" t="n"/>
      <c r="BN109" s="438" t="n"/>
      <c r="BO109" s="438" t="n"/>
      <c r="BP109" s="438" t="n"/>
      <c r="BQ109" s="438" t="n"/>
      <c r="BR109" s="438" t="n"/>
      <c r="BS109" s="438" t="n"/>
      <c r="BT109" s="438" t="n"/>
      <c r="BU109" s="438" t="n"/>
      <c r="BV109" s="438" t="n"/>
      <c r="BW109" s="439" t="n"/>
      <c r="BX109" s="437" t="n"/>
      <c r="BY109" s="438" t="n"/>
      <c r="BZ109" s="438" t="n"/>
      <c r="CA109" s="438" t="n"/>
      <c r="CB109" s="438" t="n"/>
      <c r="CC109" s="438" t="n"/>
      <c r="CD109" s="438" t="n"/>
      <c r="CE109" s="438" t="n"/>
      <c r="CF109" s="438" t="n"/>
      <c r="CG109" s="438" t="n"/>
      <c r="CH109" s="438" t="n"/>
      <c r="CI109" s="439" t="n"/>
    </row>
    <row r="110" ht="18" customHeight="1" s="145">
      <c r="A110" s="233" t="n"/>
      <c r="B110" s="233" t="n"/>
      <c r="C110" s="233" t="inlineStr">
        <is>
          <t>期首繰越欠損金</t>
        </is>
      </c>
      <c r="D110" s="234" t="inlineStr">
        <is>
          <t>円</t>
        </is>
      </c>
      <c r="E110" s="408">
        <f>販管費予算!E39</f>
        <v>0.0</v>
      </c>
      <c r="F110" s="408">
        <f>E114</f>
        <v>33249571.1899109</v>
      </c>
      <c r="G110" s="408">
        <f>F114</f>
        <v>45155567.4499472</v>
      </c>
      <c r="H110" s="408">
        <f>G114</f>
        <v>49302061.2215772</v>
      </c>
      <c r="I110" s="408">
        <f>H114</f>
        <v>44957561.0735267</v>
      </c>
      <c r="J110" s="407" t="n"/>
      <c r="K110" s="407" t="n"/>
      <c r="L110" s="407" t="n"/>
      <c r="M110" s="407" t="n"/>
      <c r="N110" s="407" t="n"/>
      <c r="O110" s="235" t="n"/>
      <c r="P110" s="408" t="n"/>
      <c r="Q110" s="409" t="n"/>
      <c r="R110" s="409" t="n"/>
      <c r="S110" s="409" t="n"/>
      <c r="T110" s="409" t="n"/>
      <c r="U110" s="409" t="n"/>
      <c r="V110" s="409" t="n"/>
      <c r="W110" s="409" t="n"/>
      <c r="X110" s="409" t="n"/>
      <c r="Y110" s="409" t="n"/>
      <c r="Z110" s="409" t="n"/>
      <c r="AA110" s="412" t="n"/>
      <c r="AB110" s="476" t="n"/>
      <c r="AC110" s="477" t="n"/>
      <c r="AD110" s="477" t="n"/>
      <c r="AE110" s="477" t="n"/>
      <c r="AF110" s="477" t="n"/>
      <c r="AG110" s="409" t="n"/>
      <c r="AH110" s="409" t="n"/>
      <c r="AI110" s="409" t="n"/>
      <c r="AJ110" s="409" t="n"/>
      <c r="AK110" s="409" t="n"/>
      <c r="AL110" s="409" t="n"/>
      <c r="AM110" s="412" t="n"/>
      <c r="AN110" s="408" t="n"/>
      <c r="AO110" s="409" t="n"/>
      <c r="AP110" s="409" t="n"/>
      <c r="AQ110" s="409" t="n"/>
      <c r="AR110" s="409" t="n"/>
      <c r="AS110" s="409" t="n"/>
      <c r="AT110" s="409" t="n"/>
      <c r="AU110" s="409" t="n"/>
      <c r="AV110" s="409" t="n"/>
      <c r="AW110" s="409" t="n"/>
      <c r="AX110" s="409" t="n"/>
      <c r="AY110" s="412" t="n"/>
      <c r="AZ110" s="408" t="n"/>
      <c r="BA110" s="409" t="n"/>
      <c r="BB110" s="409" t="n"/>
      <c r="BC110" s="409" t="n"/>
      <c r="BD110" s="409" t="n"/>
      <c r="BE110" s="409" t="n"/>
      <c r="BF110" s="409" t="n"/>
      <c r="BG110" s="409" t="n"/>
      <c r="BH110" s="409" t="n"/>
      <c r="BI110" s="409" t="n"/>
      <c r="BJ110" s="409" t="n"/>
      <c r="BK110" s="412" t="n"/>
      <c r="BL110" s="408" t="n"/>
      <c r="BM110" s="409" t="n"/>
      <c r="BN110" s="409" t="n"/>
      <c r="BO110" s="409" t="n"/>
      <c r="BP110" s="409" t="n"/>
      <c r="BQ110" s="409" t="n"/>
      <c r="BR110" s="409" t="n"/>
      <c r="BS110" s="409" t="n"/>
      <c r="BT110" s="409" t="n"/>
      <c r="BU110" s="409" t="n"/>
      <c r="BV110" s="409" t="n"/>
      <c r="BW110" s="412" t="n"/>
      <c r="BX110" s="408" t="n"/>
      <c r="BY110" s="409" t="n"/>
      <c r="BZ110" s="409" t="n"/>
      <c r="CA110" s="409" t="n"/>
      <c r="CB110" s="409" t="n"/>
      <c r="CC110" s="409" t="n"/>
      <c r="CD110" s="409" t="n"/>
      <c r="CE110" s="409" t="n"/>
      <c r="CF110" s="409" t="n"/>
      <c r="CG110" s="409" t="n"/>
      <c r="CH110" s="409" t="n"/>
      <c r="CI110" s="412" t="n"/>
    </row>
    <row r="111" ht="18" customHeight="1" s="145">
      <c r="A111" s="233" t="n"/>
      <c r="B111" s="233" t="n"/>
      <c r="C111" s="233" t="inlineStr">
        <is>
          <t>欠損金控除額</t>
        </is>
      </c>
      <c r="D111" s="234" t="inlineStr">
        <is>
          <t>円</t>
        </is>
      </c>
      <c r="E111" s="408">
        <f>MIN(E110,MAX(0,E92))</f>
        <v>0.0</v>
      </c>
      <c r="F111" s="408">
        <f>MIN(F110,MAX(0,F92))</f>
        <v>0.0</v>
      </c>
      <c r="G111" s="408">
        <f>MIN(G110,MAX(0,G92))</f>
        <v>0.0</v>
      </c>
      <c r="H111" s="408">
        <f>MIN(H110,MAX(0,H92))</f>
        <v>4344500.14805055</v>
      </c>
      <c r="I111" s="408">
        <f>MIN(I110,MAX(0,I92))</f>
        <v>0.0</v>
      </c>
      <c r="J111" s="407" t="n"/>
      <c r="K111" s="407" t="n"/>
      <c r="L111" s="407" t="n"/>
      <c r="M111" s="407" t="n"/>
      <c r="N111" s="407" t="n"/>
      <c r="O111" s="235" t="n"/>
      <c r="P111" s="408" t="n"/>
      <c r="Q111" s="409" t="n"/>
      <c r="R111" s="409" t="n"/>
      <c r="S111" s="409" t="n"/>
      <c r="T111" s="409" t="n"/>
      <c r="U111" s="409" t="n"/>
      <c r="V111" s="409" t="n"/>
      <c r="W111" s="409" t="n"/>
      <c r="X111" s="409" t="n"/>
      <c r="Y111" s="409" t="n"/>
      <c r="Z111" s="409" t="n"/>
      <c r="AA111" s="412" t="n"/>
      <c r="AB111" s="476" t="n"/>
      <c r="AC111" s="477" t="n"/>
      <c r="AD111" s="477" t="n"/>
      <c r="AE111" s="477" t="n"/>
      <c r="AF111" s="477" t="n"/>
      <c r="AG111" s="409" t="n"/>
      <c r="AH111" s="409" t="n"/>
      <c r="AI111" s="409" t="n"/>
      <c r="AJ111" s="409" t="n"/>
      <c r="AK111" s="409" t="n"/>
      <c r="AL111" s="409" t="n"/>
      <c r="AM111" s="412" t="n"/>
      <c r="AN111" s="408" t="n"/>
      <c r="AO111" s="409" t="n"/>
      <c r="AP111" s="409" t="n"/>
      <c r="AQ111" s="409" t="n"/>
      <c r="AR111" s="409" t="n"/>
      <c r="AS111" s="409" t="n"/>
      <c r="AT111" s="409" t="n"/>
      <c r="AU111" s="409" t="n"/>
      <c r="AV111" s="409" t="n"/>
      <c r="AW111" s="409" t="n"/>
      <c r="AX111" s="409" t="n"/>
      <c r="AY111" s="412" t="n"/>
      <c r="AZ111" s="408" t="n"/>
      <c r="BA111" s="409" t="n"/>
      <c r="BB111" s="409" t="n"/>
      <c r="BC111" s="409" t="n"/>
      <c r="BD111" s="409" t="n"/>
      <c r="BE111" s="409" t="n"/>
      <c r="BF111" s="409" t="n"/>
      <c r="BG111" s="409" t="n"/>
      <c r="BH111" s="409" t="n"/>
      <c r="BI111" s="409" t="n"/>
      <c r="BJ111" s="409" t="n"/>
      <c r="BK111" s="412" t="n"/>
      <c r="BL111" s="408" t="n"/>
      <c r="BM111" s="409" t="n"/>
      <c r="BN111" s="409" t="n"/>
      <c r="BO111" s="409" t="n"/>
      <c r="BP111" s="409" t="n"/>
      <c r="BQ111" s="409" t="n"/>
      <c r="BR111" s="409" t="n"/>
      <c r="BS111" s="409" t="n"/>
      <c r="BT111" s="409" t="n"/>
      <c r="BU111" s="409" t="n"/>
      <c r="BV111" s="409" t="n"/>
      <c r="BW111" s="412" t="n"/>
      <c r="BX111" s="408" t="n"/>
      <c r="BY111" s="409" t="n"/>
      <c r="BZ111" s="409" t="n"/>
      <c r="CA111" s="409" t="n"/>
      <c r="CB111" s="409" t="n"/>
      <c r="CC111" s="409" t="n"/>
      <c r="CD111" s="409" t="n"/>
      <c r="CE111" s="409" t="n"/>
      <c r="CF111" s="409" t="n"/>
      <c r="CG111" s="409" t="n"/>
      <c r="CH111" s="409" t="n"/>
      <c r="CI111" s="412" t="n"/>
    </row>
    <row r="112" ht="18" customHeight="1" s="145">
      <c r="A112" s="233" t="n"/>
      <c r="B112" s="233" t="n"/>
      <c r="C112" s="233" t="inlineStr">
        <is>
          <t>課税所得</t>
        </is>
      </c>
      <c r="D112" s="234" t="inlineStr">
        <is>
          <t>円</t>
        </is>
      </c>
      <c r="E112" s="408">
        <f>MAX(0,E92)-E111</f>
        <v>0.0</v>
      </c>
      <c r="F112" s="408">
        <f>MAX(0,F92)-F111</f>
        <v>0.0</v>
      </c>
      <c r="G112" s="408">
        <f>MAX(0,G92)-G111</f>
        <v>0.0</v>
      </c>
      <c r="H112" s="408">
        <f>MAX(0,H92)-H111</f>
        <v>0.0</v>
      </c>
      <c r="I112" s="408">
        <f>MAX(0,I92)-I111</f>
        <v>0.0</v>
      </c>
      <c r="J112" s="407" t="n"/>
      <c r="K112" s="407" t="n"/>
      <c r="L112" s="407" t="n"/>
      <c r="M112" s="407" t="n"/>
      <c r="N112" s="407" t="n"/>
      <c r="O112" s="235" t="n"/>
      <c r="P112" s="408" t="n"/>
      <c r="Q112" s="409" t="n"/>
      <c r="R112" s="409" t="n"/>
      <c r="S112" s="409" t="n"/>
      <c r="T112" s="409" t="n"/>
      <c r="U112" s="409" t="n"/>
      <c r="V112" s="409" t="n"/>
      <c r="W112" s="409" t="n"/>
      <c r="X112" s="409" t="n"/>
      <c r="Y112" s="409" t="n"/>
      <c r="Z112" s="409" t="n"/>
      <c r="AA112" s="412" t="n"/>
      <c r="AB112" s="476" t="n"/>
      <c r="AC112" s="477" t="n"/>
      <c r="AD112" s="477" t="n"/>
      <c r="AE112" s="477" t="n"/>
      <c r="AF112" s="477" t="n"/>
      <c r="AG112" s="409" t="n"/>
      <c r="AH112" s="409" t="n"/>
      <c r="AI112" s="409" t="n"/>
      <c r="AJ112" s="409" t="n"/>
      <c r="AK112" s="409" t="n"/>
      <c r="AL112" s="409" t="n"/>
      <c r="AM112" s="412" t="n"/>
      <c r="AN112" s="408" t="n"/>
      <c r="AO112" s="409" t="n"/>
      <c r="AP112" s="409" t="n"/>
      <c r="AQ112" s="409" t="n"/>
      <c r="AR112" s="409" t="n"/>
      <c r="AS112" s="409" t="n"/>
      <c r="AT112" s="409" t="n"/>
      <c r="AU112" s="409" t="n"/>
      <c r="AV112" s="409" t="n"/>
      <c r="AW112" s="409" t="n"/>
      <c r="AX112" s="409" t="n"/>
      <c r="AY112" s="412" t="n"/>
      <c r="AZ112" s="408" t="n"/>
      <c r="BA112" s="409" t="n"/>
      <c r="BB112" s="409" t="n"/>
      <c r="BC112" s="409" t="n"/>
      <c r="BD112" s="409" t="n"/>
      <c r="BE112" s="409" t="n"/>
      <c r="BF112" s="409" t="n"/>
      <c r="BG112" s="409" t="n"/>
      <c r="BH112" s="409" t="n"/>
      <c r="BI112" s="409" t="n"/>
      <c r="BJ112" s="409" t="n"/>
      <c r="BK112" s="412" t="n"/>
      <c r="BL112" s="408" t="n"/>
      <c r="BM112" s="409" t="n"/>
      <c r="BN112" s="409" t="n"/>
      <c r="BO112" s="409" t="n"/>
      <c r="BP112" s="409" t="n"/>
      <c r="BQ112" s="409" t="n"/>
      <c r="BR112" s="409" t="n"/>
      <c r="BS112" s="409" t="n"/>
      <c r="BT112" s="409" t="n"/>
      <c r="BU112" s="409" t="n"/>
      <c r="BV112" s="409" t="n"/>
      <c r="BW112" s="412" t="n"/>
      <c r="BX112" s="408" t="n"/>
      <c r="BY112" s="409" t="n"/>
      <c r="BZ112" s="409" t="n"/>
      <c r="CA112" s="409" t="n"/>
      <c r="CB112" s="409" t="n"/>
      <c r="CC112" s="409" t="n"/>
      <c r="CD112" s="409" t="n"/>
      <c r="CE112" s="409" t="n"/>
      <c r="CF112" s="409" t="n"/>
      <c r="CG112" s="409" t="n"/>
      <c r="CH112" s="409" t="n"/>
      <c r="CI112" s="412" t="n"/>
    </row>
    <row r="113" ht="18" customHeight="1" s="145">
      <c r="A113" s="233" t="n"/>
      <c r="B113" s="233" t="n"/>
      <c r="C113" s="233" t="inlineStr">
        <is>
          <t>法人税等（年額）</t>
        </is>
      </c>
      <c r="D113" s="234" t="inlineStr">
        <is>
          <t>円</t>
        </is>
      </c>
      <c r="E113" s="408">
        <f>ROUND(E112*販管費予算!E38,0)</f>
        <v>0.0</v>
      </c>
      <c r="F113" s="408">
        <f>ROUND(F112*販管費予算!F38,0)</f>
        <v>0.0</v>
      </c>
      <c r="G113" s="408">
        <f>ROUND(G112*販管費予算!G38,0)</f>
        <v>0.0</v>
      </c>
      <c r="H113" s="408">
        <f>ROUND(H112*販管費予算!H38,0)</f>
        <v>0.0</v>
      </c>
      <c r="I113" s="408">
        <f>ROUND(I112*販管費予算!I38,0)</f>
        <v>0.0</v>
      </c>
      <c r="J113" s="407">
        <f>SUM(E113:I113)</f>
        <v>0.0</v>
      </c>
      <c r="K113" s="407" t="n"/>
      <c r="L113" s="407" t="n"/>
      <c r="M113" s="407" t="n"/>
      <c r="N113" s="407" t="n"/>
      <c r="O113" s="235" t="n"/>
      <c r="P113" s="408" t="n"/>
      <c r="Q113" s="409" t="n"/>
      <c r="R113" s="409" t="n"/>
      <c r="S113" s="409" t="n"/>
      <c r="T113" s="409" t="n"/>
      <c r="U113" s="409" t="n"/>
      <c r="V113" s="409" t="n"/>
      <c r="W113" s="409" t="n"/>
      <c r="X113" s="409" t="n"/>
      <c r="Y113" s="409" t="n"/>
      <c r="Z113" s="409" t="n"/>
      <c r="AA113" s="412" t="n"/>
      <c r="AB113" s="476" t="n"/>
      <c r="AC113" s="477" t="n"/>
      <c r="AD113" s="477" t="n"/>
      <c r="AE113" s="477" t="n"/>
      <c r="AF113" s="477" t="n"/>
      <c r="AG113" s="409" t="n"/>
      <c r="AH113" s="409" t="n"/>
      <c r="AI113" s="409" t="n"/>
      <c r="AJ113" s="409" t="n"/>
      <c r="AK113" s="409" t="n"/>
      <c r="AL113" s="409" t="n"/>
      <c r="AM113" s="412" t="n"/>
      <c r="AN113" s="408" t="n"/>
      <c r="AO113" s="409" t="n"/>
      <c r="AP113" s="409" t="n"/>
      <c r="AQ113" s="409" t="n"/>
      <c r="AR113" s="409" t="n"/>
      <c r="AS113" s="409" t="n"/>
      <c r="AT113" s="409" t="n"/>
      <c r="AU113" s="409" t="n"/>
      <c r="AV113" s="409" t="n"/>
      <c r="AW113" s="409" t="n"/>
      <c r="AX113" s="409" t="n"/>
      <c r="AY113" s="412" t="n"/>
      <c r="AZ113" s="408" t="n"/>
      <c r="BA113" s="409" t="n"/>
      <c r="BB113" s="409" t="n"/>
      <c r="BC113" s="409" t="n"/>
      <c r="BD113" s="409" t="n"/>
      <c r="BE113" s="409" t="n"/>
      <c r="BF113" s="409" t="n"/>
      <c r="BG113" s="409" t="n"/>
      <c r="BH113" s="409" t="n"/>
      <c r="BI113" s="409" t="n"/>
      <c r="BJ113" s="409" t="n"/>
      <c r="BK113" s="412" t="n"/>
      <c r="BL113" s="408" t="n"/>
      <c r="BM113" s="409" t="n"/>
      <c r="BN113" s="409" t="n"/>
      <c r="BO113" s="409" t="n"/>
      <c r="BP113" s="409" t="n"/>
      <c r="BQ113" s="409" t="n"/>
      <c r="BR113" s="409" t="n"/>
      <c r="BS113" s="409" t="n"/>
      <c r="BT113" s="409" t="n"/>
      <c r="BU113" s="409" t="n"/>
      <c r="BV113" s="409" t="n"/>
      <c r="BW113" s="412" t="n"/>
      <c r="BX113" s="408" t="n"/>
      <c r="BY113" s="409" t="n"/>
      <c r="BZ113" s="409" t="n"/>
      <c r="CA113" s="409" t="n"/>
      <c r="CB113" s="409" t="n"/>
      <c r="CC113" s="409" t="n"/>
      <c r="CD113" s="409" t="n"/>
      <c r="CE113" s="409" t="n"/>
      <c r="CF113" s="409" t="n"/>
      <c r="CG113" s="409" t="n"/>
      <c r="CH113" s="409" t="n"/>
      <c r="CI113" s="412" t="n"/>
    </row>
    <row r="114" ht="18" customHeight="1" s="145">
      <c r="A114" s="233" t="n"/>
      <c r="B114" s="233" t="n"/>
      <c r="C114" s="233" t="inlineStr">
        <is>
          <t>期末繰越欠損金</t>
        </is>
      </c>
      <c r="D114" s="234" t="inlineStr">
        <is>
          <t>円</t>
        </is>
      </c>
      <c r="E114" s="408">
        <f>E110-E111+MAX(0,-E92)</f>
        <v>33249571.1899109</v>
      </c>
      <c r="F114" s="408">
        <f>F110-F111+MAX(0,-F92)</f>
        <v>45155567.4499472</v>
      </c>
      <c r="G114" s="408">
        <f>G110-G111+MAX(0,-G92)</f>
        <v>49302061.2215772</v>
      </c>
      <c r="H114" s="408">
        <f>H110-H111+MAX(0,-H92)</f>
        <v>44957561.0735267</v>
      </c>
      <c r="I114" s="408">
        <f>I110-I111+MAX(0,-I92)</f>
        <v>104127440.673652</v>
      </c>
      <c r="J114" s="407" t="n"/>
      <c r="K114" s="407" t="n"/>
      <c r="L114" s="407" t="n"/>
      <c r="M114" s="407" t="n"/>
      <c r="N114" s="407" t="n"/>
      <c r="O114" s="235" t="n"/>
      <c r="P114" s="408" t="n"/>
      <c r="Q114" s="409" t="n"/>
      <c r="R114" s="409" t="n"/>
      <c r="S114" s="409" t="n"/>
      <c r="T114" s="409" t="n"/>
      <c r="U114" s="409" t="n"/>
      <c r="V114" s="409" t="n"/>
      <c r="W114" s="409" t="n"/>
      <c r="X114" s="409" t="n"/>
      <c r="Y114" s="409" t="n"/>
      <c r="Z114" s="409" t="n"/>
      <c r="AA114" s="412" t="n"/>
      <c r="AB114" s="476" t="n"/>
      <c r="AC114" s="477" t="n"/>
      <c r="AD114" s="477" t="n"/>
      <c r="AE114" s="477" t="n"/>
      <c r="AF114" s="477" t="n"/>
      <c r="AG114" s="409" t="n"/>
      <c r="AH114" s="409" t="n"/>
      <c r="AI114" s="409" t="n"/>
      <c r="AJ114" s="409" t="n"/>
      <c r="AK114" s="409" t="n"/>
      <c r="AL114" s="409" t="n"/>
      <c r="AM114" s="412" t="n"/>
      <c r="AN114" s="408" t="n"/>
      <c r="AO114" s="409" t="n"/>
      <c r="AP114" s="409" t="n"/>
      <c r="AQ114" s="409" t="n"/>
      <c r="AR114" s="409" t="n"/>
      <c r="AS114" s="409" t="n"/>
      <c r="AT114" s="409" t="n"/>
      <c r="AU114" s="409" t="n"/>
      <c r="AV114" s="409" t="n"/>
      <c r="AW114" s="409" t="n"/>
      <c r="AX114" s="409" t="n"/>
      <c r="AY114" s="412" t="n"/>
      <c r="AZ114" s="408" t="n"/>
      <c r="BA114" s="409" t="n"/>
      <c r="BB114" s="409" t="n"/>
      <c r="BC114" s="409" t="n"/>
      <c r="BD114" s="409" t="n"/>
      <c r="BE114" s="409" t="n"/>
      <c r="BF114" s="409" t="n"/>
      <c r="BG114" s="409" t="n"/>
      <c r="BH114" s="409" t="n"/>
      <c r="BI114" s="409" t="n"/>
      <c r="BJ114" s="409" t="n"/>
      <c r="BK114" s="412" t="n"/>
      <c r="BL114" s="408" t="n"/>
      <c r="BM114" s="409" t="n"/>
      <c r="BN114" s="409" t="n"/>
      <c r="BO114" s="409" t="n"/>
      <c r="BP114" s="409" t="n"/>
      <c r="BQ114" s="409" t="n"/>
      <c r="BR114" s="409" t="n"/>
      <c r="BS114" s="409" t="n"/>
      <c r="BT114" s="409" t="n"/>
      <c r="BU114" s="409" t="n"/>
      <c r="BV114" s="409" t="n"/>
      <c r="BW114" s="412" t="n"/>
      <c r="BX114" s="408" t="n"/>
      <c r="BY114" s="409" t="n"/>
      <c r="BZ114" s="409" t="n"/>
      <c r="CA114" s="409" t="n"/>
      <c r="CB114" s="409" t="n"/>
      <c r="CC114" s="409" t="n"/>
      <c r="CD114" s="409" t="n"/>
      <c r="CE114" s="409" t="n"/>
      <c r="CF114" s="409" t="n"/>
      <c r="CG114" s="409" t="n"/>
      <c r="CH114" s="409" t="n"/>
      <c r="CI114" s="412" t="n"/>
    </row>
    <row r="115" ht="18" customHeight="1" s="145">
      <c r="A115" s="233" t="n"/>
      <c r="B115" s="233" t="n"/>
      <c r="C115" s="233" t="n"/>
      <c r="D115" s="234" t="n"/>
      <c r="J115" s="234" t="n"/>
      <c r="K115" s="234" t="n"/>
      <c r="L115" s="234" t="n"/>
      <c r="M115" s="234" t="n"/>
      <c r="N115" s="234" t="n"/>
      <c r="O115" s="235" t="n"/>
    </row>
    <row r="116" ht="18" customHeight="1" s="145">
      <c r="A116" s="233" t="n"/>
      <c r="B116" s="233" t="n"/>
      <c r="C116" s="233" t="n"/>
      <c r="D116" s="234" t="n"/>
      <c r="J116" s="234" t="n"/>
      <c r="K116" s="234" t="n"/>
      <c r="L116" s="234" t="n"/>
      <c r="M116" s="234" t="n"/>
      <c r="N116" s="234" t="n"/>
      <c r="O116" s="235" t="n"/>
    </row>
    <row r="117" ht="18" customHeight="1" s="145">
      <c r="A117" s="233" t="n"/>
      <c r="B117" s="233" t="n"/>
      <c r="C117" s="233" t="n"/>
      <c r="D117" s="234" t="n"/>
      <c r="J117" s="234" t="n"/>
      <c r="K117" s="234" t="n"/>
      <c r="L117" s="234" t="n"/>
      <c r="M117" s="234" t="n"/>
      <c r="N117" s="234" t="n"/>
      <c r="O117" s="235" t="n"/>
    </row>
    <row r="118" ht="18" customHeight="1" s="145">
      <c r="A118" s="233" t="n"/>
      <c r="B118" s="233" t="n"/>
      <c r="C118" s="233" t="n"/>
      <c r="D118" s="234" t="n"/>
      <c r="J118" s="234" t="n"/>
      <c r="K118" s="234" t="n"/>
      <c r="L118" s="234" t="n"/>
      <c r="M118" s="234" t="n"/>
      <c r="N118" s="234" t="n"/>
      <c r="O118" s="235" t="n"/>
    </row>
    <row r="119" ht="18" customHeight="1" s="145">
      <c r="A119" s="233" t="n"/>
      <c r="B119" s="233" t="n"/>
      <c r="C119" s="233" t="n"/>
      <c r="D119" s="234" t="n"/>
      <c r="J119" s="234" t="n"/>
      <c r="K119" s="234" t="n"/>
      <c r="L119" s="234" t="n"/>
      <c r="M119" s="234" t="n"/>
      <c r="N119" s="234" t="n"/>
      <c r="O119" s="235" t="n"/>
    </row>
    <row r="120" ht="18" customHeight="1" s="145">
      <c r="A120" s="233" t="n"/>
      <c r="B120" s="233" t="n"/>
      <c r="C120" s="233" t="n"/>
      <c r="D120" s="234" t="n"/>
      <c r="J120" s="234" t="n"/>
      <c r="K120" s="234" t="n"/>
      <c r="L120" s="234" t="n"/>
      <c r="M120" s="234" t="n"/>
      <c r="N120" s="234" t="n"/>
      <c r="O120" s="235" t="n"/>
    </row>
    <row r="121" ht="18" customHeight="1" s="145">
      <c r="A121" s="233" t="n"/>
      <c r="B121" s="233" t="n"/>
      <c r="C121" s="233" t="n"/>
      <c r="D121" s="234" t="n"/>
      <c r="J121" s="234" t="n"/>
      <c r="K121" s="234" t="n"/>
      <c r="L121" s="234" t="n"/>
      <c r="M121" s="234" t="n"/>
      <c r="N121" s="234" t="n"/>
      <c r="O121" s="235" t="n"/>
    </row>
    <row r="122" ht="18" customHeight="1" s="145">
      <c r="A122" s="233" t="n"/>
      <c r="B122" s="233" t="n"/>
      <c r="C122" s="233" t="n"/>
      <c r="D122" s="234" t="n"/>
      <c r="J122" s="234" t="n"/>
      <c r="K122" s="234" t="n"/>
      <c r="L122" s="234" t="n"/>
      <c r="M122" s="234" t="n"/>
      <c r="N122" s="234" t="n"/>
      <c r="O122" s="235" t="n"/>
    </row>
    <row r="123" ht="18" customHeight="1" s="145">
      <c r="A123" s="233" t="n"/>
      <c r="B123" s="233" t="n"/>
      <c r="C123" s="233" t="n"/>
      <c r="D123" s="234" t="n"/>
      <c r="J123" s="234" t="n"/>
      <c r="K123" s="234" t="n"/>
      <c r="L123" s="234" t="n"/>
      <c r="M123" s="234" t="n"/>
      <c r="N123" s="234" t="n"/>
      <c r="O123" s="235" t="n"/>
    </row>
    <row r="124" ht="18" customHeight="1" s="145">
      <c r="A124" s="233" t="n"/>
      <c r="B124" s="233" t="n"/>
      <c r="C124" s="233" t="n"/>
      <c r="D124" s="234" t="n"/>
      <c r="J124" s="234" t="n"/>
      <c r="K124" s="234" t="n"/>
      <c r="L124" s="234" t="n"/>
      <c r="M124" s="234" t="n"/>
      <c r="N124" s="234" t="n"/>
      <c r="O124" s="235" t="n"/>
    </row>
    <row r="125" ht="18" customHeight="1" s="145">
      <c r="A125" s="233" t="n"/>
      <c r="B125" s="233" t="n"/>
      <c r="C125" s="233" t="n"/>
      <c r="D125" s="234" t="n"/>
      <c r="J125" s="234" t="n"/>
      <c r="K125" s="234" t="n"/>
      <c r="L125" s="234" t="n"/>
      <c r="M125" s="234" t="n"/>
      <c r="N125" s="234" t="n"/>
      <c r="O125" s="235" t="n"/>
    </row>
    <row r="126" ht="18" customHeight="1" s="145">
      <c r="A126" s="233" t="n"/>
      <c r="B126" s="233" t="n"/>
      <c r="C126" s="233" t="n"/>
      <c r="D126" s="234" t="n"/>
      <c r="J126" s="234" t="n"/>
      <c r="K126" s="234" t="n"/>
      <c r="L126" s="234" t="n"/>
      <c r="M126" s="234" t="n"/>
      <c r="N126" s="234" t="n"/>
      <c r="O126" s="235" t="n"/>
    </row>
    <row r="127" ht="18" customHeight="1" s="145">
      <c r="A127" s="233" t="n"/>
      <c r="B127" s="233" t="n"/>
      <c r="C127" s="233" t="n"/>
      <c r="D127" s="234" t="n"/>
      <c r="J127" s="234" t="n"/>
      <c r="K127" s="234" t="n"/>
      <c r="L127" s="234" t="n"/>
      <c r="M127" s="234" t="n"/>
      <c r="N127" s="234" t="n"/>
      <c r="O127" s="235" t="n"/>
    </row>
    <row r="128" ht="18" customHeight="1" s="145">
      <c r="A128" s="233" t="n"/>
      <c r="B128" s="233" t="n"/>
      <c r="C128" s="233" t="n"/>
      <c r="D128" s="234" t="n"/>
      <c r="J128" s="234" t="n"/>
      <c r="K128" s="234" t="n"/>
      <c r="L128" s="234" t="n"/>
      <c r="M128" s="234" t="n"/>
      <c r="N128" s="234" t="n"/>
      <c r="O128" s="235" t="n"/>
    </row>
    <row r="129" ht="18" customHeight="1" s="145">
      <c r="A129" s="233" t="n"/>
      <c r="B129" s="233" t="n"/>
      <c r="C129" s="233" t="n"/>
      <c r="D129" s="234" t="n"/>
      <c r="J129" s="234" t="n"/>
      <c r="K129" s="234" t="n"/>
      <c r="L129" s="234" t="n"/>
      <c r="M129" s="234" t="n"/>
      <c r="N129" s="234" t="n"/>
      <c r="O129" s="235" t="n"/>
    </row>
    <row r="130" ht="18" customHeight="1" s="145">
      <c r="A130" s="233" t="n"/>
      <c r="B130" s="233" t="n"/>
      <c r="C130" s="233" t="n"/>
      <c r="D130" s="234" t="n"/>
      <c r="J130" s="234" t="n"/>
      <c r="K130" s="234" t="n"/>
      <c r="L130" s="234" t="n"/>
      <c r="M130" s="234" t="n"/>
      <c r="N130" s="234" t="n"/>
      <c r="O130" s="235" t="n"/>
    </row>
    <row r="131" ht="18" customHeight="1" s="145">
      <c r="A131" s="233" t="n"/>
      <c r="B131" s="233" t="n"/>
      <c r="C131" s="233" t="n"/>
      <c r="D131" s="234" t="n"/>
      <c r="J131" s="234" t="n"/>
      <c r="K131" s="234" t="n"/>
      <c r="L131" s="234" t="n"/>
      <c r="M131" s="234" t="n"/>
      <c r="N131" s="234" t="n"/>
      <c r="O131" s="235" t="n"/>
    </row>
    <row r="132" ht="18" customHeight="1" s="145">
      <c r="A132" s="233" t="n"/>
      <c r="B132" s="233" t="n"/>
      <c r="C132" s="233" t="n"/>
      <c r="D132" s="234" t="n"/>
      <c r="J132" s="234" t="n"/>
      <c r="K132" s="234" t="n"/>
      <c r="L132" s="234" t="n"/>
      <c r="M132" s="234" t="n"/>
      <c r="N132" s="234" t="n"/>
      <c r="O132" s="235" t="n"/>
    </row>
    <row r="133" ht="18" customHeight="1" s="145">
      <c r="A133" s="233" t="n"/>
      <c r="B133" s="233" t="n"/>
      <c r="C133" s="233" t="n"/>
      <c r="D133" s="234" t="n"/>
      <c r="J133" s="234" t="n"/>
      <c r="K133" s="234" t="n"/>
      <c r="L133" s="234" t="n"/>
      <c r="M133" s="234" t="n"/>
      <c r="N133" s="234" t="n"/>
      <c r="O133" s="235" t="n"/>
    </row>
    <row r="134" ht="18" customHeight="1" s="145">
      <c r="A134" s="233" t="n"/>
      <c r="B134" s="233" t="n"/>
      <c r="C134" s="233" t="n"/>
      <c r="D134" s="234" t="n"/>
      <c r="J134" s="234" t="n"/>
      <c r="K134" s="234" t="n"/>
      <c r="L134" s="234" t="n"/>
      <c r="M134" s="234" t="n"/>
      <c r="N134" s="234" t="n"/>
      <c r="O134" s="235" t="n"/>
    </row>
    <row r="135" ht="18" customHeight="1" s="145">
      <c r="A135" s="233" t="n"/>
      <c r="B135" s="233" t="n"/>
      <c r="C135" s="233" t="n"/>
      <c r="D135" s="234" t="n"/>
      <c r="J135" s="234" t="n"/>
      <c r="K135" s="234" t="n"/>
      <c r="L135" s="234" t="n"/>
      <c r="M135" s="234" t="n"/>
      <c r="N135" s="234" t="n"/>
      <c r="O135" s="235" t="n"/>
    </row>
    <row r="136" ht="18" customHeight="1" s="145">
      <c r="A136" s="233" t="n"/>
      <c r="B136" s="233" t="n"/>
      <c r="C136" s="233" t="n"/>
      <c r="D136" s="234" t="n"/>
      <c r="J136" s="234" t="n"/>
      <c r="K136" s="234" t="n"/>
      <c r="L136" s="234" t="n"/>
      <c r="M136" s="234" t="n"/>
      <c r="N136" s="234" t="n"/>
      <c r="O136" s="235" t="n"/>
    </row>
    <row r="137" ht="18" customHeight="1" s="145">
      <c r="A137" s="233" t="n"/>
      <c r="B137" s="233" t="n"/>
      <c r="C137" s="233" t="n"/>
      <c r="D137" s="234" t="n"/>
      <c r="J137" s="234" t="n"/>
      <c r="K137" s="234" t="n"/>
      <c r="L137" s="234" t="n"/>
      <c r="M137" s="234" t="n"/>
      <c r="N137" s="234" t="n"/>
      <c r="O137" s="235" t="n"/>
    </row>
    <row r="138" ht="18" customHeight="1" s="145">
      <c r="A138" s="233" t="n"/>
      <c r="B138" s="233" t="n"/>
      <c r="C138" s="233" t="n"/>
      <c r="D138" s="234" t="n"/>
      <c r="J138" s="234" t="n"/>
      <c r="K138" s="234" t="n"/>
      <c r="L138" s="234" t="n"/>
      <c r="M138" s="234" t="n"/>
      <c r="N138" s="234" t="n"/>
      <c r="O138" s="235" t="n"/>
    </row>
    <row r="139" ht="18" customHeight="1" s="145">
      <c r="A139" s="233" t="n"/>
      <c r="B139" s="233" t="n"/>
      <c r="C139" s="233" t="n"/>
      <c r="D139" s="234" t="n"/>
      <c r="J139" s="234" t="n"/>
      <c r="K139" s="234" t="n"/>
      <c r="L139" s="234" t="n"/>
      <c r="M139" s="234" t="n"/>
      <c r="N139" s="234" t="n"/>
      <c r="O139" s="235" t="n"/>
    </row>
    <row r="140" ht="18" customHeight="1" s="145">
      <c r="A140" s="233" t="n"/>
      <c r="B140" s="233" t="n"/>
      <c r="C140" s="233" t="n"/>
      <c r="D140" s="234" t="n"/>
      <c r="J140" s="234" t="n"/>
      <c r="K140" s="234" t="n"/>
      <c r="L140" s="234" t="n"/>
      <c r="M140" s="234" t="n"/>
      <c r="N140" s="234" t="n"/>
      <c r="O140" s="235" t="n"/>
    </row>
    <row r="141" ht="18" customHeight="1" s="145">
      <c r="A141" s="233" t="n"/>
      <c r="B141" s="233" t="n"/>
      <c r="C141" s="233" t="n"/>
      <c r="D141" s="234" t="n"/>
      <c r="J141" s="234" t="n"/>
      <c r="K141" s="234" t="n"/>
      <c r="L141" s="234" t="n"/>
      <c r="M141" s="234" t="n"/>
      <c r="N141" s="234" t="n"/>
      <c r="O141" s="235" t="n"/>
    </row>
    <row r="142" ht="18" customHeight="1" s="145">
      <c r="A142" s="233" t="n"/>
      <c r="B142" s="233" t="n"/>
      <c r="C142" s="233" t="n"/>
      <c r="D142" s="234" t="n"/>
      <c r="J142" s="234" t="n"/>
      <c r="K142" s="234" t="n"/>
      <c r="L142" s="234" t="n"/>
      <c r="M142" s="234" t="n"/>
      <c r="N142" s="234" t="n"/>
      <c r="O142" s="235" t="n"/>
    </row>
    <row r="143" ht="18" customHeight="1" s="145">
      <c r="A143" s="233" t="n"/>
      <c r="B143" s="233" t="n"/>
      <c r="C143" s="233" t="n"/>
      <c r="D143" s="234" t="n"/>
      <c r="J143" s="234" t="n"/>
      <c r="K143" s="234" t="n"/>
      <c r="L143" s="234" t="n"/>
      <c r="M143" s="234" t="n"/>
      <c r="N143" s="234" t="n"/>
      <c r="O143" s="235" t="n"/>
    </row>
    <row r="144" ht="18" customHeight="1" s="145">
      <c r="A144" s="233" t="n"/>
      <c r="B144" s="233" t="n"/>
      <c r="C144" s="233" t="n"/>
      <c r="D144" s="234" t="n"/>
      <c r="J144" s="234" t="n"/>
      <c r="K144" s="234" t="n"/>
      <c r="L144" s="234" t="n"/>
      <c r="M144" s="234" t="n"/>
      <c r="N144" s="234" t="n"/>
      <c r="O144" s="235" t="n"/>
    </row>
    <row r="145" ht="18" customHeight="1" s="145">
      <c r="A145" s="233" t="n"/>
      <c r="B145" s="233" t="n"/>
      <c r="C145" s="233" t="n"/>
      <c r="D145" s="234" t="n"/>
      <c r="J145" s="234" t="n"/>
      <c r="K145" s="234" t="n"/>
      <c r="L145" s="234" t="n"/>
      <c r="M145" s="234" t="n"/>
      <c r="N145" s="234" t="n"/>
      <c r="O145" s="235" t="n"/>
    </row>
    <row r="146" ht="18" customHeight="1" s="145">
      <c r="A146" s="233" t="n"/>
      <c r="B146" s="233" t="n"/>
      <c r="C146" s="233" t="n"/>
      <c r="D146" s="234" t="n"/>
      <c r="J146" s="234" t="n"/>
      <c r="K146" s="234" t="n"/>
      <c r="L146" s="234" t="n"/>
      <c r="M146" s="234" t="n"/>
      <c r="N146" s="234" t="n"/>
      <c r="O146" s="235" t="n"/>
    </row>
    <row r="147" ht="18" customHeight="1" s="145">
      <c r="A147" s="233" t="n"/>
      <c r="B147" s="233" t="n"/>
      <c r="C147" s="233" t="n"/>
      <c r="D147" s="234" t="n"/>
      <c r="J147" s="234" t="n"/>
      <c r="K147" s="234" t="n"/>
      <c r="L147" s="234" t="n"/>
      <c r="M147" s="234" t="n"/>
      <c r="N147" s="234" t="n"/>
      <c r="O147" s="235" t="n"/>
    </row>
    <row r="148" ht="18" customHeight="1" s="145">
      <c r="A148" s="233" t="n"/>
      <c r="B148" s="233" t="n"/>
      <c r="C148" s="233" t="n"/>
      <c r="D148" s="234" t="n"/>
      <c r="J148" s="234" t="n"/>
      <c r="K148" s="234" t="n"/>
      <c r="L148" s="234" t="n"/>
      <c r="M148" s="234" t="n"/>
      <c r="N148" s="234" t="n"/>
      <c r="O148" s="235" t="n"/>
    </row>
    <row r="149" ht="18" customHeight="1" s="145">
      <c r="A149" s="233" t="n"/>
      <c r="B149" s="233" t="n"/>
      <c r="C149" s="233" t="n"/>
      <c r="D149" s="234" t="n"/>
      <c r="J149" s="234" t="n"/>
      <c r="K149" s="234" t="n"/>
      <c r="L149" s="234" t="n"/>
      <c r="M149" s="234" t="n"/>
      <c r="N149" s="234" t="n"/>
      <c r="O149" s="235" t="n"/>
    </row>
    <row r="150" ht="18" customHeight="1" s="145">
      <c r="A150" s="233" t="n"/>
      <c r="B150" s="233" t="n"/>
      <c r="C150" s="233" t="n"/>
      <c r="D150" s="234" t="n"/>
      <c r="J150" s="234" t="n"/>
      <c r="K150" s="234" t="n"/>
      <c r="L150" s="234" t="n"/>
      <c r="M150" s="234" t="n"/>
      <c r="N150" s="234" t="n"/>
      <c r="O150" s="235" t="n"/>
    </row>
    <row r="151" ht="18" customHeight="1" s="145">
      <c r="A151" s="233" t="n"/>
      <c r="B151" s="233" t="n"/>
      <c r="C151" s="233" t="n"/>
      <c r="D151" s="234" t="n"/>
      <c r="J151" s="234" t="n"/>
      <c r="K151" s="234" t="n"/>
      <c r="L151" s="234" t="n"/>
      <c r="M151" s="234" t="n"/>
      <c r="N151" s="234" t="n"/>
      <c r="O151" s="235" t="n"/>
    </row>
    <row r="152" ht="18" customHeight="1" s="145">
      <c r="A152" s="233" t="n"/>
      <c r="B152" s="233" t="n"/>
      <c r="C152" s="233" t="n"/>
      <c r="D152" s="234" t="n"/>
      <c r="J152" s="234" t="n"/>
      <c r="K152" s="234" t="n"/>
      <c r="L152" s="234" t="n"/>
      <c r="M152" s="234" t="n"/>
      <c r="N152" s="234" t="n"/>
      <c r="O152" s="235" t="n"/>
    </row>
    <row r="153" ht="18" customHeight="1" s="145">
      <c r="A153" s="233" t="n"/>
      <c r="B153" s="233" t="n"/>
      <c r="C153" s="233" t="n"/>
      <c r="D153" s="234" t="n"/>
      <c r="J153" s="234" t="n"/>
      <c r="K153" s="234" t="n"/>
      <c r="L153" s="234" t="n"/>
      <c r="M153" s="234" t="n"/>
      <c r="N153" s="234" t="n"/>
      <c r="O153" s="235" t="n"/>
    </row>
    <row r="154" ht="18" customHeight="1" s="145">
      <c r="A154" s="233" t="n"/>
      <c r="B154" s="233" t="n"/>
      <c r="C154" s="233" t="n"/>
      <c r="D154" s="234" t="n"/>
      <c r="J154" s="234" t="n"/>
      <c r="K154" s="234" t="n"/>
      <c r="L154" s="234" t="n"/>
      <c r="M154" s="234" t="n"/>
      <c r="N154" s="234" t="n"/>
      <c r="O154" s="235" t="n"/>
    </row>
    <row r="155" ht="18" customHeight="1" s="145">
      <c r="A155" s="233" t="n"/>
      <c r="B155" s="233" t="n"/>
      <c r="C155" s="233" t="n"/>
      <c r="D155" s="234" t="n"/>
      <c r="J155" s="234" t="n"/>
      <c r="K155" s="234" t="n"/>
      <c r="L155" s="234" t="n"/>
      <c r="M155" s="234" t="n"/>
      <c r="N155" s="234" t="n"/>
      <c r="O155" s="235" t="n"/>
    </row>
    <row r="156" ht="18" customHeight="1" s="145">
      <c r="A156" s="233" t="n"/>
      <c r="B156" s="233" t="n"/>
      <c r="C156" s="233" t="n"/>
      <c r="D156" s="234" t="n"/>
      <c r="J156" s="234" t="n"/>
      <c r="K156" s="234" t="n"/>
      <c r="L156" s="234" t="n"/>
      <c r="M156" s="234" t="n"/>
      <c r="N156" s="234" t="n"/>
      <c r="O156" s="235" t="n"/>
    </row>
    <row r="157" ht="18" customHeight="1" s="145">
      <c r="A157" s="233" t="n"/>
      <c r="B157" s="233" t="n"/>
      <c r="C157" s="233" t="n"/>
      <c r="D157" s="234" t="n"/>
      <c r="J157" s="234" t="n"/>
      <c r="K157" s="234" t="n"/>
      <c r="L157" s="234" t="n"/>
      <c r="M157" s="234" t="n"/>
      <c r="N157" s="234" t="n"/>
      <c r="O157" s="235" t="n"/>
    </row>
    <row r="158" ht="18" customHeight="1" s="145">
      <c r="A158" s="233" t="n"/>
      <c r="B158" s="233" t="n"/>
      <c r="C158" s="233" t="n"/>
      <c r="D158" s="234" t="n"/>
      <c r="J158" s="234" t="n"/>
      <c r="K158" s="234" t="n"/>
      <c r="L158" s="234" t="n"/>
      <c r="M158" s="234" t="n"/>
      <c r="N158" s="234" t="n"/>
      <c r="O158" s="235" t="n"/>
    </row>
    <row r="159" ht="18" customHeight="1" s="145">
      <c r="A159" s="233" t="n"/>
      <c r="B159" s="233" t="n"/>
      <c r="C159" s="233" t="n"/>
      <c r="D159" s="234" t="n"/>
      <c r="J159" s="234" t="n"/>
      <c r="K159" s="234" t="n"/>
      <c r="L159" s="234" t="n"/>
      <c r="M159" s="234" t="n"/>
      <c r="N159" s="234" t="n"/>
      <c r="O159" s="235" t="n"/>
    </row>
    <row r="160" ht="18" customHeight="1" s="145">
      <c r="A160" s="233" t="n"/>
      <c r="B160" s="233" t="n"/>
      <c r="C160" s="233" t="n"/>
      <c r="D160" s="234" t="n"/>
      <c r="J160" s="234" t="n"/>
      <c r="K160" s="234" t="n"/>
      <c r="L160" s="234" t="n"/>
      <c r="M160" s="234" t="n"/>
      <c r="N160" s="234" t="n"/>
      <c r="O160" s="235" t="n"/>
    </row>
    <row r="161" ht="18" customHeight="1" s="145">
      <c r="A161" s="233" t="n"/>
      <c r="B161" s="233" t="n"/>
      <c r="C161" s="233" t="n"/>
      <c r="D161" s="234" t="n"/>
      <c r="J161" s="234" t="n"/>
      <c r="K161" s="234" t="n"/>
      <c r="L161" s="234" t="n"/>
      <c r="M161" s="234" t="n"/>
      <c r="N161" s="234" t="n"/>
      <c r="O161" s="235" t="n"/>
    </row>
    <row r="162" ht="18" customHeight="1" s="145">
      <c r="A162" s="233" t="n"/>
      <c r="B162" s="233" t="n"/>
      <c r="C162" s="233" t="n"/>
      <c r="D162" s="234" t="n"/>
      <c r="J162" s="234" t="n"/>
      <c r="K162" s="234" t="n"/>
      <c r="L162" s="234" t="n"/>
      <c r="M162" s="234" t="n"/>
      <c r="N162" s="234" t="n"/>
      <c r="O162" s="235" t="n"/>
    </row>
    <row r="163" ht="18" customHeight="1" s="145">
      <c r="A163" s="233" t="n"/>
      <c r="B163" s="233" t="n"/>
      <c r="C163" s="233" t="n"/>
      <c r="D163" s="234" t="n"/>
      <c r="J163" s="234" t="n"/>
      <c r="K163" s="234" t="n"/>
      <c r="L163" s="234" t="n"/>
      <c r="M163" s="234" t="n"/>
      <c r="N163" s="234" t="n"/>
      <c r="O163" s="235" t="n"/>
    </row>
    <row r="164" ht="18" customHeight="1" s="145">
      <c r="A164" s="233" t="n"/>
      <c r="B164" s="233" t="n"/>
      <c r="C164" s="233" t="n"/>
      <c r="D164" s="234" t="n"/>
      <c r="J164" s="234" t="n"/>
      <c r="K164" s="234" t="n"/>
      <c r="L164" s="234" t="n"/>
      <c r="M164" s="234" t="n"/>
      <c r="N164" s="234" t="n"/>
      <c r="O164" s="235" t="n"/>
    </row>
    <row r="165" ht="18" customHeight="1" s="145">
      <c r="A165" s="233" t="n"/>
      <c r="B165" s="233" t="n"/>
      <c r="C165" s="233" t="n"/>
      <c r="D165" s="234" t="n"/>
      <c r="J165" s="234" t="n"/>
      <c r="K165" s="234" t="n"/>
      <c r="L165" s="234" t="n"/>
      <c r="M165" s="234" t="n"/>
      <c r="N165" s="234" t="n"/>
      <c r="O165" s="235" t="n"/>
    </row>
    <row r="166" ht="18" customHeight="1" s="145">
      <c r="A166" s="233" t="n"/>
      <c r="B166" s="233" t="n"/>
      <c r="C166" s="233" t="n"/>
      <c r="D166" s="234" t="n"/>
      <c r="J166" s="234" t="n"/>
      <c r="K166" s="234" t="n"/>
      <c r="L166" s="234" t="n"/>
      <c r="M166" s="234" t="n"/>
      <c r="N166" s="234" t="n"/>
      <c r="O166" s="235" t="n"/>
    </row>
    <row r="167" ht="18" customHeight="1" s="145">
      <c r="A167" s="233" t="n"/>
      <c r="B167" s="233" t="n"/>
      <c r="C167" s="233" t="n"/>
      <c r="D167" s="234" t="n"/>
      <c r="J167" s="234" t="n"/>
      <c r="K167" s="234" t="n"/>
      <c r="L167" s="234" t="n"/>
      <c r="M167" s="234" t="n"/>
      <c r="N167" s="234" t="n"/>
      <c r="O167" s="235" t="n"/>
    </row>
    <row r="168" ht="18" customHeight="1" s="145">
      <c r="A168" s="233" t="n"/>
      <c r="B168" s="233" t="n"/>
      <c r="C168" s="233" t="n"/>
      <c r="D168" s="234" t="n"/>
      <c r="J168" s="234" t="n"/>
      <c r="K168" s="234" t="n"/>
      <c r="L168" s="234" t="n"/>
      <c r="M168" s="234" t="n"/>
      <c r="N168" s="234" t="n"/>
      <c r="O168" s="235" t="n"/>
    </row>
    <row r="169" ht="18" customHeight="1" s="145">
      <c r="A169" s="233" t="n"/>
      <c r="B169" s="233" t="n"/>
      <c r="C169" s="233" t="n"/>
      <c r="D169" s="234" t="n"/>
      <c r="J169" s="234" t="n"/>
      <c r="K169" s="234" t="n"/>
      <c r="L169" s="234" t="n"/>
      <c r="M169" s="234" t="n"/>
      <c r="N169" s="234" t="n"/>
      <c r="O169" s="235" t="n"/>
    </row>
    <row r="170" ht="18" customHeight="1" s="145">
      <c r="A170" s="233" t="n"/>
      <c r="B170" s="233" t="n"/>
      <c r="C170" s="233" t="n"/>
      <c r="D170" s="234" t="n"/>
      <c r="J170" s="234" t="n"/>
      <c r="K170" s="234" t="n"/>
      <c r="L170" s="234" t="n"/>
      <c r="M170" s="234" t="n"/>
      <c r="N170" s="234" t="n"/>
      <c r="O170" s="235" t="n"/>
    </row>
    <row r="171" ht="18" customHeight="1" s="145">
      <c r="A171" s="233" t="n"/>
      <c r="B171" s="233" t="n"/>
      <c r="C171" s="233" t="n"/>
      <c r="D171" s="234" t="n"/>
      <c r="J171" s="234" t="n"/>
      <c r="K171" s="234" t="n"/>
      <c r="L171" s="234" t="n"/>
      <c r="M171" s="234" t="n"/>
      <c r="N171" s="234" t="n"/>
      <c r="O171" s="235" t="n"/>
    </row>
    <row r="172" ht="18" customHeight="1" s="145">
      <c r="A172" s="233" t="n"/>
      <c r="B172" s="233" t="n"/>
      <c r="C172" s="233" t="n"/>
      <c r="D172" s="234" t="n"/>
      <c r="J172" s="234" t="n"/>
      <c r="K172" s="234" t="n"/>
      <c r="L172" s="234" t="n"/>
      <c r="M172" s="234" t="n"/>
      <c r="N172" s="234" t="n"/>
      <c r="O172" s="235" t="n"/>
    </row>
    <row r="173" ht="18" customHeight="1" s="145">
      <c r="A173" s="233" t="n"/>
      <c r="B173" s="233" t="n"/>
      <c r="C173" s="233" t="n"/>
      <c r="D173" s="234" t="n"/>
      <c r="J173" s="234" t="n"/>
      <c r="K173" s="234" t="n"/>
      <c r="L173" s="234" t="n"/>
      <c r="M173" s="234" t="n"/>
      <c r="N173" s="234" t="n"/>
      <c r="O173" s="235" t="n"/>
    </row>
    <row r="174" ht="18" customHeight="1" s="145">
      <c r="A174" s="233" t="n"/>
      <c r="B174" s="233" t="n"/>
      <c r="C174" s="233" t="n"/>
      <c r="D174" s="234" t="n"/>
      <c r="J174" s="234" t="n"/>
      <c r="K174" s="234" t="n"/>
      <c r="L174" s="234" t="n"/>
      <c r="M174" s="234" t="n"/>
      <c r="N174" s="234" t="n"/>
      <c r="O174" s="235" t="n"/>
    </row>
    <row r="175" ht="18" customHeight="1" s="145">
      <c r="A175" s="233" t="n"/>
      <c r="B175" s="233" t="n"/>
      <c r="C175" s="233" t="n"/>
      <c r="D175" s="234" t="n"/>
      <c r="J175" s="234" t="n"/>
      <c r="K175" s="234" t="n"/>
      <c r="L175" s="234" t="n"/>
      <c r="M175" s="234" t="n"/>
      <c r="N175" s="234" t="n"/>
      <c r="O175" s="235" t="n"/>
    </row>
    <row r="176" ht="18" customHeight="1" s="145">
      <c r="A176" s="233" t="n"/>
      <c r="B176" s="233" t="n"/>
      <c r="C176" s="233" t="n"/>
      <c r="D176" s="234" t="n"/>
      <c r="J176" s="234" t="n"/>
      <c r="K176" s="234" t="n"/>
      <c r="L176" s="234" t="n"/>
      <c r="M176" s="234" t="n"/>
      <c r="N176" s="234" t="n"/>
      <c r="O176" s="235" t="n"/>
    </row>
    <row r="177" ht="18" customHeight="1" s="145">
      <c r="A177" s="233" t="n"/>
      <c r="B177" s="233" t="n"/>
      <c r="C177" s="233" t="n"/>
      <c r="D177" s="234" t="n"/>
      <c r="J177" s="234" t="n"/>
      <c r="K177" s="234" t="n"/>
      <c r="L177" s="234" t="n"/>
      <c r="M177" s="234" t="n"/>
      <c r="N177" s="234" t="n"/>
      <c r="O177" s="235" t="n"/>
    </row>
    <row r="178" ht="18" customHeight="1" s="145">
      <c r="A178" s="233" t="n"/>
      <c r="B178" s="233" t="n"/>
      <c r="C178" s="233" t="n"/>
      <c r="D178" s="234" t="n"/>
      <c r="J178" s="234" t="n"/>
      <c r="K178" s="234" t="n"/>
      <c r="L178" s="234" t="n"/>
      <c r="M178" s="234" t="n"/>
      <c r="N178" s="234" t="n"/>
      <c r="O178" s="235" t="n"/>
    </row>
    <row r="179" ht="18" customHeight="1" s="145">
      <c r="A179" s="233" t="n"/>
      <c r="B179" s="233" t="n"/>
      <c r="C179" s="233" t="n"/>
      <c r="D179" s="234" t="n"/>
      <c r="J179" s="234" t="n"/>
      <c r="K179" s="234" t="n"/>
      <c r="L179" s="234" t="n"/>
      <c r="M179" s="234" t="n"/>
      <c r="N179" s="234" t="n"/>
      <c r="O179" s="235" t="n"/>
    </row>
    <row r="180" ht="18" customHeight="1" s="145">
      <c r="A180" s="233" t="n"/>
      <c r="B180" s="233" t="n"/>
      <c r="C180" s="233" t="n"/>
      <c r="D180" s="234" t="n"/>
      <c r="J180" s="234" t="n"/>
      <c r="K180" s="234" t="n"/>
      <c r="L180" s="234" t="n"/>
      <c r="M180" s="234" t="n"/>
      <c r="N180" s="234" t="n"/>
      <c r="O180" s="235" t="n"/>
    </row>
    <row r="181" ht="18" customHeight="1" s="145">
      <c r="A181" s="233" t="n"/>
      <c r="B181" s="233" t="n"/>
      <c r="C181" s="233" t="n"/>
      <c r="D181" s="234" t="n"/>
      <c r="J181" s="234" t="n"/>
      <c r="K181" s="234" t="n"/>
      <c r="L181" s="234" t="n"/>
      <c r="M181" s="234" t="n"/>
      <c r="N181" s="234" t="n"/>
      <c r="O181" s="235" t="n"/>
    </row>
    <row r="182" ht="18" customHeight="1" s="145">
      <c r="A182" s="233" t="n"/>
      <c r="B182" s="233" t="n"/>
      <c r="C182" s="233" t="n"/>
      <c r="D182" s="234" t="n"/>
      <c r="J182" s="234" t="n"/>
      <c r="K182" s="234" t="n"/>
      <c r="L182" s="234" t="n"/>
      <c r="M182" s="234" t="n"/>
      <c r="N182" s="234" t="n"/>
      <c r="O182" s="235" t="n"/>
    </row>
    <row r="183" ht="18" customHeight="1" s="145">
      <c r="A183" s="233" t="n"/>
      <c r="B183" s="233" t="n"/>
      <c r="C183" s="233" t="n"/>
      <c r="D183" s="234" t="n"/>
      <c r="J183" s="234" t="n"/>
      <c r="K183" s="234" t="n"/>
      <c r="L183" s="234" t="n"/>
      <c r="M183" s="234" t="n"/>
      <c r="N183" s="234" t="n"/>
      <c r="O183" s="235" t="n"/>
    </row>
    <row r="184" ht="18" customHeight="1" s="145">
      <c r="A184" s="233" t="n"/>
      <c r="B184" s="233" t="n"/>
      <c r="C184" s="233" t="n"/>
      <c r="D184" s="234" t="n"/>
      <c r="J184" s="234" t="n"/>
      <c r="K184" s="234" t="n"/>
      <c r="L184" s="234" t="n"/>
      <c r="M184" s="234" t="n"/>
      <c r="N184" s="234" t="n"/>
      <c r="O184" s="235" t="n"/>
    </row>
    <row r="185" ht="18" customHeight="1" s="145">
      <c r="A185" s="233" t="n"/>
      <c r="B185" s="233" t="n"/>
      <c r="C185" s="233" t="n"/>
      <c r="D185" s="234" t="n"/>
      <c r="J185" s="234" t="n"/>
      <c r="K185" s="234" t="n"/>
      <c r="L185" s="234" t="n"/>
      <c r="M185" s="234" t="n"/>
      <c r="N185" s="234" t="n"/>
      <c r="O185" s="235" t="n"/>
    </row>
    <row r="186" ht="18" customHeight="1" s="145">
      <c r="A186" s="233" t="n"/>
      <c r="B186" s="233" t="n"/>
      <c r="C186" s="233" t="n"/>
      <c r="D186" s="234" t="n"/>
      <c r="J186" s="234" t="n"/>
      <c r="K186" s="234" t="n"/>
      <c r="L186" s="234" t="n"/>
      <c r="M186" s="234" t="n"/>
      <c r="N186" s="234" t="n"/>
      <c r="O186" s="235" t="n"/>
    </row>
    <row r="187" ht="18" customHeight="1" s="145">
      <c r="A187" s="233" t="n"/>
      <c r="B187" s="233" t="n"/>
      <c r="C187" s="233" t="n"/>
      <c r="D187" s="234" t="n"/>
      <c r="J187" s="234" t="n"/>
      <c r="K187" s="234" t="n"/>
      <c r="L187" s="234" t="n"/>
      <c r="M187" s="234" t="n"/>
      <c r="N187" s="234" t="n"/>
      <c r="O187" s="235" t="n"/>
    </row>
    <row r="188" ht="18" customHeight="1" s="145">
      <c r="A188" s="233" t="n"/>
      <c r="B188" s="233" t="n"/>
      <c r="C188" s="233" t="n"/>
      <c r="D188" s="234" t="n"/>
      <c r="J188" s="234" t="n"/>
      <c r="K188" s="234" t="n"/>
      <c r="L188" s="234" t="n"/>
      <c r="M188" s="234" t="n"/>
      <c r="N188" s="234" t="n"/>
      <c r="O188" s="235" t="n"/>
    </row>
    <row r="189" ht="18" customHeight="1" s="145">
      <c r="A189" s="233" t="n"/>
      <c r="B189" s="233" t="n"/>
      <c r="C189" s="233" t="n"/>
      <c r="D189" s="234" t="n"/>
      <c r="J189" s="234" t="n"/>
      <c r="K189" s="234" t="n"/>
      <c r="L189" s="234" t="n"/>
      <c r="M189" s="234" t="n"/>
      <c r="N189" s="234" t="n"/>
      <c r="O189" s="235" t="n"/>
    </row>
    <row r="190" ht="18" customHeight="1" s="145">
      <c r="A190" s="233" t="n"/>
      <c r="B190" s="233" t="n"/>
      <c r="C190" s="233" t="n"/>
      <c r="D190" s="234" t="n"/>
      <c r="J190" s="234" t="n"/>
      <c r="K190" s="234" t="n"/>
      <c r="L190" s="234" t="n"/>
      <c r="M190" s="234" t="n"/>
      <c r="N190" s="234" t="n"/>
      <c r="O190" s="235" t="n"/>
    </row>
    <row r="191" ht="18" customHeight="1" s="145">
      <c r="A191" s="233" t="n"/>
      <c r="B191" s="233" t="n"/>
      <c r="C191" s="233" t="n"/>
      <c r="D191" s="234" t="n"/>
      <c r="J191" s="234" t="n"/>
      <c r="K191" s="234" t="n"/>
      <c r="L191" s="234" t="n"/>
      <c r="M191" s="234" t="n"/>
      <c r="N191" s="234" t="n"/>
      <c r="O191" s="235" t="n"/>
    </row>
    <row r="192" ht="18" customHeight="1" s="145">
      <c r="A192" s="233" t="n"/>
      <c r="B192" s="233" t="n"/>
      <c r="C192" s="233" t="n"/>
      <c r="D192" s="234" t="n"/>
      <c r="J192" s="234" t="n"/>
      <c r="K192" s="234" t="n"/>
      <c r="L192" s="234" t="n"/>
      <c r="M192" s="234" t="n"/>
      <c r="N192" s="234" t="n"/>
      <c r="O192" s="235" t="n"/>
    </row>
    <row r="193" ht="18" customHeight="1" s="145">
      <c r="A193" s="233" t="n"/>
      <c r="B193" s="233" t="n"/>
      <c r="C193" s="233" t="n"/>
      <c r="D193" s="234" t="n"/>
      <c r="J193" s="234" t="n"/>
      <c r="K193" s="234" t="n"/>
      <c r="L193" s="234" t="n"/>
      <c r="M193" s="234" t="n"/>
      <c r="N193" s="234" t="n"/>
      <c r="O193" s="235" t="n"/>
    </row>
    <row r="194" ht="18" customHeight="1" s="145">
      <c r="A194" s="233" t="n"/>
      <c r="B194" s="233" t="n"/>
      <c r="C194" s="233" t="n"/>
      <c r="D194" s="234" t="n"/>
      <c r="J194" s="234" t="n"/>
      <c r="K194" s="234" t="n"/>
      <c r="L194" s="234" t="n"/>
      <c r="M194" s="234" t="n"/>
      <c r="N194" s="234" t="n"/>
      <c r="O194" s="235" t="n"/>
    </row>
    <row r="195" ht="18" customHeight="1" s="145">
      <c r="A195" s="233" t="n"/>
      <c r="B195" s="233" t="n"/>
      <c r="C195" s="233" t="n"/>
      <c r="D195" s="234" t="n"/>
      <c r="J195" s="234" t="n"/>
      <c r="K195" s="234" t="n"/>
      <c r="L195" s="234" t="n"/>
      <c r="M195" s="234" t="n"/>
      <c r="N195" s="234" t="n"/>
      <c r="O195" s="235" t="n"/>
    </row>
    <row r="196" ht="18" customHeight="1" s="145">
      <c r="A196" s="233" t="n"/>
      <c r="B196" s="233" t="n"/>
      <c r="C196" s="233" t="n"/>
      <c r="D196" s="234" t="n"/>
      <c r="J196" s="234" t="n"/>
      <c r="K196" s="234" t="n"/>
      <c r="L196" s="234" t="n"/>
      <c r="M196" s="234" t="n"/>
      <c r="N196" s="234" t="n"/>
      <c r="O196" s="235" t="n"/>
    </row>
    <row r="197" ht="18" customHeight="1" s="145">
      <c r="A197" s="233" t="n"/>
      <c r="B197" s="233" t="n"/>
      <c r="C197" s="233" t="n"/>
      <c r="D197" s="234" t="n"/>
      <c r="J197" s="234" t="n"/>
      <c r="K197" s="234" t="n"/>
      <c r="L197" s="234" t="n"/>
      <c r="M197" s="234" t="n"/>
      <c r="N197" s="234" t="n"/>
      <c r="O197" s="235" t="n"/>
    </row>
    <row r="198" ht="18" customHeight="1" s="145">
      <c r="A198" s="233" t="n"/>
      <c r="B198" s="233" t="n"/>
      <c r="C198" s="233" t="n"/>
      <c r="D198" s="234" t="n"/>
      <c r="J198" s="234" t="n"/>
      <c r="K198" s="234" t="n"/>
      <c r="L198" s="234" t="n"/>
      <c r="M198" s="234" t="n"/>
      <c r="N198" s="234" t="n"/>
      <c r="O198" s="235" t="n"/>
    </row>
    <row r="199" ht="18" customHeight="1" s="145">
      <c r="A199" s="233" t="n"/>
      <c r="B199" s="233" t="n"/>
      <c r="C199" s="233" t="n"/>
      <c r="D199" s="234" t="n"/>
      <c r="J199" s="234" t="n"/>
      <c r="K199" s="234" t="n"/>
      <c r="L199" s="234" t="n"/>
      <c r="M199" s="234" t="n"/>
      <c r="N199" s="234" t="n"/>
      <c r="O199" s="235" t="n"/>
    </row>
    <row r="200" ht="18" customHeight="1" s="145">
      <c r="A200" s="233" t="n"/>
      <c r="B200" s="233" t="n"/>
      <c r="C200" s="233" t="n"/>
      <c r="D200" s="234" t="n"/>
      <c r="J200" s="234" t="n"/>
      <c r="K200" s="234" t="n"/>
      <c r="L200" s="234" t="n"/>
      <c r="M200" s="234" t="n"/>
      <c r="N200" s="234" t="n"/>
      <c r="O200" s="235" t="n"/>
    </row>
    <row r="201" ht="18" customHeight="1" s="145">
      <c r="A201" s="233" t="n"/>
      <c r="B201" s="233" t="n"/>
      <c r="C201" s="233" t="n"/>
      <c r="D201" s="234" t="n"/>
      <c r="J201" s="234" t="n"/>
      <c r="K201" s="234" t="n"/>
      <c r="L201" s="234" t="n"/>
      <c r="M201" s="234" t="n"/>
      <c r="N201" s="234" t="n"/>
      <c r="O201" s="235" t="n"/>
    </row>
    <row r="202" ht="18" customHeight="1" s="145">
      <c r="A202" s="233" t="n"/>
      <c r="B202" s="233" t="n"/>
      <c r="C202" s="233" t="n"/>
      <c r="D202" s="234" t="n"/>
      <c r="J202" s="234" t="n"/>
      <c r="K202" s="234" t="n"/>
      <c r="L202" s="234" t="n"/>
      <c r="M202" s="234" t="n"/>
      <c r="N202" s="234" t="n"/>
      <c r="O202" s="235" t="n"/>
    </row>
    <row r="203" ht="18" customHeight="1" s="145">
      <c r="A203" s="233" t="n"/>
      <c r="B203" s="233" t="n"/>
      <c r="C203" s="233" t="n"/>
      <c r="D203" s="234" t="n"/>
      <c r="J203" s="234" t="n"/>
      <c r="K203" s="234" t="n"/>
      <c r="L203" s="234" t="n"/>
      <c r="M203" s="234" t="n"/>
      <c r="N203" s="234" t="n"/>
      <c r="O203" s="235" t="n"/>
    </row>
    <row r="204" ht="18" customHeight="1" s="145">
      <c r="A204" s="233" t="n"/>
      <c r="B204" s="233" t="n"/>
      <c r="C204" s="233" t="n"/>
      <c r="D204" s="234" t="n"/>
      <c r="J204" s="234" t="n"/>
      <c r="K204" s="234" t="n"/>
      <c r="L204" s="234" t="n"/>
      <c r="M204" s="234" t="n"/>
      <c r="N204" s="234" t="n"/>
      <c r="O204" s="235" t="n"/>
    </row>
    <row r="205" ht="18" customHeight="1" s="145">
      <c r="A205" s="233" t="n"/>
      <c r="B205" s="233" t="n"/>
      <c r="C205" s="233" t="n"/>
      <c r="D205" s="234" t="n"/>
      <c r="J205" s="234" t="n"/>
      <c r="K205" s="234" t="n"/>
      <c r="L205" s="234" t="n"/>
      <c r="M205" s="234" t="n"/>
      <c r="N205" s="234" t="n"/>
      <c r="O205" s="235" t="n"/>
    </row>
    <row r="206" ht="18" customHeight="1" s="145">
      <c r="A206" s="233" t="n"/>
      <c r="B206" s="233" t="n"/>
      <c r="C206" s="233" t="n"/>
      <c r="D206" s="234" t="n"/>
      <c r="J206" s="234" t="n"/>
      <c r="K206" s="234" t="n"/>
      <c r="L206" s="234" t="n"/>
      <c r="M206" s="234" t="n"/>
      <c r="N206" s="234" t="n"/>
      <c r="O206" s="235" t="n"/>
    </row>
    <row r="207" ht="18" customHeight="1" s="145">
      <c r="A207" s="233" t="n"/>
      <c r="B207" s="233" t="n"/>
      <c r="C207" s="233" t="n"/>
      <c r="D207" s="234" t="n"/>
      <c r="J207" s="234" t="n"/>
      <c r="K207" s="234" t="n"/>
      <c r="L207" s="234" t="n"/>
      <c r="M207" s="234" t="n"/>
      <c r="N207" s="234" t="n"/>
      <c r="O207" s="235" t="n"/>
    </row>
    <row r="208" ht="18" customHeight="1" s="145">
      <c r="A208" s="233" t="n"/>
      <c r="B208" s="233" t="n"/>
      <c r="C208" s="233" t="n"/>
      <c r="D208" s="234" t="n"/>
      <c r="J208" s="234" t="n"/>
      <c r="K208" s="234" t="n"/>
      <c r="L208" s="234" t="n"/>
      <c r="M208" s="234" t="n"/>
      <c r="N208" s="234" t="n"/>
      <c r="O208" s="235" t="n"/>
    </row>
    <row r="209" ht="18" customHeight="1" s="145">
      <c r="A209" s="233" t="n"/>
      <c r="B209" s="233" t="n"/>
      <c r="C209" s="233" t="n"/>
      <c r="D209" s="234" t="n"/>
      <c r="J209" s="234" t="n"/>
      <c r="K209" s="234" t="n"/>
      <c r="L209" s="234" t="n"/>
      <c r="M209" s="234" t="n"/>
      <c r="N209" s="234" t="n"/>
      <c r="O209" s="235" t="n"/>
    </row>
    <row r="210" ht="18" customHeight="1" s="145">
      <c r="A210" s="233" t="n"/>
      <c r="B210" s="233" t="n"/>
      <c r="C210" s="233" t="n"/>
      <c r="D210" s="234" t="n"/>
      <c r="J210" s="234" t="n"/>
      <c r="K210" s="234" t="n"/>
      <c r="L210" s="234" t="n"/>
      <c r="M210" s="234" t="n"/>
      <c r="N210" s="234" t="n"/>
      <c r="O210" s="235" t="n"/>
    </row>
    <row r="211" ht="18" customHeight="1" s="145">
      <c r="A211" s="233" t="n"/>
      <c r="B211" s="233" t="n"/>
      <c r="C211" s="233" t="n"/>
      <c r="D211" s="234" t="n"/>
      <c r="J211" s="234" t="n"/>
      <c r="K211" s="234" t="n"/>
      <c r="L211" s="234" t="n"/>
      <c r="M211" s="234" t="n"/>
      <c r="N211" s="234" t="n"/>
      <c r="O211" s="235" t="n"/>
    </row>
    <row r="212" ht="18" customHeight="1" s="145">
      <c r="A212" s="233" t="n"/>
      <c r="B212" s="233" t="n"/>
      <c r="C212" s="233" t="n"/>
      <c r="D212" s="234" t="n"/>
      <c r="J212" s="234" t="n"/>
      <c r="K212" s="234" t="n"/>
      <c r="L212" s="234" t="n"/>
      <c r="M212" s="234" t="n"/>
      <c r="N212" s="234" t="n"/>
      <c r="O212" s="235" t="n"/>
    </row>
    <row r="213" ht="18" customHeight="1" s="145">
      <c r="A213" s="233" t="n"/>
      <c r="B213" s="233" t="n"/>
      <c r="C213" s="233" t="n"/>
      <c r="D213" s="234" t="n"/>
      <c r="J213" s="234" t="n"/>
      <c r="K213" s="234" t="n"/>
      <c r="L213" s="234" t="n"/>
      <c r="M213" s="234" t="n"/>
      <c r="N213" s="234" t="n"/>
      <c r="O213" s="235" t="n"/>
    </row>
    <row r="214" ht="18" customHeight="1" s="145">
      <c r="A214" s="233" t="n"/>
      <c r="B214" s="233" t="n"/>
      <c r="C214" s="233" t="n"/>
      <c r="D214" s="234" t="n"/>
      <c r="J214" s="234" t="n"/>
      <c r="K214" s="234" t="n"/>
      <c r="L214" s="234" t="n"/>
      <c r="M214" s="234" t="n"/>
      <c r="N214" s="234" t="n"/>
      <c r="O214" s="235" t="n"/>
    </row>
    <row r="215" ht="18" customHeight="1" s="145">
      <c r="A215" s="233" t="n"/>
      <c r="B215" s="233" t="n"/>
      <c r="C215" s="233" t="n"/>
      <c r="D215" s="234" t="n"/>
      <c r="J215" s="234" t="n"/>
      <c r="K215" s="234" t="n"/>
      <c r="L215" s="234" t="n"/>
      <c r="M215" s="234" t="n"/>
      <c r="N215" s="234" t="n"/>
      <c r="O215" s="235" t="n"/>
    </row>
    <row r="216" ht="18" customHeight="1" s="145">
      <c r="A216" s="233" t="n"/>
      <c r="B216" s="233" t="n"/>
      <c r="C216" s="233" t="n"/>
      <c r="D216" s="234" t="n"/>
      <c r="J216" s="234" t="n"/>
      <c r="K216" s="234" t="n"/>
      <c r="L216" s="234" t="n"/>
      <c r="M216" s="234" t="n"/>
      <c r="N216" s="234" t="n"/>
      <c r="O216" s="235" t="n"/>
    </row>
    <row r="217" ht="18" customHeight="1" s="145">
      <c r="A217" s="233" t="n"/>
      <c r="B217" s="233" t="n"/>
      <c r="C217" s="233" t="n"/>
      <c r="D217" s="234" t="n"/>
      <c r="J217" s="234" t="n"/>
      <c r="K217" s="234" t="n"/>
      <c r="L217" s="234" t="n"/>
      <c r="M217" s="234" t="n"/>
      <c r="N217" s="234" t="n"/>
      <c r="O217" s="235" t="n"/>
    </row>
    <row r="218" ht="18" customHeight="1" s="145">
      <c r="A218" s="233" t="n"/>
      <c r="B218" s="233" t="n"/>
      <c r="C218" s="233" t="n"/>
      <c r="D218" s="234" t="n"/>
      <c r="J218" s="234" t="n"/>
      <c r="K218" s="234" t="n"/>
      <c r="L218" s="234" t="n"/>
      <c r="M218" s="234" t="n"/>
      <c r="N218" s="234" t="n"/>
      <c r="O218" s="235" t="n"/>
    </row>
    <row r="219" ht="18" customHeight="1" s="145">
      <c r="A219" s="233" t="n"/>
      <c r="B219" s="233" t="n"/>
      <c r="C219" s="233" t="n"/>
      <c r="D219" s="234" t="n"/>
      <c r="J219" s="234" t="n"/>
      <c r="K219" s="234" t="n"/>
      <c r="L219" s="234" t="n"/>
      <c r="M219" s="234" t="n"/>
      <c r="N219" s="234" t="n"/>
      <c r="O219" s="235" t="n"/>
    </row>
    <row r="220" ht="18" customHeight="1" s="145">
      <c r="A220" s="233" t="n"/>
      <c r="B220" s="233" t="n"/>
      <c r="C220" s="233" t="n"/>
      <c r="D220" s="234" t="n"/>
      <c r="J220" s="234" t="n"/>
      <c r="K220" s="234" t="n"/>
      <c r="L220" s="234" t="n"/>
      <c r="M220" s="234" t="n"/>
      <c r="N220" s="234" t="n"/>
      <c r="O220" s="235" t="n"/>
    </row>
    <row r="221" ht="18" customHeight="1" s="145">
      <c r="A221" s="233" t="n"/>
      <c r="B221" s="233" t="n"/>
      <c r="C221" s="233" t="n"/>
      <c r="D221" s="234" t="n"/>
      <c r="J221" s="234" t="n"/>
      <c r="K221" s="234" t="n"/>
      <c r="L221" s="234" t="n"/>
      <c r="M221" s="234" t="n"/>
      <c r="N221" s="234" t="n"/>
      <c r="O221" s="235" t="n"/>
    </row>
    <row r="222" ht="18" customHeight="1" s="145">
      <c r="A222" s="233" t="n"/>
      <c r="B222" s="233" t="n"/>
      <c r="C222" s="233" t="n"/>
      <c r="D222" s="234" t="n"/>
      <c r="J222" s="234" t="n"/>
      <c r="K222" s="234" t="n"/>
      <c r="L222" s="234" t="n"/>
      <c r="M222" s="234" t="n"/>
      <c r="N222" s="234" t="n"/>
      <c r="O222" s="235" t="n"/>
    </row>
    <row r="223" ht="18" customHeight="1" s="145">
      <c r="A223" s="233" t="n"/>
      <c r="B223" s="233" t="n"/>
      <c r="C223" s="233" t="n"/>
      <c r="D223" s="234" t="n"/>
      <c r="J223" s="234" t="n"/>
      <c r="K223" s="234" t="n"/>
      <c r="L223" s="234" t="n"/>
      <c r="M223" s="234" t="n"/>
      <c r="N223" s="234" t="n"/>
      <c r="O223" s="235" t="n"/>
    </row>
    <row r="224" ht="18" customHeight="1" s="145">
      <c r="A224" s="233" t="n"/>
      <c r="B224" s="233" t="n"/>
      <c r="C224" s="233" t="n"/>
      <c r="D224" s="234" t="n"/>
      <c r="J224" s="234" t="n"/>
      <c r="K224" s="234" t="n"/>
      <c r="L224" s="234" t="n"/>
      <c r="M224" s="234" t="n"/>
      <c r="N224" s="234" t="n"/>
      <c r="O224" s="235" t="n"/>
    </row>
    <row r="225" ht="18" customHeight="1" s="145">
      <c r="A225" s="233" t="n"/>
      <c r="B225" s="233" t="n"/>
      <c r="C225" s="233" t="n"/>
      <c r="D225" s="234" t="n"/>
      <c r="J225" s="234" t="n"/>
      <c r="K225" s="234" t="n"/>
      <c r="L225" s="234" t="n"/>
      <c r="M225" s="234" t="n"/>
      <c r="N225" s="234" t="n"/>
      <c r="O225" s="235" t="n"/>
    </row>
    <row r="226" ht="18" customHeight="1" s="145">
      <c r="A226" s="233" t="n"/>
      <c r="B226" s="233" t="n"/>
      <c r="C226" s="233" t="n"/>
      <c r="D226" s="234" t="n"/>
      <c r="J226" s="234" t="n"/>
      <c r="K226" s="234" t="n"/>
      <c r="L226" s="234" t="n"/>
      <c r="M226" s="234" t="n"/>
      <c r="N226" s="234" t="n"/>
      <c r="O226" s="235" t="n"/>
    </row>
    <row r="227" ht="18" customHeight="1" s="145">
      <c r="A227" s="233" t="n"/>
      <c r="B227" s="233" t="n"/>
      <c r="C227" s="233" t="n"/>
      <c r="D227" s="234" t="n"/>
      <c r="J227" s="234" t="n"/>
      <c r="K227" s="234" t="n"/>
      <c r="L227" s="234" t="n"/>
      <c r="M227" s="234" t="n"/>
      <c r="N227" s="234" t="n"/>
      <c r="O227" s="235" t="n"/>
    </row>
    <row r="228" ht="18" customHeight="1" s="145">
      <c r="A228" s="233" t="n"/>
      <c r="B228" s="233" t="n"/>
      <c r="C228" s="233" t="n"/>
      <c r="D228" s="234" t="n"/>
      <c r="J228" s="234" t="n"/>
      <c r="K228" s="234" t="n"/>
      <c r="L228" s="234" t="n"/>
      <c r="M228" s="234" t="n"/>
      <c r="N228" s="234" t="n"/>
      <c r="O228" s="235" t="n"/>
    </row>
    <row r="229" ht="18" customHeight="1" s="145">
      <c r="A229" s="233" t="n"/>
      <c r="B229" s="233" t="n"/>
      <c r="C229" s="233" t="n"/>
      <c r="D229" s="234" t="n"/>
      <c r="J229" s="234" t="n"/>
      <c r="K229" s="234" t="n"/>
      <c r="L229" s="234" t="n"/>
      <c r="M229" s="234" t="n"/>
      <c r="N229" s="234" t="n"/>
      <c r="O229" s="235" t="n"/>
    </row>
    <row r="230" ht="18" customHeight="1" s="145">
      <c r="A230" s="233" t="n"/>
      <c r="B230" s="233" t="n"/>
      <c r="C230" s="233" t="n"/>
      <c r="D230" s="234" t="n"/>
      <c r="J230" s="234" t="n"/>
      <c r="K230" s="234" t="n"/>
      <c r="L230" s="234" t="n"/>
      <c r="M230" s="234" t="n"/>
      <c r="N230" s="234" t="n"/>
      <c r="O230" s="235" t="n"/>
    </row>
    <row r="231" ht="18" customHeight="1" s="145">
      <c r="A231" s="233" t="n"/>
      <c r="B231" s="233" t="n"/>
      <c r="C231" s="233" t="n"/>
      <c r="D231" s="234" t="n"/>
      <c r="J231" s="234" t="n"/>
      <c r="K231" s="234" t="n"/>
      <c r="L231" s="234" t="n"/>
      <c r="M231" s="234" t="n"/>
      <c r="N231" s="234" t="n"/>
      <c r="O231" s="235" t="n"/>
    </row>
    <row r="232" ht="18" customHeight="1" s="145">
      <c r="A232" s="233" t="n"/>
      <c r="B232" s="233" t="n"/>
      <c r="C232" s="233" t="n"/>
      <c r="D232" s="234" t="n"/>
      <c r="J232" s="234" t="n"/>
      <c r="K232" s="234" t="n"/>
      <c r="L232" s="234" t="n"/>
      <c r="M232" s="234" t="n"/>
      <c r="N232" s="234" t="n"/>
      <c r="O232" s="235" t="n"/>
    </row>
    <row r="233" ht="18" customHeight="1" s="145">
      <c r="A233" s="233" t="n"/>
      <c r="B233" s="233" t="n"/>
      <c r="C233" s="233" t="n"/>
      <c r="D233" s="234" t="n"/>
      <c r="J233" s="234" t="n"/>
      <c r="K233" s="234" t="n"/>
      <c r="L233" s="234" t="n"/>
      <c r="M233" s="234" t="n"/>
      <c r="N233" s="234" t="n"/>
      <c r="O233" s="235" t="n"/>
    </row>
    <row r="234" ht="18" customHeight="1" s="145">
      <c r="A234" s="233" t="n"/>
      <c r="B234" s="233" t="n"/>
      <c r="C234" s="233" t="n"/>
      <c r="D234" s="234" t="n"/>
      <c r="J234" s="234" t="n"/>
      <c r="K234" s="234" t="n"/>
      <c r="L234" s="234" t="n"/>
      <c r="M234" s="234" t="n"/>
      <c r="N234" s="234" t="n"/>
      <c r="O234" s="235" t="n"/>
    </row>
    <row r="235" ht="18" customHeight="1" s="145">
      <c r="A235" s="233" t="n"/>
      <c r="B235" s="233" t="n"/>
      <c r="C235" s="233" t="n"/>
      <c r="D235" s="234" t="n"/>
      <c r="J235" s="234" t="n"/>
      <c r="K235" s="234" t="n"/>
      <c r="L235" s="234" t="n"/>
      <c r="M235" s="234" t="n"/>
      <c r="N235" s="234" t="n"/>
      <c r="O235" s="235" t="n"/>
    </row>
    <row r="236" ht="18" customHeight="1" s="145">
      <c r="A236" s="233" t="n"/>
      <c r="B236" s="233" t="n"/>
      <c r="C236" s="233" t="n"/>
      <c r="D236" s="234" t="n"/>
      <c r="J236" s="234" t="n"/>
      <c r="K236" s="234" t="n"/>
      <c r="L236" s="234" t="n"/>
      <c r="M236" s="234" t="n"/>
      <c r="N236" s="234" t="n"/>
      <c r="O236" s="235" t="n"/>
    </row>
    <row r="237" ht="18" customHeight="1" s="145">
      <c r="A237" s="233" t="n"/>
      <c r="B237" s="233" t="n"/>
      <c r="C237" s="233" t="n"/>
      <c r="D237" s="234" t="n"/>
      <c r="J237" s="234" t="n"/>
      <c r="K237" s="234" t="n"/>
      <c r="L237" s="234" t="n"/>
      <c r="M237" s="234" t="n"/>
      <c r="N237" s="234" t="n"/>
      <c r="O237" s="235" t="n"/>
    </row>
    <row r="238" ht="18" customHeight="1" s="145">
      <c r="A238" s="233" t="n"/>
      <c r="B238" s="233" t="n"/>
      <c r="C238" s="233" t="n"/>
      <c r="D238" s="234" t="n"/>
      <c r="J238" s="234" t="n"/>
      <c r="K238" s="234" t="n"/>
      <c r="L238" s="234" t="n"/>
      <c r="M238" s="234" t="n"/>
      <c r="N238" s="234" t="n"/>
      <c r="O238" s="235" t="n"/>
    </row>
    <row r="239" ht="18" customHeight="1" s="145">
      <c r="A239" s="233" t="n"/>
      <c r="B239" s="233" t="n"/>
      <c r="C239" s="233" t="n"/>
      <c r="D239" s="234" t="n"/>
      <c r="J239" s="234" t="n"/>
      <c r="K239" s="234" t="n"/>
      <c r="L239" s="234" t="n"/>
      <c r="M239" s="234" t="n"/>
      <c r="N239" s="234" t="n"/>
      <c r="O239" s="235" t="n"/>
    </row>
    <row r="240" ht="18" customHeight="1" s="145">
      <c r="A240" s="233" t="n"/>
      <c r="B240" s="233" t="n"/>
      <c r="C240" s="233" t="n"/>
      <c r="D240" s="234" t="n"/>
      <c r="J240" s="234" t="n"/>
      <c r="K240" s="234" t="n"/>
      <c r="L240" s="234" t="n"/>
      <c r="M240" s="234" t="n"/>
      <c r="N240" s="234" t="n"/>
      <c r="O240" s="235" t="n"/>
    </row>
    <row r="241" ht="18" customHeight="1" s="145">
      <c r="A241" s="233" t="n"/>
      <c r="B241" s="233" t="n"/>
      <c r="C241" s="233" t="n"/>
      <c r="D241" s="234" t="n"/>
      <c r="J241" s="234" t="n"/>
      <c r="K241" s="234" t="n"/>
      <c r="L241" s="234" t="n"/>
      <c r="M241" s="234" t="n"/>
      <c r="N241" s="234" t="n"/>
      <c r="O241" s="235" t="n"/>
    </row>
    <row r="242" ht="18" customHeight="1" s="145">
      <c r="A242" s="233" t="n"/>
      <c r="B242" s="233" t="n"/>
      <c r="C242" s="233" t="n"/>
      <c r="D242" s="234" t="n"/>
      <c r="J242" s="234" t="n"/>
      <c r="K242" s="234" t="n"/>
      <c r="L242" s="234" t="n"/>
      <c r="M242" s="234" t="n"/>
      <c r="N242" s="234" t="n"/>
      <c r="O242" s="235" t="n"/>
    </row>
    <row r="243" ht="18" customHeight="1" s="145">
      <c r="A243" s="233" t="n"/>
      <c r="B243" s="233" t="n"/>
      <c r="C243" s="233" t="n"/>
      <c r="D243" s="234" t="n"/>
      <c r="J243" s="234" t="n"/>
      <c r="K243" s="234" t="n"/>
      <c r="L243" s="234" t="n"/>
      <c r="M243" s="234" t="n"/>
      <c r="N243" s="234" t="n"/>
      <c r="O243" s="235" t="n"/>
    </row>
    <row r="244" ht="18" customHeight="1" s="145">
      <c r="A244" s="233" t="n"/>
      <c r="B244" s="233" t="n"/>
      <c r="C244" s="233" t="n"/>
      <c r="D244" s="234" t="n"/>
      <c r="J244" s="234" t="n"/>
      <c r="K244" s="234" t="n"/>
      <c r="L244" s="234" t="n"/>
      <c r="M244" s="234" t="n"/>
      <c r="N244" s="234" t="n"/>
      <c r="O244" s="235" t="n"/>
    </row>
    <row r="245" ht="18" customHeight="1" s="145">
      <c r="A245" s="233" t="n"/>
      <c r="B245" s="233" t="n"/>
      <c r="C245" s="233" t="n"/>
      <c r="D245" s="234" t="n"/>
      <c r="J245" s="234" t="n"/>
      <c r="K245" s="234" t="n"/>
      <c r="L245" s="234" t="n"/>
      <c r="M245" s="234" t="n"/>
      <c r="N245" s="234" t="n"/>
      <c r="O245" s="235" t="n"/>
    </row>
    <row r="246" ht="18" customHeight="1" s="145">
      <c r="A246" s="233" t="n"/>
      <c r="B246" s="233" t="n"/>
      <c r="C246" s="233" t="n"/>
      <c r="D246" s="234" t="n"/>
      <c r="J246" s="234" t="n"/>
      <c r="K246" s="234" t="n"/>
      <c r="L246" s="234" t="n"/>
      <c r="M246" s="234" t="n"/>
      <c r="N246" s="234" t="n"/>
      <c r="O246" s="235" t="n"/>
    </row>
    <row r="247" ht="18" customHeight="1" s="145">
      <c r="A247" s="233" t="n"/>
      <c r="B247" s="233" t="n"/>
      <c r="C247" s="233" t="n"/>
      <c r="D247" s="234" t="n"/>
      <c r="J247" s="234" t="n"/>
      <c r="K247" s="234" t="n"/>
      <c r="L247" s="234" t="n"/>
      <c r="M247" s="234" t="n"/>
      <c r="N247" s="234" t="n"/>
      <c r="O247" s="235" t="n"/>
    </row>
    <row r="248" ht="18" customHeight="1" s="145">
      <c r="A248" s="233" t="n"/>
      <c r="B248" s="233" t="n"/>
      <c r="C248" s="233" t="n"/>
      <c r="D248" s="234" t="n"/>
      <c r="J248" s="234" t="n"/>
      <c r="K248" s="234" t="n"/>
      <c r="L248" s="234" t="n"/>
      <c r="M248" s="234" t="n"/>
      <c r="N248" s="234" t="n"/>
      <c r="O248" s="235" t="n"/>
    </row>
    <row r="249" ht="18" customHeight="1" s="145">
      <c r="A249" s="233" t="n"/>
      <c r="B249" s="233" t="n"/>
      <c r="C249" s="233" t="n"/>
      <c r="D249" s="234" t="n"/>
      <c r="J249" s="234" t="n"/>
      <c r="K249" s="234" t="n"/>
      <c r="L249" s="234" t="n"/>
      <c r="M249" s="234" t="n"/>
      <c r="N249" s="234" t="n"/>
      <c r="O249" s="235" t="n"/>
    </row>
    <row r="250" ht="18" customHeight="1" s="145">
      <c r="A250" s="233" t="n"/>
      <c r="B250" s="233" t="n"/>
      <c r="C250" s="233" t="n"/>
      <c r="D250" s="234" t="n"/>
      <c r="J250" s="234" t="n"/>
      <c r="K250" s="234" t="n"/>
      <c r="L250" s="234" t="n"/>
      <c r="M250" s="234" t="n"/>
      <c r="N250" s="234" t="n"/>
      <c r="O250" s="235" t="n"/>
    </row>
    <row r="251" ht="18" customHeight="1" s="145">
      <c r="A251" s="233" t="n"/>
      <c r="B251" s="233" t="n"/>
      <c r="C251" s="233" t="n"/>
      <c r="D251" s="234" t="n"/>
      <c r="J251" s="234" t="n"/>
      <c r="K251" s="234" t="n"/>
      <c r="L251" s="234" t="n"/>
      <c r="M251" s="234" t="n"/>
      <c r="N251" s="234" t="n"/>
      <c r="O251" s="235" t="n"/>
    </row>
    <row r="252" ht="18" customHeight="1" s="145">
      <c r="A252" s="233" t="n"/>
      <c r="B252" s="233" t="n"/>
      <c r="C252" s="233" t="n"/>
      <c r="D252" s="234" t="n"/>
      <c r="J252" s="234" t="n"/>
      <c r="K252" s="234" t="n"/>
      <c r="L252" s="234" t="n"/>
      <c r="M252" s="234" t="n"/>
      <c r="N252" s="234" t="n"/>
      <c r="O252" s="235" t="n"/>
    </row>
    <row r="253" ht="18" customHeight="1" s="145">
      <c r="A253" s="233" t="n"/>
      <c r="B253" s="233" t="n"/>
      <c r="C253" s="233" t="n"/>
      <c r="D253" s="234" t="n"/>
      <c r="J253" s="234" t="n"/>
      <c r="K253" s="234" t="n"/>
      <c r="L253" s="234" t="n"/>
      <c r="M253" s="234" t="n"/>
      <c r="N253" s="234" t="n"/>
      <c r="O253" s="235" t="n"/>
    </row>
    <row r="254" ht="18" customHeight="1" s="145">
      <c r="A254" s="233" t="n"/>
      <c r="B254" s="233" t="n"/>
      <c r="C254" s="233" t="n"/>
      <c r="D254" s="234" t="n"/>
      <c r="J254" s="234" t="n"/>
      <c r="K254" s="234" t="n"/>
      <c r="L254" s="234" t="n"/>
      <c r="M254" s="234" t="n"/>
      <c r="N254" s="234" t="n"/>
      <c r="O254" s="235" t="n"/>
    </row>
    <row r="255" ht="18" customHeight="1" s="145">
      <c r="A255" s="233" t="n"/>
      <c r="B255" s="233" t="n"/>
      <c r="C255" s="233" t="n"/>
      <c r="D255" s="234" t="n"/>
      <c r="J255" s="234" t="n"/>
      <c r="K255" s="234" t="n"/>
      <c r="L255" s="234" t="n"/>
      <c r="M255" s="234" t="n"/>
      <c r="N255" s="234" t="n"/>
      <c r="O255" s="235" t="n"/>
    </row>
    <row r="256" ht="18" customHeight="1" s="145">
      <c r="A256" s="233" t="n"/>
      <c r="B256" s="233" t="n"/>
      <c r="C256" s="233" t="n"/>
      <c r="D256" s="234" t="n"/>
      <c r="J256" s="234" t="n"/>
      <c r="K256" s="234" t="n"/>
      <c r="L256" s="234" t="n"/>
      <c r="M256" s="234" t="n"/>
      <c r="N256" s="234" t="n"/>
      <c r="O256" s="235" t="n"/>
    </row>
    <row r="257" ht="18" customHeight="1" s="145">
      <c r="A257" s="233" t="n"/>
      <c r="B257" s="233" t="n"/>
      <c r="C257" s="233" t="n"/>
      <c r="D257" s="234" t="n"/>
      <c r="J257" s="234" t="n"/>
      <c r="K257" s="234" t="n"/>
      <c r="L257" s="234" t="n"/>
      <c r="M257" s="234" t="n"/>
      <c r="N257" s="234" t="n"/>
      <c r="O257" s="235" t="n"/>
    </row>
    <row r="258" ht="18" customHeight="1" s="145">
      <c r="A258" s="233" t="n"/>
      <c r="B258" s="233" t="n"/>
      <c r="C258" s="233" t="n"/>
      <c r="D258" s="234" t="n"/>
      <c r="J258" s="234" t="n"/>
      <c r="K258" s="234" t="n"/>
      <c r="L258" s="234" t="n"/>
      <c r="M258" s="234" t="n"/>
      <c r="N258" s="234" t="n"/>
      <c r="O258" s="235" t="n"/>
    </row>
    <row r="259" ht="18" customHeight="1" s="145">
      <c r="A259" s="233" t="n"/>
      <c r="B259" s="233" t="n"/>
      <c r="C259" s="233" t="n"/>
      <c r="D259" s="234" t="n"/>
      <c r="J259" s="234" t="n"/>
      <c r="K259" s="234" t="n"/>
      <c r="L259" s="234" t="n"/>
      <c r="M259" s="234" t="n"/>
      <c r="N259" s="234" t="n"/>
      <c r="O259" s="235" t="n"/>
    </row>
    <row r="260" ht="18" customHeight="1" s="145">
      <c r="A260" s="233" t="n"/>
      <c r="B260" s="233" t="n"/>
      <c r="C260" s="233" t="n"/>
      <c r="D260" s="234" t="n"/>
      <c r="J260" s="234" t="n"/>
      <c r="K260" s="234" t="n"/>
      <c r="L260" s="234" t="n"/>
      <c r="M260" s="234" t="n"/>
      <c r="N260" s="234" t="n"/>
      <c r="O260" s="235" t="n"/>
    </row>
    <row r="261" ht="18" customHeight="1" s="145">
      <c r="A261" s="233" t="n"/>
      <c r="B261" s="233" t="n"/>
      <c r="C261" s="233" t="n"/>
      <c r="D261" s="234" t="n"/>
      <c r="J261" s="234" t="n"/>
      <c r="K261" s="234" t="n"/>
      <c r="L261" s="234" t="n"/>
      <c r="M261" s="234" t="n"/>
      <c r="N261" s="234" t="n"/>
      <c r="O261" s="235" t="n"/>
    </row>
    <row r="262" ht="18" customHeight="1" s="145">
      <c r="A262" s="233" t="n"/>
      <c r="B262" s="233" t="n"/>
      <c r="C262" s="233" t="n"/>
      <c r="D262" s="234" t="n"/>
      <c r="J262" s="234" t="n"/>
      <c r="K262" s="234" t="n"/>
      <c r="L262" s="234" t="n"/>
      <c r="M262" s="234" t="n"/>
      <c r="N262" s="234" t="n"/>
      <c r="O262" s="235" t="n"/>
    </row>
    <row r="263" ht="18" customHeight="1" s="145">
      <c r="A263" s="233" t="n"/>
      <c r="B263" s="233" t="n"/>
      <c r="C263" s="233" t="n"/>
      <c r="D263" s="234" t="n"/>
      <c r="J263" s="234" t="n"/>
      <c r="K263" s="234" t="n"/>
      <c r="L263" s="234" t="n"/>
      <c r="M263" s="234" t="n"/>
      <c r="N263" s="234" t="n"/>
      <c r="O263" s="235" t="n"/>
    </row>
    <row r="264" ht="18" customHeight="1" s="145">
      <c r="A264" s="233" t="n"/>
      <c r="B264" s="233" t="n"/>
      <c r="C264" s="233" t="n"/>
      <c r="D264" s="234" t="n"/>
      <c r="J264" s="234" t="n"/>
      <c r="K264" s="234" t="n"/>
      <c r="L264" s="234" t="n"/>
      <c r="M264" s="234" t="n"/>
      <c r="N264" s="234" t="n"/>
      <c r="O264" s="235" t="n"/>
    </row>
    <row r="265" ht="18" customHeight="1" s="145">
      <c r="A265" s="233" t="n"/>
      <c r="B265" s="233" t="n"/>
      <c r="C265" s="233" t="n"/>
      <c r="D265" s="234" t="n"/>
      <c r="J265" s="234" t="n"/>
      <c r="K265" s="234" t="n"/>
      <c r="L265" s="234" t="n"/>
      <c r="M265" s="234" t="n"/>
      <c r="N265" s="234" t="n"/>
      <c r="O265" s="235" t="n"/>
    </row>
    <row r="266" ht="18" customHeight="1" s="145">
      <c r="A266" s="233" t="n"/>
      <c r="B266" s="233" t="n"/>
      <c r="C266" s="233" t="n"/>
      <c r="D266" s="234" t="n"/>
      <c r="J266" s="234" t="n"/>
      <c r="K266" s="234" t="n"/>
      <c r="L266" s="234" t="n"/>
      <c r="M266" s="234" t="n"/>
      <c r="N266" s="234" t="n"/>
      <c r="O266" s="235" t="n"/>
    </row>
    <row r="267" ht="18" customHeight="1" s="145">
      <c r="A267" s="233" t="n"/>
      <c r="B267" s="233" t="n"/>
      <c r="C267" s="233" t="n"/>
      <c r="D267" s="234" t="n"/>
      <c r="J267" s="234" t="n"/>
      <c r="K267" s="234" t="n"/>
      <c r="L267" s="234" t="n"/>
      <c r="M267" s="234" t="n"/>
      <c r="N267" s="234" t="n"/>
      <c r="O267" s="235" t="n"/>
    </row>
    <row r="268" ht="18" customHeight="1" s="145">
      <c r="A268" s="233" t="n"/>
      <c r="B268" s="233" t="n"/>
      <c r="C268" s="233" t="n"/>
      <c r="D268" s="234" t="n"/>
      <c r="J268" s="234" t="n"/>
      <c r="K268" s="234" t="n"/>
      <c r="L268" s="234" t="n"/>
      <c r="M268" s="234" t="n"/>
      <c r="N268" s="234" t="n"/>
      <c r="O268" s="235" t="n"/>
    </row>
    <row r="269" ht="18" customHeight="1" s="145">
      <c r="A269" s="233" t="n"/>
      <c r="B269" s="233" t="n"/>
      <c r="C269" s="233" t="n"/>
      <c r="D269" s="234" t="n"/>
      <c r="J269" s="234" t="n"/>
      <c r="K269" s="234" t="n"/>
      <c r="L269" s="234" t="n"/>
      <c r="M269" s="234" t="n"/>
      <c r="N269" s="234" t="n"/>
      <c r="O269" s="235" t="n"/>
    </row>
    <row r="270" ht="18" customHeight="1" s="145">
      <c r="A270" s="233" t="n"/>
      <c r="B270" s="233" t="n"/>
      <c r="C270" s="233" t="n"/>
      <c r="D270" s="234" t="n"/>
      <c r="J270" s="234" t="n"/>
      <c r="K270" s="234" t="n"/>
      <c r="L270" s="234" t="n"/>
      <c r="M270" s="234" t="n"/>
      <c r="N270" s="234" t="n"/>
      <c r="O270" s="235" t="n"/>
    </row>
    <row r="271" ht="18" customHeight="1" s="145">
      <c r="A271" s="233" t="n"/>
      <c r="B271" s="233" t="n"/>
      <c r="C271" s="233" t="n"/>
      <c r="D271" s="234" t="n"/>
      <c r="J271" s="234" t="n"/>
      <c r="K271" s="234" t="n"/>
      <c r="L271" s="234" t="n"/>
      <c r="M271" s="234" t="n"/>
      <c r="N271" s="234" t="n"/>
      <c r="O271" s="235" t="n"/>
    </row>
    <row r="272" ht="18" customHeight="1" s="145">
      <c r="A272" s="233" t="n"/>
      <c r="B272" s="233" t="n"/>
      <c r="C272" s="233" t="n"/>
      <c r="D272" s="234" t="n"/>
      <c r="J272" s="234" t="n"/>
      <c r="K272" s="234" t="n"/>
      <c r="L272" s="234" t="n"/>
      <c r="M272" s="234" t="n"/>
      <c r="N272" s="234" t="n"/>
      <c r="O272" s="235" t="n"/>
    </row>
    <row r="273" ht="18" customHeight="1" s="145">
      <c r="A273" s="233" t="n"/>
      <c r="B273" s="233" t="n"/>
      <c r="C273" s="233" t="n"/>
      <c r="D273" s="234" t="n"/>
      <c r="J273" s="234" t="n"/>
      <c r="K273" s="234" t="n"/>
      <c r="L273" s="234" t="n"/>
      <c r="M273" s="234" t="n"/>
      <c r="N273" s="234" t="n"/>
      <c r="O273" s="235" t="n"/>
    </row>
    <row r="274" ht="18" customHeight="1" s="145">
      <c r="A274" s="233" t="n"/>
      <c r="B274" s="233" t="n"/>
      <c r="C274" s="233" t="n"/>
      <c r="D274" s="234" t="n"/>
      <c r="J274" s="234" t="n"/>
      <c r="K274" s="234" t="n"/>
      <c r="L274" s="234" t="n"/>
      <c r="M274" s="234" t="n"/>
      <c r="N274" s="234" t="n"/>
      <c r="O274" s="235" t="n"/>
    </row>
    <row r="275" ht="18" customHeight="1" s="145">
      <c r="A275" s="233" t="n"/>
      <c r="B275" s="233" t="n"/>
      <c r="C275" s="233" t="n"/>
      <c r="D275" s="234" t="n"/>
      <c r="J275" s="234" t="n"/>
      <c r="K275" s="234" t="n"/>
      <c r="L275" s="234" t="n"/>
      <c r="M275" s="234" t="n"/>
      <c r="N275" s="234" t="n"/>
      <c r="O275" s="235" t="n"/>
    </row>
    <row r="276" ht="18" customHeight="1" s="145">
      <c r="A276" s="233" t="n"/>
      <c r="B276" s="233" t="n"/>
      <c r="C276" s="233" t="n"/>
      <c r="D276" s="234" t="n"/>
      <c r="J276" s="234" t="n"/>
      <c r="K276" s="234" t="n"/>
      <c r="L276" s="234" t="n"/>
      <c r="M276" s="234" t="n"/>
      <c r="N276" s="234" t="n"/>
      <c r="O276" s="235" t="n"/>
    </row>
    <row r="277" ht="18" customHeight="1" s="145">
      <c r="A277" s="233" t="n"/>
      <c r="B277" s="233" t="n"/>
      <c r="C277" s="233" t="n"/>
      <c r="D277" s="234" t="n"/>
      <c r="J277" s="234" t="n"/>
      <c r="K277" s="234" t="n"/>
      <c r="L277" s="234" t="n"/>
      <c r="M277" s="234" t="n"/>
      <c r="N277" s="234" t="n"/>
      <c r="O277" s="235" t="n"/>
    </row>
    <row r="278" ht="18" customHeight="1" s="145">
      <c r="A278" s="233" t="n"/>
      <c r="B278" s="233" t="n"/>
      <c r="C278" s="233" t="n"/>
      <c r="D278" s="234" t="n"/>
      <c r="J278" s="234" t="n"/>
      <c r="K278" s="234" t="n"/>
      <c r="L278" s="234" t="n"/>
      <c r="M278" s="234" t="n"/>
      <c r="N278" s="234" t="n"/>
      <c r="O278" s="235" t="n"/>
    </row>
    <row r="279" ht="18" customHeight="1" s="145">
      <c r="A279" s="233" t="n"/>
      <c r="B279" s="233" t="n"/>
      <c r="C279" s="233" t="n"/>
      <c r="D279" s="234" t="n"/>
      <c r="J279" s="234" t="n"/>
      <c r="K279" s="234" t="n"/>
      <c r="L279" s="234" t="n"/>
      <c r="M279" s="234" t="n"/>
      <c r="N279" s="234" t="n"/>
      <c r="O279" s="235" t="n"/>
    </row>
    <row r="280" ht="18" customHeight="1" s="145">
      <c r="A280" s="233" t="n"/>
      <c r="B280" s="233" t="n"/>
      <c r="C280" s="233" t="n"/>
      <c r="D280" s="234" t="n"/>
      <c r="J280" s="234" t="n"/>
      <c r="K280" s="234" t="n"/>
      <c r="L280" s="234" t="n"/>
      <c r="M280" s="234" t="n"/>
      <c r="N280" s="234" t="n"/>
      <c r="O280" s="235" t="n"/>
    </row>
    <row r="281" ht="18" customHeight="1" s="145">
      <c r="A281" s="233" t="n"/>
      <c r="B281" s="233" t="n"/>
      <c r="C281" s="233" t="n"/>
      <c r="D281" s="234" t="n"/>
      <c r="J281" s="234" t="n"/>
      <c r="K281" s="234" t="n"/>
      <c r="L281" s="234" t="n"/>
      <c r="M281" s="234" t="n"/>
      <c r="N281" s="234" t="n"/>
      <c r="O281" s="235" t="n"/>
    </row>
    <row r="282" ht="18" customHeight="1" s="145">
      <c r="A282" s="233" t="n"/>
      <c r="B282" s="233" t="n"/>
      <c r="C282" s="233" t="n"/>
      <c r="D282" s="234" t="n"/>
      <c r="J282" s="234" t="n"/>
      <c r="K282" s="234" t="n"/>
      <c r="L282" s="234" t="n"/>
      <c r="M282" s="234" t="n"/>
      <c r="N282" s="234" t="n"/>
      <c r="O282" s="235" t="n"/>
    </row>
    <row r="283" ht="18" customHeight="1" s="145">
      <c r="A283" s="233" t="n"/>
      <c r="B283" s="233" t="n"/>
      <c r="C283" s="233" t="n"/>
      <c r="D283" s="234" t="n"/>
      <c r="J283" s="234" t="n"/>
      <c r="K283" s="234" t="n"/>
      <c r="L283" s="234" t="n"/>
      <c r="M283" s="234" t="n"/>
      <c r="N283" s="234" t="n"/>
      <c r="O283" s="235" t="n"/>
    </row>
    <row r="284" ht="18" customHeight="1" s="145">
      <c r="A284" s="233" t="n"/>
      <c r="B284" s="233" t="n"/>
      <c r="C284" s="233" t="n"/>
      <c r="D284" s="234" t="n"/>
      <c r="J284" s="234" t="n"/>
      <c r="K284" s="234" t="n"/>
      <c r="L284" s="234" t="n"/>
      <c r="M284" s="234" t="n"/>
      <c r="N284" s="234" t="n"/>
      <c r="O284" s="235" t="n"/>
    </row>
    <row r="285" ht="18" customHeight="1" s="145">
      <c r="A285" s="233" t="n"/>
      <c r="B285" s="233" t="n"/>
      <c r="C285" s="233" t="n"/>
      <c r="D285" s="234" t="n"/>
      <c r="J285" s="234" t="n"/>
      <c r="K285" s="234" t="n"/>
      <c r="L285" s="234" t="n"/>
      <c r="M285" s="234" t="n"/>
      <c r="N285" s="234" t="n"/>
      <c r="O285" s="235" t="n"/>
    </row>
    <row r="286" ht="18" customHeight="1" s="145">
      <c r="A286" s="233" t="n"/>
      <c r="B286" s="233" t="n"/>
      <c r="C286" s="233" t="n"/>
      <c r="D286" s="234" t="n"/>
      <c r="J286" s="234" t="n"/>
      <c r="K286" s="234" t="n"/>
      <c r="L286" s="234" t="n"/>
      <c r="M286" s="234" t="n"/>
      <c r="N286" s="234" t="n"/>
      <c r="O286" s="235" t="n"/>
    </row>
    <row r="287" ht="18" customHeight="1" s="145">
      <c r="A287" s="233" t="n"/>
      <c r="B287" s="233" t="n"/>
      <c r="C287" s="233" t="n"/>
      <c r="D287" s="234" t="n"/>
      <c r="J287" s="234" t="n"/>
      <c r="K287" s="234" t="n"/>
      <c r="L287" s="234" t="n"/>
      <c r="M287" s="234" t="n"/>
      <c r="N287" s="234" t="n"/>
      <c r="O287" s="235" t="n"/>
    </row>
    <row r="288" ht="18" customHeight="1" s="145">
      <c r="A288" s="233" t="n"/>
      <c r="B288" s="233" t="n"/>
      <c r="C288" s="233" t="n"/>
      <c r="D288" s="234" t="n"/>
      <c r="J288" s="234" t="n"/>
      <c r="K288" s="234" t="n"/>
      <c r="L288" s="234" t="n"/>
      <c r="M288" s="234" t="n"/>
      <c r="N288" s="234" t="n"/>
      <c r="O288" s="235" t="n"/>
    </row>
    <row r="289" ht="18" customHeight="1" s="145">
      <c r="A289" s="233" t="n"/>
      <c r="B289" s="233" t="n"/>
      <c r="C289" s="233" t="n"/>
      <c r="D289" s="234" t="n"/>
      <c r="J289" s="234" t="n"/>
      <c r="K289" s="234" t="n"/>
      <c r="L289" s="234" t="n"/>
      <c r="M289" s="234" t="n"/>
      <c r="N289" s="234" t="n"/>
      <c r="O289" s="235" t="n"/>
    </row>
    <row r="290" ht="18" customHeight="1" s="145">
      <c r="A290" s="233" t="n"/>
      <c r="B290" s="233" t="n"/>
      <c r="C290" s="233" t="n"/>
      <c r="D290" s="234" t="n"/>
      <c r="J290" s="234" t="n"/>
      <c r="K290" s="234" t="n"/>
      <c r="L290" s="234" t="n"/>
      <c r="M290" s="234" t="n"/>
      <c r="N290" s="234" t="n"/>
      <c r="O290" s="235" t="n"/>
    </row>
    <row r="291" ht="18" customHeight="1" s="145">
      <c r="A291" s="233" t="n"/>
      <c r="B291" s="233" t="n"/>
      <c r="C291" s="233" t="n"/>
      <c r="D291" s="234" t="n"/>
      <c r="J291" s="234" t="n"/>
      <c r="K291" s="234" t="n"/>
      <c r="L291" s="234" t="n"/>
      <c r="M291" s="234" t="n"/>
      <c r="N291" s="234" t="n"/>
      <c r="O291" s="235" t="n"/>
    </row>
    <row r="292" ht="18" customHeight="1" s="145">
      <c r="A292" s="233" t="n"/>
      <c r="B292" s="233" t="n"/>
      <c r="C292" s="233" t="n"/>
      <c r="D292" s="234" t="n"/>
      <c r="J292" s="234" t="n"/>
      <c r="K292" s="234" t="n"/>
      <c r="L292" s="234" t="n"/>
      <c r="M292" s="234" t="n"/>
      <c r="N292" s="234" t="n"/>
      <c r="O292" s="235" t="n"/>
    </row>
    <row r="293" ht="18" customHeight="1" s="145">
      <c r="A293" s="233" t="n"/>
      <c r="B293" s="233" t="n"/>
      <c r="C293" s="233" t="n"/>
      <c r="D293" s="234" t="n"/>
      <c r="J293" s="234" t="n"/>
      <c r="K293" s="234" t="n"/>
      <c r="L293" s="234" t="n"/>
      <c r="M293" s="234" t="n"/>
      <c r="N293" s="234" t="n"/>
      <c r="O293" s="235" t="n"/>
    </row>
    <row r="294" ht="18" customHeight="1" s="145">
      <c r="A294" s="233" t="n"/>
      <c r="B294" s="233" t="n"/>
      <c r="C294" s="233" t="n"/>
      <c r="D294" s="234" t="n"/>
      <c r="J294" s="234" t="n"/>
      <c r="K294" s="234" t="n"/>
      <c r="L294" s="234" t="n"/>
      <c r="M294" s="234" t="n"/>
      <c r="N294" s="234" t="n"/>
      <c r="O294" s="235" t="n"/>
    </row>
    <row r="295" ht="18" customHeight="1" s="145">
      <c r="A295" s="233" t="n"/>
      <c r="B295" s="233" t="n"/>
      <c r="C295" s="233" t="n"/>
      <c r="D295" s="234" t="n"/>
      <c r="J295" s="234" t="n"/>
      <c r="K295" s="234" t="n"/>
      <c r="L295" s="234" t="n"/>
      <c r="M295" s="234" t="n"/>
      <c r="N295" s="234" t="n"/>
      <c r="O295" s="235" t="n"/>
    </row>
    <row r="296" ht="18" customHeight="1" s="145">
      <c r="A296" s="233" t="n"/>
      <c r="B296" s="233" t="n"/>
      <c r="C296" s="233" t="n"/>
      <c r="D296" s="234" t="n"/>
      <c r="J296" s="234" t="n"/>
      <c r="K296" s="234" t="n"/>
      <c r="L296" s="234" t="n"/>
      <c r="M296" s="234" t="n"/>
      <c r="N296" s="234" t="n"/>
      <c r="O296" s="235" t="n"/>
    </row>
    <row r="297" ht="18" customHeight="1" s="145">
      <c r="A297" s="233" t="n"/>
      <c r="B297" s="233" t="n"/>
      <c r="C297" s="233" t="n"/>
      <c r="D297" s="234" t="n"/>
      <c r="J297" s="234" t="n"/>
      <c r="K297" s="234" t="n"/>
      <c r="L297" s="234" t="n"/>
      <c r="M297" s="234" t="n"/>
      <c r="N297" s="234" t="n"/>
      <c r="O297" s="235" t="n"/>
    </row>
    <row r="298" ht="18" customHeight="1" s="145">
      <c r="A298" s="233" t="n"/>
      <c r="B298" s="233" t="n"/>
      <c r="C298" s="233" t="n"/>
      <c r="D298" s="234" t="n"/>
      <c r="J298" s="234" t="n"/>
      <c r="K298" s="234" t="n"/>
      <c r="L298" s="234" t="n"/>
      <c r="M298" s="234" t="n"/>
      <c r="N298" s="234" t="n"/>
      <c r="O298" s="235" t="n"/>
    </row>
    <row r="299" ht="18" customHeight="1" s="145">
      <c r="A299" s="233" t="n"/>
      <c r="B299" s="233" t="n"/>
      <c r="C299" s="233" t="n"/>
      <c r="D299" s="234" t="n"/>
      <c r="J299" s="234" t="n"/>
      <c r="K299" s="234" t="n"/>
      <c r="L299" s="234" t="n"/>
      <c r="M299" s="234" t="n"/>
      <c r="N299" s="234" t="n"/>
      <c r="O299" s="235" t="n"/>
    </row>
    <row r="300" ht="18" customHeight="1" s="145">
      <c r="A300" s="233" t="n"/>
      <c r="B300" s="233" t="n"/>
      <c r="C300" s="233" t="n"/>
      <c r="D300" s="234" t="n"/>
      <c r="J300" s="234" t="n"/>
      <c r="K300" s="234" t="n"/>
      <c r="L300" s="234" t="n"/>
      <c r="M300" s="234" t="n"/>
      <c r="N300" s="234" t="n"/>
      <c r="O300" s="235" t="n"/>
    </row>
    <row r="301" ht="18" customHeight="1" s="145">
      <c r="A301" s="233" t="n"/>
      <c r="B301" s="233" t="n"/>
      <c r="C301" s="233" t="n"/>
      <c r="D301" s="234" t="n"/>
      <c r="J301" s="234" t="n"/>
      <c r="K301" s="234" t="n"/>
      <c r="L301" s="234" t="n"/>
      <c r="M301" s="234" t="n"/>
      <c r="N301" s="234" t="n"/>
      <c r="O301" s="235" t="n"/>
    </row>
    <row r="302" ht="18" customHeight="1" s="145">
      <c r="A302" s="233" t="n"/>
      <c r="B302" s="233" t="n"/>
      <c r="C302" s="233" t="n"/>
      <c r="D302" s="234" t="n"/>
      <c r="J302" s="234" t="n"/>
      <c r="K302" s="234" t="n"/>
      <c r="L302" s="234" t="n"/>
      <c r="M302" s="234" t="n"/>
      <c r="N302" s="234" t="n"/>
      <c r="O302" s="235" t="n"/>
    </row>
    <row r="303" ht="18" customHeight="1" s="145">
      <c r="A303" s="233" t="n"/>
      <c r="B303" s="233" t="n"/>
      <c r="C303" s="233" t="n"/>
      <c r="D303" s="234" t="n"/>
      <c r="J303" s="234" t="n"/>
      <c r="K303" s="234" t="n"/>
      <c r="L303" s="234" t="n"/>
      <c r="M303" s="234" t="n"/>
      <c r="N303" s="234" t="n"/>
      <c r="O303" s="235" t="n"/>
    </row>
    <row r="304" ht="18" customHeight="1" s="145">
      <c r="A304" s="233" t="n"/>
      <c r="B304" s="233" t="n"/>
      <c r="C304" s="233" t="n"/>
      <c r="D304" s="234" t="n"/>
      <c r="J304" s="234" t="n"/>
      <c r="K304" s="234" t="n"/>
      <c r="L304" s="234" t="n"/>
      <c r="M304" s="234" t="n"/>
      <c r="N304" s="234" t="n"/>
      <c r="O304" s="235" t="n"/>
    </row>
    <row r="305" ht="18" customHeight="1" s="145">
      <c r="A305" s="233" t="n"/>
      <c r="B305" s="233" t="n"/>
      <c r="C305" s="233" t="n"/>
      <c r="D305" s="234" t="n"/>
      <c r="J305" s="234" t="n"/>
      <c r="K305" s="234" t="n"/>
      <c r="L305" s="234" t="n"/>
      <c r="M305" s="234" t="n"/>
      <c r="N305" s="234" t="n"/>
      <c r="O305" s="235" t="n"/>
    </row>
    <row r="306" ht="18" customHeight="1" s="145">
      <c r="A306" s="233" t="n"/>
      <c r="B306" s="233" t="n"/>
      <c r="C306" s="233" t="n"/>
      <c r="D306" s="234" t="n"/>
      <c r="J306" s="234" t="n"/>
      <c r="K306" s="234" t="n"/>
      <c r="L306" s="234" t="n"/>
      <c r="M306" s="234" t="n"/>
      <c r="N306" s="234" t="n"/>
      <c r="O306" s="235" t="n"/>
    </row>
    <row r="307" ht="18" customHeight="1" s="145">
      <c r="A307" s="233" t="n"/>
      <c r="B307" s="233" t="n"/>
      <c r="C307" s="233" t="n"/>
      <c r="D307" s="234" t="n"/>
      <c r="J307" s="234" t="n"/>
      <c r="K307" s="234" t="n"/>
      <c r="L307" s="234" t="n"/>
      <c r="M307" s="234" t="n"/>
      <c r="N307" s="234" t="n"/>
      <c r="O307" s="235" t="n"/>
    </row>
    <row r="308" ht="18" customHeight="1" s="145">
      <c r="A308" s="233" t="n"/>
      <c r="B308" s="233" t="n"/>
      <c r="C308" s="233" t="n"/>
      <c r="D308" s="234" t="n"/>
      <c r="J308" s="234" t="n"/>
      <c r="K308" s="234" t="n"/>
      <c r="L308" s="234" t="n"/>
      <c r="M308" s="234" t="n"/>
      <c r="N308" s="234" t="n"/>
      <c r="O308" s="235" t="n"/>
    </row>
    <row r="309" ht="18" customHeight="1" s="145">
      <c r="A309" s="233" t="n"/>
      <c r="B309" s="233" t="n"/>
      <c r="C309" s="233" t="n"/>
      <c r="D309" s="234" t="n"/>
      <c r="J309" s="234" t="n"/>
      <c r="K309" s="234" t="n"/>
      <c r="L309" s="234" t="n"/>
      <c r="M309" s="234" t="n"/>
      <c r="N309" s="234" t="n"/>
      <c r="O309" s="235" t="n"/>
    </row>
    <row r="310" ht="18" customHeight="1" s="145">
      <c r="A310" s="233" t="n"/>
      <c r="B310" s="233" t="n"/>
      <c r="C310" s="233" t="n"/>
      <c r="D310" s="234" t="n"/>
      <c r="J310" s="234" t="n"/>
      <c r="K310" s="234" t="n"/>
      <c r="L310" s="234" t="n"/>
      <c r="M310" s="234" t="n"/>
      <c r="N310" s="234" t="n"/>
      <c r="O310" s="235" t="n"/>
    </row>
    <row r="311" ht="18" customHeight="1" s="145">
      <c r="A311" s="233" t="n"/>
      <c r="B311" s="233" t="n"/>
      <c r="C311" s="233" t="n"/>
      <c r="D311" s="234" t="n"/>
      <c r="J311" s="234" t="n"/>
      <c r="K311" s="234" t="n"/>
      <c r="L311" s="234" t="n"/>
      <c r="M311" s="234" t="n"/>
      <c r="N311" s="234" t="n"/>
      <c r="O311" s="235" t="n"/>
    </row>
    <row r="312" ht="18" customHeight="1" s="145">
      <c r="A312" s="233" t="n"/>
      <c r="B312" s="233" t="n"/>
      <c r="C312" s="233" t="n"/>
      <c r="D312" s="234" t="n"/>
      <c r="J312" s="234" t="n"/>
      <c r="K312" s="234" t="n"/>
      <c r="L312" s="234" t="n"/>
      <c r="M312" s="234" t="n"/>
      <c r="N312" s="234" t="n"/>
      <c r="O312" s="235" t="n"/>
    </row>
    <row r="313" ht="18" customHeight="1" s="145">
      <c r="A313" s="233" t="n"/>
      <c r="B313" s="233" t="n"/>
      <c r="C313" s="233" t="n"/>
      <c r="D313" s="234" t="n"/>
      <c r="J313" s="234" t="n"/>
      <c r="K313" s="234" t="n"/>
      <c r="L313" s="234" t="n"/>
      <c r="M313" s="234" t="n"/>
      <c r="N313" s="234" t="n"/>
      <c r="O313" s="235" t="n"/>
    </row>
    <row r="314" ht="18" customHeight="1" s="145">
      <c r="A314" s="233" t="n"/>
      <c r="B314" s="233" t="n"/>
      <c r="C314" s="233" t="n"/>
      <c r="D314" s="234" t="n"/>
      <c r="J314" s="234" t="n"/>
      <c r="K314" s="234" t="n"/>
      <c r="L314" s="234" t="n"/>
      <c r="M314" s="234" t="n"/>
      <c r="N314" s="234" t="n"/>
      <c r="O314" s="235" t="n"/>
    </row>
    <row r="315" ht="18" customHeight="1" s="145">
      <c r="A315" s="233" t="n"/>
      <c r="B315" s="233" t="n"/>
      <c r="C315" s="233" t="n"/>
      <c r="D315" s="234" t="n"/>
      <c r="J315" s="234" t="n"/>
      <c r="K315" s="234" t="n"/>
      <c r="L315" s="234" t="n"/>
      <c r="M315" s="234" t="n"/>
      <c r="N315" s="234" t="n"/>
      <c r="O315" s="235" t="n"/>
    </row>
    <row r="316" ht="18" customHeight="1" s="145">
      <c r="A316" s="233" t="n"/>
      <c r="B316" s="233" t="n"/>
      <c r="C316" s="233" t="n"/>
      <c r="D316" s="234" t="n"/>
      <c r="J316" s="234" t="n"/>
      <c r="K316" s="234" t="n"/>
      <c r="L316" s="234" t="n"/>
      <c r="M316" s="234" t="n"/>
      <c r="N316" s="234" t="n"/>
      <c r="O316" s="235" t="n"/>
    </row>
    <row r="317" ht="18" customHeight="1" s="145">
      <c r="A317" s="233" t="n"/>
      <c r="B317" s="233" t="n"/>
      <c r="C317" s="233" t="n"/>
      <c r="D317" s="234" t="n"/>
      <c r="J317" s="234" t="n"/>
      <c r="K317" s="234" t="n"/>
      <c r="L317" s="234" t="n"/>
      <c r="M317" s="234" t="n"/>
      <c r="N317" s="234" t="n"/>
      <c r="O317" s="235" t="n"/>
    </row>
    <row r="318" ht="18" customHeight="1" s="145">
      <c r="A318" s="233" t="n"/>
      <c r="B318" s="233" t="n"/>
      <c r="C318" s="233" t="n"/>
      <c r="D318" s="234" t="n"/>
      <c r="J318" s="234" t="n"/>
      <c r="K318" s="234" t="n"/>
      <c r="L318" s="234" t="n"/>
      <c r="M318" s="234" t="n"/>
      <c r="N318" s="234" t="n"/>
      <c r="O318" s="235" t="n"/>
    </row>
    <row r="319" ht="18" customHeight="1" s="145">
      <c r="A319" s="233" t="n"/>
      <c r="B319" s="233" t="n"/>
      <c r="C319" s="233" t="n"/>
      <c r="D319" s="234" t="n"/>
      <c r="J319" s="234" t="n"/>
      <c r="K319" s="234" t="n"/>
      <c r="L319" s="234" t="n"/>
      <c r="M319" s="234" t="n"/>
      <c r="N319" s="234" t="n"/>
      <c r="O319" s="235" t="n"/>
    </row>
    <row r="320" ht="18" customHeight="1" s="145">
      <c r="A320" s="233" t="n"/>
      <c r="B320" s="233" t="n"/>
      <c r="C320" s="233" t="n"/>
      <c r="D320" s="234" t="n"/>
      <c r="J320" s="234" t="n"/>
      <c r="K320" s="234" t="n"/>
      <c r="L320" s="234" t="n"/>
      <c r="M320" s="234" t="n"/>
      <c r="N320" s="234" t="n"/>
      <c r="O320" s="235" t="n"/>
    </row>
    <row r="321" ht="18" customHeight="1" s="145">
      <c r="A321" s="233" t="n"/>
      <c r="B321" s="233" t="n"/>
      <c r="C321" s="233" t="n"/>
      <c r="D321" s="234" t="n"/>
      <c r="J321" s="234" t="n"/>
      <c r="K321" s="234" t="n"/>
      <c r="L321" s="234" t="n"/>
      <c r="M321" s="234" t="n"/>
      <c r="N321" s="234" t="n"/>
      <c r="O321" s="235" t="n"/>
    </row>
    <row r="322" ht="18" customHeight="1" s="145">
      <c r="A322" s="233" t="n"/>
      <c r="B322" s="233" t="n"/>
      <c r="C322" s="233" t="n"/>
      <c r="D322" s="234" t="n"/>
      <c r="J322" s="234" t="n"/>
      <c r="K322" s="234" t="n"/>
      <c r="L322" s="234" t="n"/>
      <c r="M322" s="234" t="n"/>
      <c r="N322" s="234" t="n"/>
      <c r="O322" s="235" t="n"/>
    </row>
    <row r="323" ht="18" customHeight="1" s="145">
      <c r="A323" s="233" t="n"/>
      <c r="B323" s="233" t="n"/>
      <c r="C323" s="233" t="n"/>
      <c r="D323" s="234" t="n"/>
      <c r="J323" s="234" t="n"/>
      <c r="K323" s="234" t="n"/>
      <c r="L323" s="234" t="n"/>
      <c r="M323" s="234" t="n"/>
      <c r="N323" s="234" t="n"/>
      <c r="O323" s="235" t="n"/>
    </row>
    <row r="324" ht="18" customHeight="1" s="145">
      <c r="A324" s="233" t="n"/>
      <c r="B324" s="233" t="n"/>
      <c r="C324" s="233" t="n"/>
      <c r="D324" s="234" t="n"/>
      <c r="J324" s="234" t="n"/>
      <c r="K324" s="234" t="n"/>
      <c r="L324" s="234" t="n"/>
      <c r="M324" s="234" t="n"/>
      <c r="N324" s="234" t="n"/>
      <c r="O324" s="235" t="n"/>
    </row>
    <row r="325" ht="18" customHeight="1" s="145">
      <c r="A325" s="233" t="n"/>
      <c r="B325" s="233" t="n"/>
      <c r="C325" s="233" t="n"/>
      <c r="D325" s="234" t="n"/>
      <c r="J325" s="234" t="n"/>
      <c r="K325" s="234" t="n"/>
      <c r="L325" s="234" t="n"/>
      <c r="M325" s="234" t="n"/>
      <c r="N325" s="234" t="n"/>
      <c r="O325" s="235" t="n"/>
    </row>
    <row r="326" ht="18" customHeight="1" s="145">
      <c r="A326" s="233" t="n"/>
      <c r="B326" s="233" t="n"/>
      <c r="C326" s="233" t="n"/>
      <c r="D326" s="234" t="n"/>
      <c r="J326" s="234" t="n"/>
      <c r="K326" s="234" t="n"/>
      <c r="L326" s="234" t="n"/>
      <c r="M326" s="234" t="n"/>
      <c r="N326" s="234" t="n"/>
      <c r="O326" s="235" t="n"/>
    </row>
    <row r="327" ht="18" customHeight="1" s="145">
      <c r="A327" s="233" t="n"/>
      <c r="B327" s="233" t="n"/>
      <c r="C327" s="233" t="n"/>
      <c r="D327" s="234" t="n"/>
      <c r="J327" s="234" t="n"/>
      <c r="K327" s="234" t="n"/>
      <c r="L327" s="234" t="n"/>
      <c r="M327" s="234" t="n"/>
      <c r="N327" s="234" t="n"/>
      <c r="O327" s="235" t="n"/>
    </row>
    <row r="328" ht="18" customHeight="1" s="145">
      <c r="A328" s="233" t="n"/>
      <c r="B328" s="233" t="n"/>
      <c r="C328" s="233" t="n"/>
      <c r="D328" s="234" t="n"/>
      <c r="J328" s="234" t="n"/>
      <c r="K328" s="234" t="n"/>
      <c r="L328" s="234" t="n"/>
      <c r="M328" s="234" t="n"/>
      <c r="N328" s="234" t="n"/>
      <c r="O328" s="235" t="n"/>
    </row>
    <row r="329" ht="18" customHeight="1" s="145">
      <c r="A329" s="233" t="n"/>
      <c r="B329" s="233" t="n"/>
      <c r="C329" s="233" t="n"/>
      <c r="D329" s="234" t="n"/>
      <c r="J329" s="234" t="n"/>
      <c r="K329" s="234" t="n"/>
      <c r="L329" s="234" t="n"/>
      <c r="M329" s="234" t="n"/>
      <c r="N329" s="234" t="n"/>
      <c r="O329" s="235" t="n"/>
    </row>
    <row r="330" ht="18" customHeight="1" s="145">
      <c r="A330" s="233" t="n"/>
      <c r="B330" s="233" t="n"/>
      <c r="C330" s="233" t="n"/>
      <c r="D330" s="234" t="n"/>
      <c r="J330" s="234" t="n"/>
      <c r="K330" s="234" t="n"/>
      <c r="L330" s="234" t="n"/>
      <c r="M330" s="234" t="n"/>
      <c r="N330" s="234" t="n"/>
      <c r="O330" s="235" t="n"/>
    </row>
    <row r="331" ht="18" customHeight="1" s="145">
      <c r="A331" s="233" t="n"/>
      <c r="B331" s="233" t="n"/>
      <c r="C331" s="233" t="n"/>
      <c r="D331" s="234" t="n"/>
      <c r="J331" s="234" t="n"/>
      <c r="K331" s="234" t="n"/>
      <c r="L331" s="234" t="n"/>
      <c r="M331" s="234" t="n"/>
      <c r="N331" s="234" t="n"/>
      <c r="O331" s="235" t="n"/>
    </row>
    <row r="332" ht="18" customHeight="1" s="145">
      <c r="A332" s="233" t="n"/>
      <c r="B332" s="233" t="n"/>
      <c r="C332" s="233" t="n"/>
      <c r="D332" s="234" t="n"/>
      <c r="J332" s="234" t="n"/>
      <c r="K332" s="234" t="n"/>
      <c r="L332" s="234" t="n"/>
      <c r="M332" s="234" t="n"/>
      <c r="N332" s="234" t="n"/>
      <c r="O332" s="235" t="n"/>
    </row>
    <row r="333" ht="18" customHeight="1" s="145">
      <c r="A333" s="233" t="n"/>
      <c r="B333" s="233" t="n"/>
      <c r="C333" s="233" t="n"/>
      <c r="D333" s="234" t="n"/>
      <c r="J333" s="234" t="n"/>
      <c r="K333" s="234" t="n"/>
      <c r="L333" s="234" t="n"/>
      <c r="M333" s="234" t="n"/>
      <c r="N333" s="234" t="n"/>
      <c r="O333" s="235" t="n"/>
    </row>
    <row r="334" ht="18" customHeight="1" s="145">
      <c r="A334" s="233" t="n"/>
      <c r="B334" s="233" t="n"/>
      <c r="C334" s="233" t="n"/>
      <c r="D334" s="234" t="n"/>
      <c r="J334" s="234" t="n"/>
      <c r="K334" s="234" t="n"/>
      <c r="L334" s="234" t="n"/>
      <c r="M334" s="234" t="n"/>
      <c r="N334" s="234" t="n"/>
      <c r="O334" s="235" t="n"/>
    </row>
    <row r="335" ht="18" customHeight="1" s="145">
      <c r="A335" s="233" t="n"/>
      <c r="B335" s="233" t="n"/>
      <c r="C335" s="233" t="n"/>
      <c r="D335" s="234" t="n"/>
      <c r="J335" s="234" t="n"/>
      <c r="K335" s="234" t="n"/>
      <c r="L335" s="234" t="n"/>
      <c r="M335" s="234" t="n"/>
      <c r="N335" s="234" t="n"/>
      <c r="O335" s="235" t="n"/>
    </row>
    <row r="336" ht="18" customHeight="1" s="145">
      <c r="A336" s="233" t="n"/>
      <c r="B336" s="233" t="n"/>
      <c r="C336" s="233" t="n"/>
      <c r="D336" s="234" t="n"/>
      <c r="J336" s="234" t="n"/>
      <c r="K336" s="234" t="n"/>
      <c r="L336" s="234" t="n"/>
      <c r="M336" s="234" t="n"/>
      <c r="N336" s="234" t="n"/>
      <c r="O336" s="235" t="n"/>
    </row>
    <row r="337" ht="18" customHeight="1" s="145">
      <c r="A337" s="233" t="n"/>
      <c r="B337" s="233" t="n"/>
      <c r="C337" s="233" t="n"/>
      <c r="D337" s="234" t="n"/>
      <c r="J337" s="234" t="n"/>
      <c r="K337" s="234" t="n"/>
      <c r="L337" s="234" t="n"/>
      <c r="M337" s="234" t="n"/>
      <c r="N337" s="234" t="n"/>
      <c r="O337" s="235" t="n"/>
    </row>
    <row r="338" ht="18" customHeight="1" s="145">
      <c r="A338" s="233" t="n"/>
      <c r="B338" s="233" t="n"/>
      <c r="C338" s="233" t="n"/>
      <c r="D338" s="234" t="n"/>
      <c r="J338" s="234" t="n"/>
      <c r="K338" s="234" t="n"/>
      <c r="L338" s="234" t="n"/>
      <c r="M338" s="234" t="n"/>
      <c r="N338" s="234" t="n"/>
      <c r="O338" s="235" t="n"/>
    </row>
    <row r="339" ht="18" customHeight="1" s="145">
      <c r="A339" s="233" t="n"/>
      <c r="B339" s="233" t="n"/>
      <c r="C339" s="233" t="n"/>
      <c r="D339" s="234" t="n"/>
      <c r="J339" s="234" t="n"/>
      <c r="K339" s="234" t="n"/>
      <c r="L339" s="234" t="n"/>
      <c r="M339" s="234" t="n"/>
      <c r="N339" s="234" t="n"/>
      <c r="O339" s="235" t="n"/>
    </row>
    <row r="340" ht="18" customHeight="1" s="145">
      <c r="A340" s="233" t="n"/>
      <c r="B340" s="233" t="n"/>
      <c r="C340" s="233" t="n"/>
      <c r="D340" s="234" t="n"/>
      <c r="J340" s="234" t="n"/>
      <c r="K340" s="234" t="n"/>
      <c r="L340" s="234" t="n"/>
      <c r="M340" s="234" t="n"/>
      <c r="N340" s="234" t="n"/>
      <c r="O340" s="235" t="n"/>
    </row>
    <row r="341" ht="18" customHeight="1" s="145">
      <c r="A341" s="233" t="n"/>
      <c r="B341" s="233" t="n"/>
      <c r="C341" s="233" t="n"/>
      <c r="D341" s="234" t="n"/>
      <c r="J341" s="234" t="n"/>
      <c r="K341" s="234" t="n"/>
      <c r="L341" s="234" t="n"/>
      <c r="M341" s="234" t="n"/>
      <c r="N341" s="234" t="n"/>
      <c r="O341" s="235" t="n"/>
    </row>
    <row r="342" ht="18" customHeight="1" s="145">
      <c r="A342" s="233" t="n"/>
      <c r="B342" s="233" t="n"/>
      <c r="C342" s="233" t="n"/>
      <c r="D342" s="234" t="n"/>
      <c r="J342" s="234" t="n"/>
      <c r="K342" s="234" t="n"/>
      <c r="L342" s="234" t="n"/>
      <c r="M342" s="234" t="n"/>
      <c r="N342" s="234" t="n"/>
      <c r="O342" s="235" t="n"/>
    </row>
    <row r="343" ht="18" customHeight="1" s="145">
      <c r="A343" s="233" t="n"/>
      <c r="B343" s="233" t="n"/>
      <c r="C343" s="233" t="n"/>
      <c r="D343" s="234" t="n"/>
      <c r="J343" s="234" t="n"/>
      <c r="K343" s="234" t="n"/>
      <c r="L343" s="234" t="n"/>
      <c r="M343" s="234" t="n"/>
      <c r="N343" s="234" t="n"/>
      <c r="O343" s="235" t="n"/>
    </row>
    <row r="344" ht="18" customHeight="1" s="145">
      <c r="A344" s="233" t="n"/>
      <c r="B344" s="233" t="n"/>
      <c r="C344" s="233" t="n"/>
      <c r="D344" s="234" t="n"/>
      <c r="J344" s="234" t="n"/>
      <c r="K344" s="234" t="n"/>
      <c r="L344" s="234" t="n"/>
      <c r="M344" s="234" t="n"/>
      <c r="N344" s="234" t="n"/>
      <c r="O344" s="235" t="n"/>
    </row>
    <row r="345" ht="18" customHeight="1" s="145">
      <c r="A345" s="233" t="n"/>
      <c r="B345" s="233" t="n"/>
      <c r="C345" s="233" t="n"/>
      <c r="D345" s="234" t="n"/>
      <c r="J345" s="234" t="n"/>
      <c r="K345" s="234" t="n"/>
      <c r="L345" s="234" t="n"/>
      <c r="M345" s="234" t="n"/>
      <c r="N345" s="234" t="n"/>
      <c r="O345" s="235" t="n"/>
    </row>
    <row r="346" ht="18" customHeight="1" s="145">
      <c r="A346" s="233" t="n"/>
      <c r="B346" s="233" t="n"/>
      <c r="C346" s="233" t="n"/>
      <c r="D346" s="234" t="n"/>
      <c r="J346" s="234" t="n"/>
      <c r="K346" s="234" t="n"/>
      <c r="L346" s="234" t="n"/>
      <c r="M346" s="234" t="n"/>
      <c r="N346" s="234" t="n"/>
      <c r="O346" s="235" t="n"/>
    </row>
    <row r="347" ht="18" customHeight="1" s="145">
      <c r="A347" s="233" t="n"/>
      <c r="B347" s="233" t="n"/>
      <c r="C347" s="233" t="n"/>
      <c r="D347" s="234" t="n"/>
      <c r="J347" s="234" t="n"/>
      <c r="K347" s="234" t="n"/>
      <c r="L347" s="234" t="n"/>
      <c r="M347" s="234" t="n"/>
      <c r="N347" s="234" t="n"/>
      <c r="O347" s="235" t="n"/>
    </row>
    <row r="348" ht="18" customHeight="1" s="145">
      <c r="A348" s="233" t="n"/>
      <c r="B348" s="233" t="n"/>
      <c r="C348" s="233" t="n"/>
      <c r="D348" s="234" t="n"/>
      <c r="J348" s="234" t="n"/>
      <c r="K348" s="234" t="n"/>
      <c r="L348" s="234" t="n"/>
      <c r="M348" s="234" t="n"/>
      <c r="N348" s="234" t="n"/>
      <c r="O348" s="235" t="n"/>
    </row>
    <row r="349" ht="18" customHeight="1" s="145">
      <c r="A349" s="233" t="n"/>
      <c r="B349" s="233" t="n"/>
      <c r="C349" s="233" t="n"/>
      <c r="D349" s="234" t="n"/>
      <c r="J349" s="234" t="n"/>
      <c r="K349" s="234" t="n"/>
      <c r="L349" s="234" t="n"/>
      <c r="M349" s="234" t="n"/>
      <c r="N349" s="234" t="n"/>
      <c r="O349" s="235" t="n"/>
    </row>
    <row r="350" ht="18" customHeight="1" s="145">
      <c r="A350" s="233" t="n"/>
      <c r="B350" s="233" t="n"/>
      <c r="C350" s="233" t="n"/>
      <c r="D350" s="234" t="n"/>
      <c r="J350" s="234" t="n"/>
      <c r="K350" s="234" t="n"/>
      <c r="L350" s="234" t="n"/>
      <c r="M350" s="234" t="n"/>
      <c r="N350" s="234" t="n"/>
      <c r="O350" s="235" t="n"/>
    </row>
    <row r="351" ht="18" customHeight="1" s="145">
      <c r="A351" s="233" t="n"/>
      <c r="B351" s="233" t="n"/>
      <c r="C351" s="233" t="n"/>
      <c r="D351" s="234" t="n"/>
      <c r="J351" s="234" t="n"/>
      <c r="K351" s="234" t="n"/>
      <c r="L351" s="234" t="n"/>
      <c r="M351" s="234" t="n"/>
      <c r="N351" s="234" t="n"/>
      <c r="O351" s="235" t="n"/>
    </row>
    <row r="352" ht="18" customHeight="1" s="145">
      <c r="A352" s="233" t="n"/>
      <c r="B352" s="233" t="n"/>
      <c r="C352" s="233" t="n"/>
      <c r="D352" s="234" t="n"/>
      <c r="J352" s="234" t="n"/>
      <c r="K352" s="234" t="n"/>
      <c r="L352" s="234" t="n"/>
      <c r="M352" s="234" t="n"/>
      <c r="N352" s="234" t="n"/>
      <c r="O352" s="235" t="n"/>
    </row>
    <row r="353" ht="18" customHeight="1" s="145">
      <c r="A353" s="233" t="n"/>
      <c r="B353" s="233" t="n"/>
      <c r="C353" s="233" t="n"/>
      <c r="D353" s="234" t="n"/>
      <c r="J353" s="234" t="n"/>
      <c r="K353" s="234" t="n"/>
      <c r="L353" s="234" t="n"/>
      <c r="M353" s="234" t="n"/>
      <c r="N353" s="234" t="n"/>
      <c r="O353" s="235" t="n"/>
    </row>
    <row r="354" ht="18" customHeight="1" s="145">
      <c r="A354" s="233" t="n"/>
      <c r="B354" s="233" t="n"/>
      <c r="C354" s="233" t="n"/>
      <c r="D354" s="234" t="n"/>
      <c r="J354" s="234" t="n"/>
      <c r="K354" s="234" t="n"/>
      <c r="L354" s="234" t="n"/>
      <c r="M354" s="234" t="n"/>
      <c r="N354" s="234" t="n"/>
      <c r="O354" s="235" t="n"/>
    </row>
    <row r="355" ht="18" customHeight="1" s="145">
      <c r="A355" s="233" t="n"/>
      <c r="B355" s="233" t="n"/>
      <c r="C355" s="233" t="n"/>
      <c r="D355" s="234" t="n"/>
      <c r="J355" s="234" t="n"/>
      <c r="K355" s="234" t="n"/>
      <c r="L355" s="234" t="n"/>
      <c r="M355" s="234" t="n"/>
      <c r="N355" s="234" t="n"/>
      <c r="O355" s="235" t="n"/>
    </row>
    <row r="356" ht="18" customHeight="1" s="145">
      <c r="A356" s="233" t="n"/>
      <c r="B356" s="233" t="n"/>
      <c r="C356" s="233" t="n"/>
      <c r="D356" s="234" t="n"/>
      <c r="J356" s="234" t="n"/>
      <c r="K356" s="234" t="n"/>
      <c r="L356" s="234" t="n"/>
      <c r="M356" s="234" t="n"/>
      <c r="N356" s="234" t="n"/>
      <c r="O356" s="235" t="n"/>
    </row>
    <row r="357" ht="18" customHeight="1" s="145">
      <c r="A357" s="233" t="n"/>
      <c r="B357" s="233" t="n"/>
      <c r="C357" s="233" t="n"/>
      <c r="D357" s="234" t="n"/>
      <c r="J357" s="234" t="n"/>
      <c r="K357" s="234" t="n"/>
      <c r="L357" s="234" t="n"/>
      <c r="M357" s="234" t="n"/>
      <c r="N357" s="234" t="n"/>
      <c r="O357" s="235" t="n"/>
    </row>
    <row r="358" ht="18" customHeight="1" s="145">
      <c r="A358" s="233" t="n"/>
      <c r="B358" s="233" t="n"/>
      <c r="C358" s="233" t="n"/>
      <c r="D358" s="234" t="n"/>
      <c r="J358" s="234" t="n"/>
      <c r="K358" s="234" t="n"/>
      <c r="L358" s="234" t="n"/>
      <c r="M358" s="234" t="n"/>
      <c r="N358" s="234" t="n"/>
      <c r="O358" s="235" t="n"/>
    </row>
    <row r="359" ht="18" customHeight="1" s="145">
      <c r="A359" s="233" t="n"/>
      <c r="B359" s="233" t="n"/>
      <c r="C359" s="233" t="n"/>
      <c r="D359" s="234" t="n"/>
      <c r="J359" s="234" t="n"/>
      <c r="K359" s="234" t="n"/>
      <c r="L359" s="234" t="n"/>
      <c r="M359" s="234" t="n"/>
      <c r="N359" s="234" t="n"/>
      <c r="O359" s="235" t="n"/>
    </row>
    <row r="360" ht="18" customHeight="1" s="145">
      <c r="A360" s="233" t="n"/>
      <c r="B360" s="233" t="n"/>
      <c r="C360" s="233" t="n"/>
      <c r="D360" s="234" t="n"/>
      <c r="J360" s="234" t="n"/>
      <c r="K360" s="234" t="n"/>
      <c r="L360" s="234" t="n"/>
      <c r="M360" s="234" t="n"/>
      <c r="N360" s="234" t="n"/>
      <c r="O360" s="235" t="n"/>
    </row>
    <row r="361" ht="18" customHeight="1" s="145">
      <c r="A361" s="233" t="n"/>
      <c r="B361" s="233" t="n"/>
      <c r="C361" s="233" t="n"/>
      <c r="D361" s="234" t="n"/>
      <c r="J361" s="234" t="n"/>
      <c r="K361" s="234" t="n"/>
      <c r="L361" s="234" t="n"/>
      <c r="M361" s="234" t="n"/>
      <c r="N361" s="234" t="n"/>
      <c r="O361" s="235" t="n"/>
    </row>
    <row r="362" ht="18" customHeight="1" s="145">
      <c r="A362" s="233" t="n"/>
      <c r="B362" s="233" t="n"/>
      <c r="C362" s="233" t="n"/>
      <c r="D362" s="234" t="n"/>
      <c r="J362" s="234" t="n"/>
      <c r="K362" s="234" t="n"/>
      <c r="L362" s="234" t="n"/>
      <c r="M362" s="234" t="n"/>
      <c r="N362" s="234" t="n"/>
      <c r="O362" s="235" t="n"/>
    </row>
    <row r="363" ht="18" customHeight="1" s="145">
      <c r="A363" s="233" t="n"/>
      <c r="B363" s="233" t="n"/>
      <c r="C363" s="233" t="n"/>
      <c r="D363" s="234" t="n"/>
      <c r="J363" s="234" t="n"/>
      <c r="K363" s="234" t="n"/>
      <c r="L363" s="234" t="n"/>
      <c r="M363" s="234" t="n"/>
      <c r="N363" s="234" t="n"/>
      <c r="O363" s="235" t="n"/>
    </row>
    <row r="364" ht="18" customHeight="1" s="145">
      <c r="A364" s="233" t="n"/>
      <c r="B364" s="233" t="n"/>
      <c r="C364" s="233" t="n"/>
      <c r="D364" s="234" t="n"/>
      <c r="J364" s="234" t="n"/>
      <c r="K364" s="234" t="n"/>
      <c r="L364" s="234" t="n"/>
      <c r="M364" s="234" t="n"/>
      <c r="N364" s="234" t="n"/>
      <c r="O364" s="235" t="n"/>
    </row>
    <row r="365" ht="18" customHeight="1" s="145">
      <c r="A365" s="233" t="n"/>
      <c r="B365" s="233" t="n"/>
      <c r="C365" s="233" t="n"/>
      <c r="D365" s="234" t="n"/>
      <c r="J365" s="234" t="n"/>
      <c r="K365" s="234" t="n"/>
      <c r="L365" s="234" t="n"/>
      <c r="M365" s="234" t="n"/>
      <c r="N365" s="234" t="n"/>
      <c r="O365" s="235" t="n"/>
    </row>
    <row r="366" ht="18" customHeight="1" s="145">
      <c r="A366" s="233" t="n"/>
      <c r="B366" s="233" t="n"/>
      <c r="C366" s="233" t="n"/>
      <c r="D366" s="234" t="n"/>
      <c r="J366" s="234" t="n"/>
      <c r="K366" s="234" t="n"/>
      <c r="L366" s="234" t="n"/>
      <c r="M366" s="234" t="n"/>
      <c r="N366" s="234" t="n"/>
      <c r="O366" s="235" t="n"/>
    </row>
    <row r="367" ht="18" customHeight="1" s="145">
      <c r="A367" s="233" t="n"/>
      <c r="B367" s="233" t="n"/>
      <c r="C367" s="233" t="n"/>
      <c r="D367" s="234" t="n"/>
      <c r="J367" s="234" t="n"/>
      <c r="K367" s="234" t="n"/>
      <c r="L367" s="234" t="n"/>
      <c r="M367" s="234" t="n"/>
      <c r="N367" s="234" t="n"/>
      <c r="O367" s="235" t="n"/>
    </row>
    <row r="368" ht="18" customHeight="1" s="145">
      <c r="A368" s="233" t="n"/>
      <c r="B368" s="233" t="n"/>
      <c r="C368" s="233" t="n"/>
      <c r="D368" s="234" t="n"/>
      <c r="J368" s="234" t="n"/>
      <c r="K368" s="234" t="n"/>
      <c r="L368" s="234" t="n"/>
      <c r="M368" s="234" t="n"/>
      <c r="N368" s="234" t="n"/>
      <c r="O368" s="235" t="n"/>
    </row>
    <row r="369" ht="18" customHeight="1" s="145">
      <c r="A369" s="233" t="n"/>
      <c r="B369" s="233" t="n"/>
      <c r="C369" s="233" t="n"/>
      <c r="D369" s="234" t="n"/>
      <c r="J369" s="234" t="n"/>
      <c r="K369" s="234" t="n"/>
      <c r="L369" s="234" t="n"/>
      <c r="M369" s="234" t="n"/>
      <c r="N369" s="234" t="n"/>
      <c r="O369" s="235" t="n"/>
    </row>
    <row r="370" ht="18" customHeight="1" s="145">
      <c r="A370" s="233" t="n"/>
      <c r="B370" s="233" t="n"/>
      <c r="C370" s="233" t="n"/>
      <c r="D370" s="234" t="n"/>
      <c r="J370" s="234" t="n"/>
      <c r="K370" s="234" t="n"/>
      <c r="L370" s="234" t="n"/>
      <c r="M370" s="234" t="n"/>
      <c r="N370" s="234" t="n"/>
      <c r="O370" s="235" t="n"/>
    </row>
    <row r="371" ht="18" customHeight="1" s="145">
      <c r="A371" s="233" t="n"/>
      <c r="B371" s="233" t="n"/>
      <c r="C371" s="233" t="n"/>
      <c r="D371" s="234" t="n"/>
      <c r="J371" s="234" t="n"/>
      <c r="K371" s="234" t="n"/>
      <c r="L371" s="234" t="n"/>
      <c r="M371" s="234" t="n"/>
      <c r="N371" s="234" t="n"/>
      <c r="O371" s="235" t="n"/>
    </row>
    <row r="372" ht="18" customHeight="1" s="145">
      <c r="A372" s="233" t="n"/>
      <c r="B372" s="233" t="n"/>
      <c r="C372" s="233" t="n"/>
      <c r="D372" s="234" t="n"/>
      <c r="J372" s="234" t="n"/>
      <c r="K372" s="234" t="n"/>
      <c r="L372" s="234" t="n"/>
      <c r="M372" s="234" t="n"/>
      <c r="N372" s="234" t="n"/>
      <c r="O372" s="235" t="n"/>
    </row>
    <row r="373" ht="18" customHeight="1" s="145">
      <c r="A373" s="233" t="n"/>
      <c r="B373" s="233" t="n"/>
      <c r="C373" s="233" t="n"/>
      <c r="D373" s="234" t="n"/>
      <c r="J373" s="234" t="n"/>
      <c r="K373" s="234" t="n"/>
      <c r="L373" s="234" t="n"/>
      <c r="M373" s="234" t="n"/>
      <c r="N373" s="234" t="n"/>
      <c r="O373" s="235" t="n"/>
    </row>
    <row r="374" ht="18" customHeight="1" s="145">
      <c r="A374" s="233" t="n"/>
      <c r="B374" s="233" t="n"/>
      <c r="C374" s="233" t="n"/>
      <c r="D374" s="234" t="n"/>
      <c r="J374" s="234" t="n"/>
      <c r="K374" s="234" t="n"/>
      <c r="L374" s="234" t="n"/>
      <c r="M374" s="234" t="n"/>
      <c r="N374" s="234" t="n"/>
      <c r="O374" s="235" t="n"/>
    </row>
    <row r="375" ht="18" customHeight="1" s="145">
      <c r="A375" s="233" t="n"/>
      <c r="B375" s="233" t="n"/>
      <c r="C375" s="233" t="n"/>
      <c r="D375" s="234" t="n"/>
      <c r="J375" s="234" t="n"/>
      <c r="K375" s="234" t="n"/>
      <c r="L375" s="234" t="n"/>
      <c r="M375" s="234" t="n"/>
      <c r="N375" s="234" t="n"/>
      <c r="O375" s="235" t="n"/>
    </row>
    <row r="376" ht="18" customHeight="1" s="145">
      <c r="A376" s="233" t="n"/>
      <c r="B376" s="233" t="n"/>
      <c r="C376" s="233" t="n"/>
      <c r="D376" s="234" t="n"/>
      <c r="J376" s="234" t="n"/>
      <c r="K376" s="234" t="n"/>
      <c r="L376" s="234" t="n"/>
      <c r="M376" s="234" t="n"/>
      <c r="N376" s="234" t="n"/>
      <c r="O376" s="235" t="n"/>
    </row>
    <row r="377" ht="18" customHeight="1" s="145">
      <c r="A377" s="233" t="n"/>
      <c r="B377" s="233" t="n"/>
      <c r="C377" s="233" t="n"/>
      <c r="D377" s="234" t="n"/>
      <c r="J377" s="234" t="n"/>
      <c r="K377" s="234" t="n"/>
      <c r="L377" s="234" t="n"/>
      <c r="M377" s="234" t="n"/>
      <c r="N377" s="234" t="n"/>
      <c r="O377" s="235" t="n"/>
    </row>
    <row r="378" ht="18" customHeight="1" s="145">
      <c r="A378" s="233" t="n"/>
      <c r="B378" s="233" t="n"/>
      <c r="C378" s="233" t="n"/>
      <c r="D378" s="234" t="n"/>
      <c r="J378" s="234" t="n"/>
      <c r="K378" s="234" t="n"/>
      <c r="L378" s="234" t="n"/>
      <c r="M378" s="234" t="n"/>
      <c r="N378" s="234" t="n"/>
      <c r="O378" s="235" t="n"/>
    </row>
    <row r="379" ht="18" customHeight="1" s="145">
      <c r="A379" s="233" t="n"/>
      <c r="B379" s="233" t="n"/>
      <c r="C379" s="233" t="n"/>
      <c r="D379" s="234" t="n"/>
      <c r="J379" s="234" t="n"/>
      <c r="K379" s="234" t="n"/>
      <c r="L379" s="234" t="n"/>
      <c r="M379" s="234" t="n"/>
      <c r="N379" s="234" t="n"/>
      <c r="O379" s="235" t="n"/>
    </row>
    <row r="380" ht="18" customHeight="1" s="145">
      <c r="A380" s="233" t="n"/>
      <c r="B380" s="233" t="n"/>
      <c r="C380" s="233" t="n"/>
      <c r="D380" s="234" t="n"/>
      <c r="J380" s="234" t="n"/>
      <c r="K380" s="234" t="n"/>
      <c r="L380" s="234" t="n"/>
      <c r="M380" s="234" t="n"/>
      <c r="N380" s="234" t="n"/>
      <c r="O380" s="235" t="n"/>
    </row>
    <row r="381" ht="18" customHeight="1" s="145">
      <c r="A381" s="233" t="n"/>
      <c r="B381" s="233" t="n"/>
      <c r="C381" s="233" t="n"/>
      <c r="D381" s="234" t="n"/>
      <c r="J381" s="234" t="n"/>
      <c r="K381" s="234" t="n"/>
      <c r="L381" s="234" t="n"/>
      <c r="M381" s="234" t="n"/>
      <c r="N381" s="234" t="n"/>
      <c r="O381" s="235" t="n"/>
    </row>
    <row r="382" ht="18" customHeight="1" s="145">
      <c r="A382" s="233" t="n"/>
      <c r="B382" s="233" t="n"/>
      <c r="C382" s="233" t="n"/>
      <c r="D382" s="234" t="n"/>
      <c r="J382" s="234" t="n"/>
      <c r="K382" s="234" t="n"/>
      <c r="L382" s="234" t="n"/>
      <c r="M382" s="234" t="n"/>
      <c r="N382" s="234" t="n"/>
      <c r="O382" s="235" t="n"/>
    </row>
    <row r="383" ht="18" customHeight="1" s="145">
      <c r="A383" s="233" t="n"/>
      <c r="B383" s="233" t="n"/>
      <c r="C383" s="233" t="n"/>
      <c r="D383" s="234" t="n"/>
      <c r="J383" s="234" t="n"/>
      <c r="K383" s="234" t="n"/>
      <c r="L383" s="234" t="n"/>
      <c r="M383" s="234" t="n"/>
      <c r="N383" s="234" t="n"/>
      <c r="O383" s="235" t="n"/>
    </row>
    <row r="384" ht="18" customHeight="1" s="145">
      <c r="A384" s="233" t="n"/>
      <c r="B384" s="233" t="n"/>
      <c r="C384" s="233" t="n"/>
      <c r="D384" s="234" t="n"/>
      <c r="J384" s="234" t="n"/>
      <c r="K384" s="234" t="n"/>
      <c r="L384" s="234" t="n"/>
      <c r="M384" s="234" t="n"/>
      <c r="N384" s="234" t="n"/>
      <c r="O384" s="235" t="n"/>
    </row>
    <row r="385" ht="18" customHeight="1" s="145">
      <c r="A385" s="233" t="n"/>
      <c r="B385" s="233" t="n"/>
      <c r="C385" s="233" t="n"/>
      <c r="D385" s="234" t="n"/>
      <c r="J385" s="234" t="n"/>
      <c r="K385" s="234" t="n"/>
      <c r="L385" s="234" t="n"/>
      <c r="M385" s="234" t="n"/>
      <c r="N385" s="234" t="n"/>
      <c r="O385" s="235" t="n"/>
    </row>
    <row r="386" ht="18" customHeight="1" s="145">
      <c r="A386" s="233" t="n"/>
      <c r="B386" s="233" t="n"/>
      <c r="C386" s="233" t="n"/>
      <c r="D386" s="234" t="n"/>
      <c r="J386" s="234" t="n"/>
      <c r="K386" s="234" t="n"/>
      <c r="L386" s="234" t="n"/>
      <c r="M386" s="234" t="n"/>
      <c r="N386" s="234" t="n"/>
      <c r="O386" s="235" t="n"/>
    </row>
    <row r="387" ht="18" customHeight="1" s="145">
      <c r="A387" s="233" t="n"/>
      <c r="B387" s="233" t="n"/>
      <c r="C387" s="233" t="n"/>
      <c r="D387" s="234" t="n"/>
      <c r="J387" s="234" t="n"/>
      <c r="K387" s="234" t="n"/>
      <c r="L387" s="234" t="n"/>
      <c r="M387" s="234" t="n"/>
      <c r="N387" s="234" t="n"/>
      <c r="O387" s="235" t="n"/>
    </row>
    <row r="388" ht="18" customHeight="1" s="145">
      <c r="A388" s="233" t="n"/>
      <c r="B388" s="233" t="n"/>
      <c r="C388" s="233" t="n"/>
      <c r="D388" s="234" t="n"/>
      <c r="J388" s="234" t="n"/>
      <c r="K388" s="234" t="n"/>
      <c r="L388" s="234" t="n"/>
      <c r="M388" s="234" t="n"/>
      <c r="N388" s="234" t="n"/>
      <c r="O388" s="235" t="n"/>
    </row>
    <row r="389" ht="18" customHeight="1" s="145">
      <c r="A389" s="233" t="n"/>
      <c r="B389" s="233" t="n"/>
      <c r="C389" s="233" t="n"/>
      <c r="D389" s="234" t="n"/>
      <c r="J389" s="234" t="n"/>
      <c r="K389" s="234" t="n"/>
      <c r="L389" s="234" t="n"/>
      <c r="M389" s="234" t="n"/>
      <c r="N389" s="234" t="n"/>
      <c r="O389" s="235" t="n"/>
    </row>
    <row r="390" ht="18" customHeight="1" s="145">
      <c r="A390" s="233" t="n"/>
      <c r="B390" s="233" t="n"/>
      <c r="C390" s="233" t="n"/>
      <c r="D390" s="234" t="n"/>
      <c r="J390" s="234" t="n"/>
      <c r="K390" s="234" t="n"/>
      <c r="L390" s="234" t="n"/>
      <c r="M390" s="234" t="n"/>
      <c r="N390" s="234" t="n"/>
      <c r="O390" s="235" t="n"/>
    </row>
    <row r="391" ht="18" customHeight="1" s="145">
      <c r="A391" s="233" t="n"/>
      <c r="B391" s="233" t="n"/>
      <c r="C391" s="233" t="n"/>
      <c r="D391" s="234" t="n"/>
      <c r="J391" s="234" t="n"/>
      <c r="K391" s="234" t="n"/>
      <c r="L391" s="234" t="n"/>
      <c r="M391" s="234" t="n"/>
      <c r="N391" s="234" t="n"/>
      <c r="O391" s="235" t="n"/>
    </row>
    <row r="392" ht="18" customHeight="1" s="145">
      <c r="A392" s="233" t="n"/>
      <c r="B392" s="233" t="n"/>
      <c r="C392" s="233" t="n"/>
      <c r="D392" s="234" t="n"/>
      <c r="J392" s="234" t="n"/>
      <c r="K392" s="234" t="n"/>
      <c r="L392" s="234" t="n"/>
      <c r="M392" s="234" t="n"/>
      <c r="N392" s="234" t="n"/>
      <c r="O392" s="235" t="n"/>
    </row>
    <row r="393" ht="18" customHeight="1" s="145">
      <c r="A393" s="233" t="n"/>
      <c r="B393" s="233" t="n"/>
      <c r="C393" s="233" t="n"/>
      <c r="D393" s="234" t="n"/>
      <c r="J393" s="234" t="n"/>
      <c r="K393" s="234" t="n"/>
      <c r="L393" s="234" t="n"/>
      <c r="M393" s="234" t="n"/>
      <c r="N393" s="234" t="n"/>
      <c r="O393" s="235" t="n"/>
    </row>
    <row r="394" ht="18" customHeight="1" s="145">
      <c r="A394" s="233" t="n"/>
      <c r="B394" s="233" t="n"/>
      <c r="C394" s="233" t="n"/>
      <c r="D394" s="234" t="n"/>
      <c r="J394" s="234" t="n"/>
      <c r="K394" s="234" t="n"/>
      <c r="L394" s="234" t="n"/>
      <c r="M394" s="234" t="n"/>
      <c r="N394" s="234" t="n"/>
      <c r="O394" s="235" t="n"/>
    </row>
    <row r="395" ht="18" customHeight="1" s="145">
      <c r="A395" s="233" t="n"/>
      <c r="B395" s="233" t="n"/>
      <c r="C395" s="233" t="n"/>
      <c r="D395" s="234" t="n"/>
      <c r="J395" s="234" t="n"/>
      <c r="K395" s="234" t="n"/>
      <c r="L395" s="234" t="n"/>
      <c r="M395" s="234" t="n"/>
      <c r="N395" s="234" t="n"/>
      <c r="O395" s="235" t="n"/>
    </row>
    <row r="396" ht="18" customHeight="1" s="145">
      <c r="A396" s="233" t="n"/>
      <c r="B396" s="233" t="n"/>
      <c r="C396" s="233" t="n"/>
      <c r="D396" s="234" t="n"/>
      <c r="J396" s="234" t="n"/>
      <c r="K396" s="234" t="n"/>
      <c r="L396" s="234" t="n"/>
      <c r="M396" s="234" t="n"/>
      <c r="N396" s="234" t="n"/>
      <c r="O396" s="235" t="n"/>
    </row>
    <row r="397" ht="18" customHeight="1" s="145">
      <c r="A397" s="233" t="n"/>
      <c r="B397" s="233" t="n"/>
      <c r="C397" s="233" t="n"/>
      <c r="D397" s="234" t="n"/>
      <c r="J397" s="234" t="n"/>
      <c r="K397" s="234" t="n"/>
      <c r="L397" s="234" t="n"/>
      <c r="M397" s="234" t="n"/>
      <c r="N397" s="234" t="n"/>
      <c r="O397" s="235" t="n"/>
    </row>
    <row r="398" ht="18" customHeight="1" s="145">
      <c r="A398" s="233" t="n"/>
      <c r="B398" s="233" t="n"/>
      <c r="C398" s="233" t="n"/>
      <c r="D398" s="234" t="n"/>
      <c r="J398" s="234" t="n"/>
      <c r="K398" s="234" t="n"/>
      <c r="L398" s="234" t="n"/>
      <c r="M398" s="234" t="n"/>
      <c r="N398" s="234" t="n"/>
      <c r="O398" s="235" t="n"/>
    </row>
    <row r="399" ht="18" customHeight="1" s="145">
      <c r="A399" s="233" t="n"/>
      <c r="B399" s="233" t="n"/>
      <c r="C399" s="233" t="n"/>
      <c r="D399" s="234" t="n"/>
      <c r="J399" s="234" t="n"/>
      <c r="K399" s="234" t="n"/>
      <c r="L399" s="234" t="n"/>
      <c r="M399" s="234" t="n"/>
      <c r="N399" s="234" t="n"/>
      <c r="O399" s="235" t="n"/>
    </row>
    <row r="400" ht="18" customHeight="1" s="145">
      <c r="A400" s="233" t="n"/>
      <c r="B400" s="233" t="n"/>
      <c r="C400" s="233" t="n"/>
      <c r="D400" s="234" t="n"/>
      <c r="J400" s="234" t="n"/>
      <c r="K400" s="234" t="n"/>
      <c r="L400" s="234" t="n"/>
      <c r="M400" s="234" t="n"/>
      <c r="N400" s="234" t="n"/>
      <c r="O400" s="235" t="n"/>
    </row>
    <row r="401" ht="18" customHeight="1" s="145">
      <c r="A401" s="233" t="n"/>
      <c r="B401" s="233" t="n"/>
      <c r="C401" s="233" t="n"/>
      <c r="D401" s="234" t="n"/>
      <c r="J401" s="234" t="n"/>
      <c r="K401" s="234" t="n"/>
      <c r="L401" s="234" t="n"/>
      <c r="M401" s="234" t="n"/>
      <c r="N401" s="234" t="n"/>
      <c r="O401" s="235" t="n"/>
    </row>
    <row r="402" ht="18" customHeight="1" s="145">
      <c r="A402" s="233" t="n"/>
      <c r="B402" s="233" t="n"/>
      <c r="C402" s="233" t="n"/>
      <c r="D402" s="234" t="n"/>
      <c r="J402" s="234" t="n"/>
      <c r="K402" s="234" t="n"/>
      <c r="L402" s="234" t="n"/>
      <c r="M402" s="234" t="n"/>
      <c r="N402" s="234" t="n"/>
      <c r="O402" s="235" t="n"/>
    </row>
    <row r="403" ht="18" customHeight="1" s="145">
      <c r="A403" s="233" t="n"/>
      <c r="B403" s="233" t="n"/>
      <c r="C403" s="233" t="n"/>
      <c r="D403" s="234" t="n"/>
      <c r="J403" s="234" t="n"/>
      <c r="K403" s="234" t="n"/>
      <c r="L403" s="234" t="n"/>
      <c r="M403" s="234" t="n"/>
      <c r="N403" s="234" t="n"/>
      <c r="O403" s="235" t="n"/>
    </row>
    <row r="404" ht="18" customHeight="1" s="145">
      <c r="A404" s="233" t="n"/>
      <c r="B404" s="233" t="n"/>
      <c r="C404" s="233" t="n"/>
      <c r="D404" s="234" t="n"/>
      <c r="J404" s="234" t="n"/>
      <c r="K404" s="234" t="n"/>
      <c r="L404" s="234" t="n"/>
      <c r="M404" s="234" t="n"/>
      <c r="N404" s="234" t="n"/>
      <c r="O404" s="235" t="n"/>
    </row>
    <row r="405" ht="18" customHeight="1" s="145">
      <c r="A405" s="233" t="n"/>
      <c r="B405" s="233" t="n"/>
      <c r="C405" s="233" t="n"/>
      <c r="D405" s="234" t="n"/>
      <c r="J405" s="234" t="n"/>
      <c r="K405" s="234" t="n"/>
      <c r="L405" s="234" t="n"/>
      <c r="M405" s="234" t="n"/>
      <c r="N405" s="234" t="n"/>
      <c r="O405" s="235" t="n"/>
    </row>
    <row r="406" ht="18" customHeight="1" s="145">
      <c r="A406" s="233" t="n"/>
      <c r="B406" s="233" t="n"/>
      <c r="C406" s="233" t="n"/>
      <c r="D406" s="234" t="n"/>
      <c r="J406" s="234" t="n"/>
      <c r="K406" s="234" t="n"/>
      <c r="L406" s="234" t="n"/>
      <c r="M406" s="234" t="n"/>
      <c r="N406" s="234" t="n"/>
      <c r="O406" s="235" t="n"/>
    </row>
    <row r="407" ht="18" customHeight="1" s="145">
      <c r="A407" s="233" t="n"/>
      <c r="B407" s="233" t="n"/>
      <c r="C407" s="233" t="n"/>
      <c r="D407" s="234" t="n"/>
      <c r="J407" s="234" t="n"/>
      <c r="K407" s="234" t="n"/>
      <c r="L407" s="234" t="n"/>
      <c r="M407" s="234" t="n"/>
      <c r="N407" s="234" t="n"/>
      <c r="O407" s="235" t="n"/>
    </row>
    <row r="408" ht="18" customHeight="1" s="145">
      <c r="A408" s="233" t="n"/>
      <c r="B408" s="233" t="n"/>
      <c r="C408" s="233" t="n"/>
      <c r="D408" s="234" t="n"/>
      <c r="J408" s="234" t="n"/>
      <c r="K408" s="234" t="n"/>
      <c r="L408" s="234" t="n"/>
      <c r="M408" s="234" t="n"/>
      <c r="N408" s="234" t="n"/>
      <c r="O408" s="235" t="n"/>
    </row>
    <row r="409" ht="18" customHeight="1" s="145">
      <c r="A409" s="233" t="n"/>
      <c r="B409" s="233" t="n"/>
      <c r="C409" s="233" t="n"/>
      <c r="D409" s="234" t="n"/>
      <c r="J409" s="234" t="n"/>
      <c r="K409" s="234" t="n"/>
      <c r="L409" s="234" t="n"/>
      <c r="M409" s="234" t="n"/>
      <c r="N409" s="234" t="n"/>
      <c r="O409" s="235" t="n"/>
    </row>
    <row r="410" ht="18" customHeight="1" s="145">
      <c r="A410" s="233" t="n"/>
      <c r="B410" s="233" t="n"/>
      <c r="C410" s="233" t="n"/>
      <c r="D410" s="234" t="n"/>
      <c r="J410" s="234" t="n"/>
      <c r="K410" s="234" t="n"/>
      <c r="L410" s="234" t="n"/>
      <c r="M410" s="234" t="n"/>
      <c r="N410" s="234" t="n"/>
      <c r="O410" s="235" t="n"/>
    </row>
    <row r="411" ht="18" customHeight="1" s="145">
      <c r="A411" s="233" t="n"/>
      <c r="B411" s="233" t="n"/>
      <c r="C411" s="233" t="n"/>
      <c r="D411" s="234" t="n"/>
      <c r="J411" s="234" t="n"/>
      <c r="K411" s="234" t="n"/>
      <c r="L411" s="234" t="n"/>
      <c r="M411" s="234" t="n"/>
      <c r="N411" s="234" t="n"/>
      <c r="O411" s="235" t="n"/>
    </row>
    <row r="412" ht="18" customHeight="1" s="145">
      <c r="A412" s="233" t="n"/>
      <c r="B412" s="233" t="n"/>
      <c r="C412" s="233" t="n"/>
      <c r="D412" s="234" t="n"/>
      <c r="J412" s="234" t="n"/>
      <c r="K412" s="234" t="n"/>
      <c r="L412" s="234" t="n"/>
      <c r="M412" s="234" t="n"/>
      <c r="N412" s="234" t="n"/>
      <c r="O412" s="235" t="n"/>
    </row>
    <row r="413" ht="18" customHeight="1" s="145">
      <c r="A413" s="233" t="n"/>
      <c r="B413" s="233" t="n"/>
      <c r="C413" s="233" t="n"/>
      <c r="D413" s="234" t="n"/>
      <c r="J413" s="234" t="n"/>
      <c r="K413" s="234" t="n"/>
      <c r="L413" s="234" t="n"/>
      <c r="M413" s="234" t="n"/>
      <c r="N413" s="234" t="n"/>
      <c r="O413" s="235" t="n"/>
    </row>
    <row r="414" ht="18" customHeight="1" s="145">
      <c r="A414" s="233" t="n"/>
      <c r="B414" s="233" t="n"/>
      <c r="C414" s="233" t="n"/>
      <c r="D414" s="234" t="n"/>
      <c r="J414" s="234" t="n"/>
      <c r="K414" s="234" t="n"/>
      <c r="L414" s="234" t="n"/>
      <c r="M414" s="234" t="n"/>
      <c r="N414" s="234" t="n"/>
      <c r="O414" s="235" t="n"/>
    </row>
    <row r="415" ht="18" customHeight="1" s="145">
      <c r="A415" s="233" t="n"/>
      <c r="B415" s="233" t="n"/>
      <c r="C415" s="233" t="n"/>
      <c r="D415" s="234" t="n"/>
      <c r="J415" s="234" t="n"/>
      <c r="K415" s="234" t="n"/>
      <c r="L415" s="234" t="n"/>
      <c r="M415" s="234" t="n"/>
      <c r="N415" s="234" t="n"/>
      <c r="O415" s="235" t="n"/>
    </row>
    <row r="416" ht="18" customHeight="1" s="145">
      <c r="A416" s="233" t="n"/>
      <c r="B416" s="233" t="n"/>
      <c r="C416" s="233" t="n"/>
      <c r="D416" s="234" t="n"/>
      <c r="J416" s="234" t="n"/>
      <c r="K416" s="234" t="n"/>
      <c r="L416" s="234" t="n"/>
      <c r="M416" s="234" t="n"/>
      <c r="N416" s="234" t="n"/>
      <c r="O416" s="235" t="n"/>
    </row>
    <row r="417" ht="18" customHeight="1" s="145">
      <c r="A417" s="233" t="n"/>
      <c r="B417" s="233" t="n"/>
      <c r="C417" s="233" t="n"/>
      <c r="D417" s="234" t="n"/>
      <c r="J417" s="234" t="n"/>
      <c r="K417" s="234" t="n"/>
      <c r="L417" s="234" t="n"/>
      <c r="M417" s="234" t="n"/>
      <c r="N417" s="234" t="n"/>
      <c r="O417" s="235" t="n"/>
    </row>
    <row r="418" ht="18" customHeight="1" s="145">
      <c r="A418" s="233" t="n"/>
      <c r="B418" s="233" t="n"/>
      <c r="C418" s="233" t="n"/>
      <c r="D418" s="234" t="n"/>
      <c r="J418" s="234" t="n"/>
      <c r="K418" s="234" t="n"/>
      <c r="L418" s="234" t="n"/>
      <c r="M418" s="234" t="n"/>
      <c r="N418" s="234" t="n"/>
      <c r="O418" s="235" t="n"/>
    </row>
    <row r="419" ht="18" customHeight="1" s="145">
      <c r="A419" s="233" t="n"/>
      <c r="B419" s="233" t="n"/>
      <c r="C419" s="233" t="n"/>
      <c r="D419" s="234" t="n"/>
      <c r="J419" s="234" t="n"/>
      <c r="K419" s="234" t="n"/>
      <c r="L419" s="234" t="n"/>
      <c r="M419" s="234" t="n"/>
      <c r="N419" s="234" t="n"/>
      <c r="O419" s="235" t="n"/>
    </row>
    <row r="420" ht="18" customHeight="1" s="145">
      <c r="A420" s="233" t="n"/>
      <c r="B420" s="233" t="n"/>
      <c r="C420" s="233" t="n"/>
      <c r="D420" s="234" t="n"/>
      <c r="J420" s="234" t="n"/>
      <c r="K420" s="234" t="n"/>
      <c r="L420" s="234" t="n"/>
      <c r="M420" s="234" t="n"/>
      <c r="N420" s="234" t="n"/>
      <c r="O420" s="235" t="n"/>
    </row>
    <row r="421" ht="18" customHeight="1" s="145">
      <c r="A421" s="233" t="n"/>
      <c r="B421" s="233" t="n"/>
      <c r="C421" s="233" t="n"/>
      <c r="D421" s="234" t="n"/>
      <c r="J421" s="234" t="n"/>
      <c r="K421" s="234" t="n"/>
      <c r="L421" s="234" t="n"/>
      <c r="M421" s="234" t="n"/>
      <c r="N421" s="234" t="n"/>
      <c r="O421" s="235" t="n"/>
    </row>
    <row r="422" ht="18" customHeight="1" s="145">
      <c r="A422" s="233" t="n"/>
      <c r="B422" s="233" t="n"/>
      <c r="C422" s="233" t="n"/>
      <c r="D422" s="234" t="n"/>
      <c r="J422" s="234" t="n"/>
      <c r="K422" s="234" t="n"/>
      <c r="L422" s="234" t="n"/>
      <c r="M422" s="234" t="n"/>
      <c r="N422" s="234" t="n"/>
      <c r="O422" s="235" t="n"/>
    </row>
    <row r="423" ht="18" customHeight="1" s="145">
      <c r="A423" s="233" t="n"/>
      <c r="B423" s="233" t="n"/>
      <c r="C423" s="233" t="n"/>
      <c r="D423" s="234" t="n"/>
      <c r="J423" s="234" t="n"/>
      <c r="K423" s="234" t="n"/>
      <c r="L423" s="234" t="n"/>
      <c r="M423" s="234" t="n"/>
      <c r="N423" s="234" t="n"/>
      <c r="O423" s="235" t="n"/>
    </row>
    <row r="424" ht="18" customHeight="1" s="145">
      <c r="A424" s="233" t="n"/>
      <c r="B424" s="233" t="n"/>
      <c r="C424" s="233" t="n"/>
      <c r="D424" s="234" t="n"/>
      <c r="J424" s="234" t="n"/>
      <c r="K424" s="234" t="n"/>
      <c r="L424" s="234" t="n"/>
      <c r="M424" s="234" t="n"/>
      <c r="N424" s="234" t="n"/>
      <c r="O424" s="235" t="n"/>
    </row>
    <row r="425" ht="18" customHeight="1" s="145">
      <c r="A425" s="233" t="n"/>
      <c r="B425" s="233" t="n"/>
      <c r="C425" s="233" t="n"/>
      <c r="D425" s="234" t="n"/>
      <c r="J425" s="234" t="n"/>
      <c r="K425" s="234" t="n"/>
      <c r="L425" s="234" t="n"/>
      <c r="M425" s="234" t="n"/>
      <c r="N425" s="234" t="n"/>
      <c r="O425" s="235" t="n"/>
    </row>
    <row r="426" ht="18" customHeight="1" s="145">
      <c r="A426" s="233" t="n"/>
      <c r="B426" s="233" t="n"/>
      <c r="C426" s="233" t="n"/>
      <c r="D426" s="234" t="n"/>
      <c r="J426" s="234" t="n"/>
      <c r="K426" s="234" t="n"/>
      <c r="L426" s="234" t="n"/>
      <c r="M426" s="234" t="n"/>
      <c r="N426" s="234" t="n"/>
      <c r="O426" s="235" t="n"/>
    </row>
    <row r="427" ht="18" customHeight="1" s="145">
      <c r="A427" s="233" t="n"/>
      <c r="B427" s="233" t="n"/>
      <c r="C427" s="233" t="n"/>
      <c r="D427" s="234" t="n"/>
      <c r="J427" s="234" t="n"/>
      <c r="K427" s="234" t="n"/>
      <c r="L427" s="234" t="n"/>
      <c r="M427" s="234" t="n"/>
      <c r="N427" s="234" t="n"/>
      <c r="O427" s="235" t="n"/>
    </row>
    <row r="428" ht="18" customHeight="1" s="145">
      <c r="A428" s="233" t="n"/>
      <c r="B428" s="233" t="n"/>
      <c r="C428" s="233" t="n"/>
      <c r="D428" s="234" t="n"/>
      <c r="J428" s="234" t="n"/>
      <c r="K428" s="234" t="n"/>
      <c r="L428" s="234" t="n"/>
      <c r="M428" s="234" t="n"/>
      <c r="N428" s="234" t="n"/>
      <c r="O428" s="235" t="n"/>
    </row>
    <row r="429" ht="18" customHeight="1" s="145">
      <c r="A429" s="233" t="n"/>
      <c r="B429" s="233" t="n"/>
      <c r="C429" s="233" t="n"/>
      <c r="D429" s="234" t="n"/>
      <c r="J429" s="234" t="n"/>
      <c r="K429" s="234" t="n"/>
      <c r="L429" s="234" t="n"/>
      <c r="M429" s="234" t="n"/>
      <c r="N429" s="234" t="n"/>
      <c r="O429" s="235" t="n"/>
    </row>
    <row r="430" ht="18" customHeight="1" s="145">
      <c r="A430" s="233" t="n"/>
      <c r="B430" s="233" t="n"/>
      <c r="C430" s="233" t="n"/>
      <c r="D430" s="234" t="n"/>
      <c r="J430" s="234" t="n"/>
      <c r="K430" s="234" t="n"/>
      <c r="L430" s="234" t="n"/>
      <c r="M430" s="234" t="n"/>
      <c r="N430" s="234" t="n"/>
      <c r="O430" s="235" t="n"/>
    </row>
    <row r="431" ht="18" customHeight="1" s="145">
      <c r="A431" s="233" t="n"/>
      <c r="B431" s="233" t="n"/>
      <c r="C431" s="233" t="n"/>
      <c r="D431" s="234" t="n"/>
      <c r="J431" s="234" t="n"/>
      <c r="K431" s="234" t="n"/>
      <c r="L431" s="234" t="n"/>
      <c r="M431" s="234" t="n"/>
      <c r="N431" s="234" t="n"/>
      <c r="O431" s="235" t="n"/>
    </row>
    <row r="432" ht="18" customHeight="1" s="145">
      <c r="A432" s="233" t="n"/>
      <c r="B432" s="233" t="n"/>
      <c r="C432" s="233" t="n"/>
      <c r="D432" s="234" t="n"/>
      <c r="J432" s="234" t="n"/>
      <c r="K432" s="234" t="n"/>
      <c r="L432" s="234" t="n"/>
      <c r="M432" s="234" t="n"/>
      <c r="N432" s="234" t="n"/>
      <c r="O432" s="235" t="n"/>
    </row>
    <row r="433" ht="18" customHeight="1" s="145">
      <c r="A433" s="233" t="n"/>
      <c r="B433" s="233" t="n"/>
      <c r="C433" s="233" t="n"/>
      <c r="D433" s="234" t="n"/>
      <c r="J433" s="234" t="n"/>
      <c r="K433" s="234" t="n"/>
      <c r="L433" s="234" t="n"/>
      <c r="M433" s="234" t="n"/>
      <c r="N433" s="234" t="n"/>
      <c r="O433" s="235" t="n"/>
    </row>
    <row r="434" ht="18" customHeight="1" s="145">
      <c r="A434" s="233" t="n"/>
      <c r="B434" s="233" t="n"/>
      <c r="C434" s="233" t="n"/>
      <c r="D434" s="234" t="n"/>
      <c r="J434" s="234" t="n"/>
      <c r="K434" s="234" t="n"/>
      <c r="L434" s="234" t="n"/>
      <c r="M434" s="234" t="n"/>
      <c r="N434" s="234" t="n"/>
      <c r="O434" s="235" t="n"/>
    </row>
    <row r="435" ht="18" customHeight="1" s="145">
      <c r="A435" s="233" t="n"/>
      <c r="B435" s="233" t="n"/>
      <c r="C435" s="233" t="n"/>
      <c r="D435" s="234" t="n"/>
      <c r="J435" s="234" t="n"/>
      <c r="K435" s="234" t="n"/>
      <c r="L435" s="234" t="n"/>
      <c r="M435" s="234" t="n"/>
      <c r="N435" s="234" t="n"/>
      <c r="O435" s="235" t="n"/>
    </row>
    <row r="436" ht="18" customHeight="1" s="145">
      <c r="A436" s="233" t="n"/>
      <c r="B436" s="233" t="n"/>
      <c r="C436" s="233" t="n"/>
      <c r="D436" s="234" t="n"/>
      <c r="J436" s="234" t="n"/>
      <c r="K436" s="234" t="n"/>
      <c r="L436" s="234" t="n"/>
      <c r="M436" s="234" t="n"/>
      <c r="N436" s="234" t="n"/>
      <c r="O436" s="235" t="n"/>
    </row>
    <row r="437" ht="18" customHeight="1" s="145">
      <c r="A437" s="233" t="n"/>
      <c r="B437" s="233" t="n"/>
      <c r="C437" s="233" t="n"/>
      <c r="D437" s="234" t="n"/>
      <c r="J437" s="234" t="n"/>
      <c r="K437" s="234" t="n"/>
      <c r="L437" s="234" t="n"/>
      <c r="M437" s="234" t="n"/>
      <c r="N437" s="234" t="n"/>
      <c r="O437" s="235" t="n"/>
    </row>
    <row r="438" ht="18" customHeight="1" s="145">
      <c r="A438" s="233" t="n"/>
      <c r="B438" s="233" t="n"/>
      <c r="C438" s="233" t="n"/>
      <c r="D438" s="234" t="n"/>
      <c r="J438" s="234" t="n"/>
      <c r="K438" s="234" t="n"/>
      <c r="L438" s="234" t="n"/>
      <c r="M438" s="234" t="n"/>
      <c r="N438" s="234" t="n"/>
      <c r="O438" s="235" t="n"/>
    </row>
    <row r="439" ht="18" customHeight="1" s="145">
      <c r="A439" s="233" t="n"/>
      <c r="B439" s="233" t="n"/>
      <c r="C439" s="233" t="n"/>
      <c r="D439" s="234" t="n"/>
      <c r="J439" s="234" t="n"/>
      <c r="K439" s="234" t="n"/>
      <c r="L439" s="234" t="n"/>
      <c r="M439" s="234" t="n"/>
      <c r="N439" s="234" t="n"/>
      <c r="O439" s="235" t="n"/>
    </row>
    <row r="440" ht="18" customHeight="1" s="145">
      <c r="A440" s="233" t="n"/>
      <c r="B440" s="233" t="n"/>
      <c r="C440" s="233" t="n"/>
      <c r="D440" s="234" t="n"/>
      <c r="J440" s="234" t="n"/>
      <c r="K440" s="234" t="n"/>
      <c r="L440" s="234" t="n"/>
      <c r="M440" s="234" t="n"/>
      <c r="N440" s="234" t="n"/>
      <c r="O440" s="235" t="n"/>
    </row>
    <row r="441" ht="18" customHeight="1" s="145">
      <c r="A441" s="233" t="n"/>
      <c r="B441" s="233" t="n"/>
      <c r="C441" s="233" t="n"/>
      <c r="D441" s="234" t="n"/>
      <c r="J441" s="234" t="n"/>
      <c r="K441" s="234" t="n"/>
      <c r="L441" s="234" t="n"/>
      <c r="M441" s="234" t="n"/>
      <c r="N441" s="234" t="n"/>
      <c r="O441" s="235" t="n"/>
    </row>
    <row r="442" ht="18" customHeight="1" s="145">
      <c r="A442" s="233" t="n"/>
      <c r="B442" s="233" t="n"/>
      <c r="C442" s="233" t="n"/>
      <c r="D442" s="234" t="n"/>
      <c r="J442" s="234" t="n"/>
      <c r="K442" s="234" t="n"/>
      <c r="L442" s="234" t="n"/>
      <c r="M442" s="234" t="n"/>
      <c r="N442" s="234" t="n"/>
      <c r="O442" s="235" t="n"/>
    </row>
    <row r="443" ht="18" customHeight="1" s="145">
      <c r="A443" s="233" t="n"/>
      <c r="B443" s="233" t="n"/>
      <c r="C443" s="233" t="n"/>
      <c r="D443" s="234" t="n"/>
      <c r="J443" s="234" t="n"/>
      <c r="K443" s="234" t="n"/>
      <c r="L443" s="234" t="n"/>
      <c r="M443" s="234" t="n"/>
      <c r="N443" s="234" t="n"/>
      <c r="O443" s="235" t="n"/>
    </row>
    <row r="444" ht="18" customHeight="1" s="145">
      <c r="A444" s="233" t="n"/>
      <c r="B444" s="233" t="n"/>
      <c r="C444" s="233" t="n"/>
      <c r="D444" s="234" t="n"/>
      <c r="J444" s="234" t="n"/>
      <c r="K444" s="234" t="n"/>
      <c r="L444" s="234" t="n"/>
      <c r="M444" s="234" t="n"/>
      <c r="N444" s="234" t="n"/>
      <c r="O444" s="235" t="n"/>
    </row>
    <row r="445" ht="18" customHeight="1" s="145">
      <c r="A445" s="233" t="n"/>
      <c r="B445" s="233" t="n"/>
      <c r="C445" s="233" t="n"/>
      <c r="D445" s="234" t="n"/>
      <c r="J445" s="234" t="n"/>
      <c r="K445" s="234" t="n"/>
      <c r="L445" s="234" t="n"/>
      <c r="M445" s="234" t="n"/>
      <c r="N445" s="234" t="n"/>
      <c r="O445" s="235" t="n"/>
    </row>
    <row r="446" ht="18" customHeight="1" s="145">
      <c r="A446" s="233" t="n"/>
      <c r="B446" s="233" t="n"/>
      <c r="C446" s="233" t="n"/>
      <c r="D446" s="234" t="n"/>
      <c r="J446" s="234" t="n"/>
      <c r="K446" s="234" t="n"/>
      <c r="L446" s="234" t="n"/>
      <c r="M446" s="234" t="n"/>
      <c r="N446" s="234" t="n"/>
      <c r="O446" s="235" t="n"/>
    </row>
    <row r="447" ht="18" customHeight="1" s="145">
      <c r="A447" s="233" t="n"/>
      <c r="B447" s="233" t="n"/>
      <c r="C447" s="233" t="n"/>
      <c r="D447" s="234" t="n"/>
      <c r="J447" s="234" t="n"/>
      <c r="K447" s="234" t="n"/>
      <c r="L447" s="234" t="n"/>
      <c r="M447" s="234" t="n"/>
      <c r="N447" s="234" t="n"/>
      <c r="O447" s="235" t="n"/>
    </row>
    <row r="448" ht="18" customHeight="1" s="145">
      <c r="A448" s="233" t="n"/>
      <c r="B448" s="233" t="n"/>
      <c r="C448" s="233" t="n"/>
      <c r="D448" s="234" t="n"/>
      <c r="J448" s="234" t="n"/>
      <c r="K448" s="234" t="n"/>
      <c r="L448" s="234" t="n"/>
      <c r="M448" s="234" t="n"/>
      <c r="N448" s="234" t="n"/>
      <c r="O448" s="235" t="n"/>
    </row>
    <row r="449" ht="18" customHeight="1" s="145">
      <c r="A449" s="233" t="n"/>
      <c r="B449" s="233" t="n"/>
      <c r="C449" s="233" t="n"/>
      <c r="D449" s="234" t="n"/>
      <c r="J449" s="234" t="n"/>
      <c r="K449" s="234" t="n"/>
      <c r="L449" s="234" t="n"/>
      <c r="M449" s="234" t="n"/>
      <c r="N449" s="234" t="n"/>
      <c r="O449" s="235" t="n"/>
    </row>
    <row r="450" ht="18" customHeight="1" s="145">
      <c r="A450" s="233" t="n"/>
      <c r="B450" s="233" t="n"/>
      <c r="C450" s="233" t="n"/>
      <c r="D450" s="234" t="n"/>
      <c r="J450" s="234" t="n"/>
      <c r="K450" s="234" t="n"/>
      <c r="L450" s="234" t="n"/>
      <c r="M450" s="234" t="n"/>
      <c r="N450" s="234" t="n"/>
      <c r="O450" s="235" t="n"/>
    </row>
    <row r="451" ht="18" customHeight="1" s="145">
      <c r="A451" s="233" t="n"/>
      <c r="B451" s="233" t="n"/>
      <c r="C451" s="233" t="n"/>
      <c r="D451" s="234" t="n"/>
      <c r="J451" s="234" t="n"/>
      <c r="K451" s="234" t="n"/>
      <c r="L451" s="234" t="n"/>
      <c r="M451" s="234" t="n"/>
      <c r="N451" s="234" t="n"/>
      <c r="O451" s="235" t="n"/>
    </row>
    <row r="452" ht="18" customHeight="1" s="145">
      <c r="A452" s="233" t="n"/>
      <c r="B452" s="233" t="n"/>
      <c r="C452" s="233" t="n"/>
      <c r="D452" s="234" t="n"/>
      <c r="J452" s="234" t="n"/>
      <c r="K452" s="234" t="n"/>
      <c r="L452" s="234" t="n"/>
      <c r="M452" s="234" t="n"/>
      <c r="N452" s="234" t="n"/>
      <c r="O452" s="235" t="n"/>
    </row>
    <row r="453" ht="18" customHeight="1" s="145">
      <c r="A453" s="233" t="n"/>
      <c r="B453" s="233" t="n"/>
      <c r="C453" s="233" t="n"/>
      <c r="D453" s="234" t="n"/>
      <c r="J453" s="234" t="n"/>
      <c r="K453" s="234" t="n"/>
      <c r="L453" s="234" t="n"/>
      <c r="M453" s="234" t="n"/>
      <c r="N453" s="234" t="n"/>
      <c r="O453" s="235" t="n"/>
    </row>
    <row r="454" ht="18" customHeight="1" s="145">
      <c r="A454" s="233" t="n"/>
      <c r="B454" s="233" t="n"/>
      <c r="C454" s="233" t="n"/>
      <c r="D454" s="234" t="n"/>
      <c r="J454" s="234" t="n"/>
      <c r="K454" s="234" t="n"/>
      <c r="L454" s="234" t="n"/>
      <c r="M454" s="234" t="n"/>
      <c r="N454" s="234" t="n"/>
      <c r="O454" s="235" t="n"/>
    </row>
    <row r="455" ht="18" customHeight="1" s="145">
      <c r="A455" s="233" t="n"/>
      <c r="B455" s="233" t="n"/>
      <c r="C455" s="233" t="n"/>
      <c r="D455" s="234" t="n"/>
      <c r="J455" s="234" t="n"/>
      <c r="K455" s="234" t="n"/>
      <c r="L455" s="234" t="n"/>
      <c r="M455" s="234" t="n"/>
      <c r="N455" s="234" t="n"/>
      <c r="O455" s="235" t="n"/>
    </row>
    <row r="456" ht="18" customHeight="1" s="145">
      <c r="A456" s="233" t="n"/>
      <c r="B456" s="233" t="n"/>
      <c r="C456" s="233" t="n"/>
      <c r="D456" s="234" t="n"/>
      <c r="J456" s="234" t="n"/>
      <c r="K456" s="234" t="n"/>
      <c r="L456" s="234" t="n"/>
      <c r="M456" s="234" t="n"/>
      <c r="N456" s="234" t="n"/>
      <c r="O456" s="235" t="n"/>
    </row>
    <row r="457" ht="18" customHeight="1" s="145">
      <c r="A457" s="233" t="n"/>
      <c r="B457" s="233" t="n"/>
      <c r="C457" s="233" t="n"/>
      <c r="D457" s="234" t="n"/>
      <c r="J457" s="234" t="n"/>
      <c r="K457" s="234" t="n"/>
      <c r="L457" s="234" t="n"/>
      <c r="M457" s="234" t="n"/>
      <c r="N457" s="234" t="n"/>
      <c r="O457" s="235" t="n"/>
    </row>
    <row r="458" ht="18" customHeight="1" s="145">
      <c r="A458" s="233" t="n"/>
      <c r="B458" s="233" t="n"/>
      <c r="C458" s="233" t="n"/>
      <c r="D458" s="234" t="n"/>
      <c r="J458" s="234" t="n"/>
      <c r="K458" s="234" t="n"/>
      <c r="L458" s="234" t="n"/>
      <c r="M458" s="234" t="n"/>
      <c r="N458" s="234" t="n"/>
      <c r="O458" s="235" t="n"/>
    </row>
    <row r="459" ht="18" customHeight="1" s="145">
      <c r="A459" s="233" t="n"/>
      <c r="B459" s="233" t="n"/>
      <c r="C459" s="233" t="n"/>
      <c r="D459" s="234" t="n"/>
      <c r="J459" s="234" t="n"/>
      <c r="K459" s="234" t="n"/>
      <c r="L459" s="234" t="n"/>
      <c r="M459" s="234" t="n"/>
      <c r="N459" s="234" t="n"/>
      <c r="O459" s="235" t="n"/>
    </row>
    <row r="460" ht="18" customHeight="1" s="145">
      <c r="A460" s="233" t="n"/>
      <c r="B460" s="233" t="n"/>
      <c r="C460" s="233" t="n"/>
      <c r="D460" s="234" t="n"/>
      <c r="J460" s="234" t="n"/>
      <c r="K460" s="234" t="n"/>
      <c r="L460" s="234" t="n"/>
      <c r="M460" s="234" t="n"/>
      <c r="N460" s="234" t="n"/>
      <c r="O460" s="235" t="n"/>
    </row>
    <row r="461" ht="18" customHeight="1" s="145">
      <c r="A461" s="233" t="n"/>
      <c r="B461" s="233" t="n"/>
      <c r="C461" s="233" t="n"/>
      <c r="D461" s="234" t="n"/>
      <c r="J461" s="234" t="n"/>
      <c r="K461" s="234" t="n"/>
      <c r="L461" s="234" t="n"/>
      <c r="M461" s="234" t="n"/>
      <c r="N461" s="234" t="n"/>
      <c r="O461" s="235" t="n"/>
    </row>
    <row r="462" ht="18" customHeight="1" s="145">
      <c r="A462" s="233" t="n"/>
      <c r="B462" s="233" t="n"/>
      <c r="C462" s="233" t="n"/>
      <c r="D462" s="234" t="n"/>
      <c r="J462" s="234" t="n"/>
      <c r="K462" s="234" t="n"/>
      <c r="L462" s="234" t="n"/>
      <c r="M462" s="234" t="n"/>
      <c r="N462" s="234" t="n"/>
      <c r="O462" s="235" t="n"/>
    </row>
    <row r="463" ht="18" customHeight="1" s="145">
      <c r="A463" s="233" t="n"/>
      <c r="B463" s="233" t="n"/>
      <c r="C463" s="233" t="n"/>
      <c r="D463" s="234" t="n"/>
      <c r="J463" s="234" t="n"/>
      <c r="K463" s="234" t="n"/>
      <c r="L463" s="234" t="n"/>
      <c r="M463" s="234" t="n"/>
      <c r="N463" s="234" t="n"/>
      <c r="O463" s="235" t="n"/>
    </row>
    <row r="464" ht="18" customHeight="1" s="145">
      <c r="A464" s="233" t="n"/>
      <c r="B464" s="233" t="n"/>
      <c r="C464" s="233" t="n"/>
      <c r="D464" s="234" t="n"/>
      <c r="J464" s="234" t="n"/>
      <c r="K464" s="234" t="n"/>
      <c r="L464" s="234" t="n"/>
      <c r="M464" s="234" t="n"/>
      <c r="N464" s="234" t="n"/>
      <c r="O464" s="235" t="n"/>
    </row>
    <row r="465" ht="18" customHeight="1" s="145">
      <c r="A465" s="233" t="n"/>
      <c r="B465" s="233" t="n"/>
      <c r="C465" s="233" t="n"/>
      <c r="D465" s="234" t="n"/>
      <c r="J465" s="234" t="n"/>
      <c r="K465" s="234" t="n"/>
      <c r="L465" s="234" t="n"/>
      <c r="M465" s="234" t="n"/>
      <c r="N465" s="234" t="n"/>
      <c r="O465" s="235" t="n"/>
    </row>
    <row r="466" ht="18" customHeight="1" s="145">
      <c r="A466" s="233" t="n"/>
      <c r="B466" s="233" t="n"/>
      <c r="C466" s="233" t="n"/>
      <c r="D466" s="234" t="n"/>
      <c r="J466" s="234" t="n"/>
      <c r="K466" s="234" t="n"/>
      <c r="L466" s="234" t="n"/>
      <c r="M466" s="234" t="n"/>
      <c r="N466" s="234" t="n"/>
      <c r="O466" s="235" t="n"/>
    </row>
    <row r="467" ht="18" customHeight="1" s="145">
      <c r="A467" s="233" t="n"/>
      <c r="B467" s="233" t="n"/>
      <c r="C467" s="233" t="n"/>
      <c r="D467" s="234" t="n"/>
      <c r="J467" s="234" t="n"/>
      <c r="K467" s="234" t="n"/>
      <c r="L467" s="234" t="n"/>
      <c r="M467" s="234" t="n"/>
      <c r="N467" s="234" t="n"/>
      <c r="O467" s="235" t="n"/>
    </row>
    <row r="468" ht="18" customHeight="1" s="145">
      <c r="A468" s="233" t="n"/>
      <c r="B468" s="233" t="n"/>
      <c r="C468" s="233" t="n"/>
      <c r="D468" s="234" t="n"/>
      <c r="J468" s="234" t="n"/>
      <c r="K468" s="234" t="n"/>
      <c r="L468" s="234" t="n"/>
      <c r="M468" s="234" t="n"/>
      <c r="N468" s="234" t="n"/>
      <c r="O468" s="235" t="n"/>
    </row>
    <row r="469" ht="18" customHeight="1" s="145">
      <c r="A469" s="233" t="n"/>
      <c r="B469" s="233" t="n"/>
      <c r="C469" s="233" t="n"/>
      <c r="D469" s="234" t="n"/>
      <c r="J469" s="234" t="n"/>
      <c r="K469" s="234" t="n"/>
      <c r="L469" s="234" t="n"/>
      <c r="M469" s="234" t="n"/>
      <c r="N469" s="234" t="n"/>
      <c r="O469" s="235" t="n"/>
    </row>
    <row r="470" ht="18" customHeight="1" s="145">
      <c r="A470" s="233" t="n"/>
      <c r="B470" s="233" t="n"/>
      <c r="C470" s="233" t="n"/>
      <c r="D470" s="234" t="n"/>
      <c r="J470" s="234" t="n"/>
      <c r="K470" s="234" t="n"/>
      <c r="L470" s="234" t="n"/>
      <c r="M470" s="234" t="n"/>
      <c r="N470" s="234" t="n"/>
      <c r="O470" s="235" t="n"/>
    </row>
    <row r="471" ht="18" customHeight="1" s="145">
      <c r="A471" s="233" t="n"/>
      <c r="B471" s="233" t="n"/>
      <c r="C471" s="233" t="n"/>
      <c r="D471" s="234" t="n"/>
      <c r="J471" s="234" t="n"/>
      <c r="K471" s="234" t="n"/>
      <c r="L471" s="234" t="n"/>
      <c r="M471" s="234" t="n"/>
      <c r="N471" s="234" t="n"/>
      <c r="O471" s="235" t="n"/>
    </row>
    <row r="472" ht="18" customHeight="1" s="145">
      <c r="A472" s="233" t="n"/>
      <c r="B472" s="233" t="n"/>
      <c r="C472" s="233" t="n"/>
      <c r="D472" s="234" t="n"/>
      <c r="J472" s="234" t="n"/>
      <c r="K472" s="234" t="n"/>
      <c r="L472" s="234" t="n"/>
      <c r="M472" s="234" t="n"/>
      <c r="N472" s="234" t="n"/>
      <c r="O472" s="235" t="n"/>
    </row>
    <row r="473" ht="18" customHeight="1" s="145">
      <c r="A473" s="233" t="n"/>
      <c r="B473" s="233" t="n"/>
      <c r="C473" s="233" t="n"/>
      <c r="D473" s="234" t="n"/>
      <c r="J473" s="234" t="n"/>
      <c r="K473" s="234" t="n"/>
      <c r="L473" s="234" t="n"/>
      <c r="M473" s="234" t="n"/>
      <c r="N473" s="234" t="n"/>
      <c r="O473" s="235" t="n"/>
    </row>
    <row r="474" ht="18" customHeight="1" s="145">
      <c r="A474" s="233" t="n"/>
      <c r="B474" s="233" t="n"/>
      <c r="C474" s="233" t="n"/>
      <c r="D474" s="234" t="n"/>
      <c r="J474" s="234" t="n"/>
      <c r="K474" s="234" t="n"/>
      <c r="L474" s="234" t="n"/>
      <c r="M474" s="234" t="n"/>
      <c r="N474" s="234" t="n"/>
      <c r="O474" s="235" t="n"/>
    </row>
    <row r="475" ht="18" customHeight="1" s="145">
      <c r="A475" s="233" t="n"/>
      <c r="B475" s="233" t="n"/>
      <c r="C475" s="233" t="n"/>
      <c r="D475" s="234" t="n"/>
      <c r="J475" s="234" t="n"/>
      <c r="K475" s="234" t="n"/>
      <c r="L475" s="234" t="n"/>
      <c r="M475" s="234" t="n"/>
      <c r="N475" s="234" t="n"/>
      <c r="O475" s="235" t="n"/>
    </row>
    <row r="476" ht="18" customHeight="1" s="145">
      <c r="A476" s="233" t="n"/>
      <c r="B476" s="233" t="n"/>
      <c r="C476" s="233" t="n"/>
      <c r="D476" s="234" t="n"/>
      <c r="J476" s="234" t="n"/>
      <c r="K476" s="234" t="n"/>
      <c r="L476" s="234" t="n"/>
      <c r="M476" s="234" t="n"/>
      <c r="N476" s="234" t="n"/>
      <c r="O476" s="235" t="n"/>
    </row>
    <row r="477" ht="18" customHeight="1" s="145">
      <c r="A477" s="233" t="n"/>
      <c r="B477" s="233" t="n"/>
      <c r="C477" s="233" t="n"/>
      <c r="D477" s="234" t="n"/>
      <c r="J477" s="234" t="n"/>
      <c r="K477" s="234" t="n"/>
      <c r="L477" s="234" t="n"/>
      <c r="M477" s="234" t="n"/>
      <c r="N477" s="234" t="n"/>
      <c r="O477" s="235" t="n"/>
    </row>
    <row r="478" ht="18" customHeight="1" s="145">
      <c r="A478" s="233" t="n"/>
      <c r="B478" s="233" t="n"/>
      <c r="C478" s="233" t="n"/>
      <c r="D478" s="234" t="n"/>
      <c r="J478" s="234" t="n"/>
      <c r="K478" s="234" t="n"/>
      <c r="L478" s="234" t="n"/>
      <c r="M478" s="234" t="n"/>
      <c r="N478" s="234" t="n"/>
      <c r="O478" s="235" t="n"/>
    </row>
    <row r="479" ht="18" customHeight="1" s="145">
      <c r="A479" s="233" t="n"/>
      <c r="B479" s="233" t="n"/>
      <c r="C479" s="233" t="n"/>
      <c r="D479" s="234" t="n"/>
      <c r="J479" s="234" t="n"/>
      <c r="K479" s="234" t="n"/>
      <c r="L479" s="234" t="n"/>
      <c r="M479" s="234" t="n"/>
      <c r="N479" s="234" t="n"/>
      <c r="O479" s="235" t="n"/>
    </row>
    <row r="480" ht="18" customHeight="1" s="145">
      <c r="A480" s="233" t="n"/>
      <c r="B480" s="233" t="n"/>
      <c r="C480" s="233" t="n"/>
      <c r="D480" s="234" t="n"/>
      <c r="J480" s="234" t="n"/>
      <c r="K480" s="234" t="n"/>
      <c r="L480" s="234" t="n"/>
      <c r="M480" s="234" t="n"/>
      <c r="N480" s="234" t="n"/>
      <c r="O480" s="235" t="n"/>
    </row>
    <row r="481" ht="18" customHeight="1" s="145">
      <c r="A481" s="233" t="n"/>
      <c r="B481" s="233" t="n"/>
      <c r="C481" s="233" t="n"/>
      <c r="D481" s="234" t="n"/>
      <c r="J481" s="234" t="n"/>
      <c r="K481" s="234" t="n"/>
      <c r="L481" s="234" t="n"/>
      <c r="M481" s="234" t="n"/>
      <c r="N481" s="234" t="n"/>
      <c r="O481" s="235" t="n"/>
    </row>
    <row r="482" ht="18" customHeight="1" s="145">
      <c r="A482" s="233" t="n"/>
      <c r="B482" s="233" t="n"/>
      <c r="C482" s="233" t="n"/>
      <c r="D482" s="234" t="n"/>
      <c r="J482" s="234" t="n"/>
      <c r="K482" s="234" t="n"/>
      <c r="L482" s="234" t="n"/>
      <c r="M482" s="234" t="n"/>
      <c r="N482" s="234" t="n"/>
      <c r="O482" s="235" t="n"/>
    </row>
    <row r="483" ht="18" customHeight="1" s="145">
      <c r="A483" s="233" t="n"/>
      <c r="B483" s="233" t="n"/>
      <c r="C483" s="233" t="n"/>
      <c r="D483" s="234" t="n"/>
      <c r="J483" s="234" t="n"/>
      <c r="K483" s="234" t="n"/>
      <c r="L483" s="234" t="n"/>
      <c r="M483" s="234" t="n"/>
      <c r="N483" s="234" t="n"/>
      <c r="O483" s="235" t="n"/>
    </row>
    <row r="484" ht="18" customHeight="1" s="145">
      <c r="A484" s="233" t="n"/>
      <c r="B484" s="233" t="n"/>
      <c r="C484" s="233" t="n"/>
      <c r="D484" s="234" t="n"/>
      <c r="J484" s="234" t="n"/>
      <c r="K484" s="234" t="n"/>
      <c r="L484" s="234" t="n"/>
      <c r="M484" s="234" t="n"/>
      <c r="N484" s="234" t="n"/>
      <c r="O484" s="235" t="n"/>
    </row>
    <row r="485" ht="18" customHeight="1" s="145">
      <c r="A485" s="233" t="n"/>
      <c r="B485" s="233" t="n"/>
      <c r="C485" s="233" t="n"/>
      <c r="D485" s="234" t="n"/>
      <c r="J485" s="234" t="n"/>
      <c r="K485" s="234" t="n"/>
      <c r="L485" s="234" t="n"/>
      <c r="M485" s="234" t="n"/>
      <c r="N485" s="234" t="n"/>
      <c r="O485" s="235" t="n"/>
    </row>
    <row r="486" ht="18" customHeight="1" s="145">
      <c r="A486" s="233" t="n"/>
      <c r="B486" s="233" t="n"/>
      <c r="C486" s="233" t="n"/>
      <c r="D486" s="234" t="n"/>
      <c r="J486" s="234" t="n"/>
      <c r="K486" s="234" t="n"/>
      <c r="L486" s="234" t="n"/>
      <c r="M486" s="234" t="n"/>
      <c r="N486" s="234" t="n"/>
      <c r="O486" s="235" t="n"/>
    </row>
    <row r="487" ht="18" customHeight="1" s="145">
      <c r="A487" s="233" t="n"/>
      <c r="B487" s="233" t="n"/>
      <c r="C487" s="233" t="n"/>
      <c r="D487" s="234" t="n"/>
      <c r="J487" s="234" t="n"/>
      <c r="K487" s="234" t="n"/>
      <c r="L487" s="234" t="n"/>
      <c r="M487" s="234" t="n"/>
      <c r="N487" s="234" t="n"/>
      <c r="O487" s="235" t="n"/>
    </row>
    <row r="488" ht="18" customHeight="1" s="145">
      <c r="A488" s="233" t="n"/>
      <c r="B488" s="233" t="n"/>
      <c r="C488" s="233" t="n"/>
      <c r="D488" s="234" t="n"/>
      <c r="J488" s="234" t="n"/>
      <c r="K488" s="234" t="n"/>
      <c r="L488" s="234" t="n"/>
      <c r="M488" s="234" t="n"/>
      <c r="N488" s="234" t="n"/>
      <c r="O488" s="235" t="n"/>
    </row>
    <row r="489" ht="18" customHeight="1" s="145">
      <c r="A489" s="233" t="n"/>
      <c r="B489" s="233" t="n"/>
      <c r="C489" s="233" t="n"/>
      <c r="D489" s="234" t="n"/>
      <c r="J489" s="234" t="n"/>
      <c r="K489" s="234" t="n"/>
      <c r="L489" s="234" t="n"/>
      <c r="M489" s="234" t="n"/>
      <c r="N489" s="234" t="n"/>
      <c r="O489" s="235" t="n"/>
    </row>
    <row r="490" ht="18" customHeight="1" s="145">
      <c r="A490" s="233" t="n"/>
      <c r="B490" s="233" t="n"/>
      <c r="C490" s="233" t="n"/>
      <c r="D490" s="234" t="n"/>
      <c r="J490" s="234" t="n"/>
      <c r="K490" s="234" t="n"/>
      <c r="L490" s="234" t="n"/>
      <c r="M490" s="234" t="n"/>
      <c r="N490" s="234" t="n"/>
      <c r="O490" s="235" t="n"/>
    </row>
    <row r="491" ht="18" customHeight="1" s="145">
      <c r="A491" s="233" t="n"/>
      <c r="B491" s="233" t="n"/>
      <c r="C491" s="233" t="n"/>
      <c r="D491" s="234" t="n"/>
      <c r="J491" s="234" t="n"/>
      <c r="K491" s="234" t="n"/>
      <c r="L491" s="234" t="n"/>
      <c r="M491" s="234" t="n"/>
      <c r="N491" s="234" t="n"/>
      <c r="O491" s="235" t="n"/>
    </row>
    <row r="492" ht="18" customHeight="1" s="145">
      <c r="A492" s="233" t="n"/>
      <c r="B492" s="233" t="n"/>
      <c r="C492" s="233" t="n"/>
      <c r="D492" s="234" t="n"/>
      <c r="J492" s="234" t="n"/>
      <c r="K492" s="234" t="n"/>
      <c r="L492" s="234" t="n"/>
      <c r="M492" s="234" t="n"/>
      <c r="N492" s="234" t="n"/>
      <c r="O492" s="235" t="n"/>
    </row>
    <row r="493" ht="18" customHeight="1" s="145">
      <c r="A493" s="233" t="n"/>
      <c r="B493" s="233" t="n"/>
      <c r="C493" s="233" t="n"/>
      <c r="D493" s="234" t="n"/>
      <c r="J493" s="234" t="n"/>
      <c r="K493" s="234" t="n"/>
      <c r="L493" s="234" t="n"/>
      <c r="M493" s="234" t="n"/>
      <c r="N493" s="234" t="n"/>
      <c r="O493" s="235" t="n"/>
    </row>
    <row r="494" ht="18" customHeight="1" s="145">
      <c r="A494" s="233" t="n"/>
      <c r="B494" s="233" t="n"/>
      <c r="C494" s="233" t="n"/>
      <c r="D494" s="234" t="n"/>
      <c r="J494" s="234" t="n"/>
      <c r="K494" s="234" t="n"/>
      <c r="L494" s="234" t="n"/>
      <c r="M494" s="234" t="n"/>
      <c r="N494" s="234" t="n"/>
      <c r="O494" s="235" t="n"/>
    </row>
    <row r="495" ht="18" customHeight="1" s="145">
      <c r="A495" s="233" t="n"/>
      <c r="B495" s="233" t="n"/>
      <c r="C495" s="233" t="n"/>
      <c r="D495" s="234" t="n"/>
      <c r="J495" s="234" t="n"/>
      <c r="K495" s="234" t="n"/>
      <c r="L495" s="234" t="n"/>
      <c r="M495" s="234" t="n"/>
      <c r="N495" s="234" t="n"/>
      <c r="O495" s="235" t="n"/>
    </row>
    <row r="496" ht="18" customHeight="1" s="145">
      <c r="A496" s="233" t="n"/>
      <c r="B496" s="233" t="n"/>
      <c r="C496" s="233" t="n"/>
      <c r="D496" s="234" t="n"/>
      <c r="J496" s="234" t="n"/>
      <c r="K496" s="234" t="n"/>
      <c r="L496" s="234" t="n"/>
      <c r="M496" s="234" t="n"/>
      <c r="N496" s="234" t="n"/>
      <c r="O496" s="235" t="n"/>
    </row>
    <row r="497" ht="18" customHeight="1" s="145">
      <c r="A497" s="233" t="n"/>
      <c r="B497" s="233" t="n"/>
      <c r="C497" s="233" t="n"/>
      <c r="D497" s="234" t="n"/>
      <c r="J497" s="234" t="n"/>
      <c r="K497" s="234" t="n"/>
      <c r="L497" s="234" t="n"/>
      <c r="M497" s="234" t="n"/>
      <c r="N497" s="234" t="n"/>
      <c r="O497" s="235" t="n"/>
    </row>
    <row r="498" ht="18" customHeight="1" s="145">
      <c r="A498" s="233" t="n"/>
      <c r="B498" s="233" t="n"/>
      <c r="C498" s="233" t="n"/>
      <c r="D498" s="234" t="n"/>
      <c r="J498" s="234" t="n"/>
      <c r="K498" s="234" t="n"/>
      <c r="L498" s="234" t="n"/>
      <c r="M498" s="234" t="n"/>
      <c r="N498" s="234" t="n"/>
      <c r="O498" s="235" t="n"/>
    </row>
    <row r="499" ht="18" customHeight="1" s="145">
      <c r="A499" s="233" t="n"/>
      <c r="B499" s="233" t="n"/>
      <c r="C499" s="233" t="n"/>
      <c r="D499" s="234" t="n"/>
      <c r="J499" s="234" t="n"/>
      <c r="K499" s="234" t="n"/>
      <c r="L499" s="234" t="n"/>
      <c r="M499" s="234" t="n"/>
      <c r="N499" s="234" t="n"/>
      <c r="O499" s="235" t="n"/>
    </row>
    <row r="500" ht="18" customHeight="1" s="145">
      <c r="A500" s="233" t="n"/>
      <c r="B500" s="233" t="n"/>
      <c r="C500" s="233" t="n"/>
      <c r="D500" s="234" t="n"/>
      <c r="J500" s="234" t="n"/>
      <c r="K500" s="234" t="n"/>
      <c r="L500" s="234" t="n"/>
      <c r="M500" s="234" t="n"/>
      <c r="N500" s="234" t="n"/>
      <c r="O500" s="235" t="n"/>
    </row>
    <row r="501" ht="18" customHeight="1" s="145">
      <c r="A501" s="233" t="n"/>
      <c r="B501" s="233" t="n"/>
      <c r="C501" s="233" t="n"/>
      <c r="D501" s="234" t="n"/>
      <c r="J501" s="234" t="n"/>
      <c r="K501" s="234" t="n"/>
      <c r="L501" s="234" t="n"/>
      <c r="M501" s="234" t="n"/>
      <c r="N501" s="234" t="n"/>
      <c r="O501" s="235" t="n"/>
    </row>
    <row r="502" ht="18" customHeight="1" s="145">
      <c r="A502" s="233" t="n"/>
      <c r="B502" s="233" t="n"/>
      <c r="C502" s="233" t="n"/>
      <c r="D502" s="234" t="n"/>
      <c r="J502" s="234" t="n"/>
      <c r="K502" s="234" t="n"/>
      <c r="L502" s="234" t="n"/>
      <c r="M502" s="234" t="n"/>
      <c r="N502" s="234" t="n"/>
      <c r="O502" s="235" t="n"/>
    </row>
    <row r="503" ht="18" customHeight="1" s="145">
      <c r="A503" s="233" t="n"/>
      <c r="B503" s="233" t="n"/>
      <c r="C503" s="233" t="n"/>
      <c r="D503" s="234" t="n"/>
      <c r="J503" s="234" t="n"/>
      <c r="K503" s="234" t="n"/>
      <c r="L503" s="234" t="n"/>
      <c r="M503" s="234" t="n"/>
      <c r="N503" s="234" t="n"/>
      <c r="O503" s="235" t="n"/>
    </row>
    <row r="504" ht="18" customHeight="1" s="145">
      <c r="A504" s="233" t="n"/>
      <c r="B504" s="233" t="n"/>
      <c r="C504" s="233" t="n"/>
      <c r="D504" s="234" t="n"/>
      <c r="J504" s="234" t="n"/>
      <c r="K504" s="234" t="n"/>
      <c r="L504" s="234" t="n"/>
      <c r="M504" s="234" t="n"/>
      <c r="N504" s="234" t="n"/>
      <c r="O504" s="235" t="n"/>
    </row>
    <row r="505" ht="18" customHeight="1" s="145">
      <c r="A505" s="233" t="n"/>
      <c r="B505" s="233" t="n"/>
      <c r="C505" s="233" t="n"/>
      <c r="D505" s="234" t="n"/>
      <c r="J505" s="234" t="n"/>
      <c r="K505" s="234" t="n"/>
      <c r="L505" s="234" t="n"/>
      <c r="M505" s="234" t="n"/>
      <c r="N505" s="234" t="n"/>
      <c r="O505" s="235" t="n"/>
    </row>
    <row r="506" ht="18" customHeight="1" s="145">
      <c r="A506" s="233" t="n"/>
      <c r="B506" s="233" t="n"/>
      <c r="C506" s="233" t="n"/>
      <c r="D506" s="234" t="n"/>
      <c r="J506" s="234" t="n"/>
      <c r="K506" s="234" t="n"/>
      <c r="L506" s="234" t="n"/>
      <c r="M506" s="234" t="n"/>
      <c r="N506" s="234" t="n"/>
      <c r="O506" s="235" t="n"/>
    </row>
    <row r="507" ht="18" customHeight="1" s="145">
      <c r="A507" s="233" t="n"/>
      <c r="B507" s="233" t="n"/>
      <c r="C507" s="233" t="n"/>
      <c r="D507" s="234" t="n"/>
      <c r="J507" s="234" t="n"/>
      <c r="K507" s="234" t="n"/>
      <c r="L507" s="234" t="n"/>
      <c r="M507" s="234" t="n"/>
      <c r="N507" s="234" t="n"/>
      <c r="O507" s="235" t="n"/>
    </row>
    <row r="508" ht="18" customHeight="1" s="145">
      <c r="A508" s="233" t="n"/>
      <c r="B508" s="233" t="n"/>
      <c r="C508" s="233" t="n"/>
      <c r="D508" s="234" t="n"/>
      <c r="J508" s="234" t="n"/>
      <c r="K508" s="234" t="n"/>
      <c r="L508" s="234" t="n"/>
      <c r="M508" s="234" t="n"/>
      <c r="N508" s="234" t="n"/>
      <c r="O508" s="235" t="n"/>
    </row>
    <row r="509" ht="18" customHeight="1" s="145">
      <c r="A509" s="233" t="n"/>
      <c r="B509" s="233" t="n"/>
      <c r="C509" s="233" t="n"/>
      <c r="D509" s="234" t="n"/>
      <c r="J509" s="234" t="n"/>
      <c r="K509" s="234" t="n"/>
      <c r="L509" s="234" t="n"/>
      <c r="M509" s="234" t="n"/>
      <c r="N509" s="234" t="n"/>
      <c r="O509" s="235" t="n"/>
    </row>
    <row r="510" ht="18" customHeight="1" s="145">
      <c r="A510" s="233" t="n"/>
      <c r="B510" s="233" t="n"/>
      <c r="C510" s="233" t="n"/>
      <c r="D510" s="234" t="n"/>
      <c r="J510" s="234" t="n"/>
      <c r="K510" s="234" t="n"/>
      <c r="L510" s="234" t="n"/>
      <c r="M510" s="234" t="n"/>
      <c r="N510" s="234" t="n"/>
      <c r="O510" s="235" t="n"/>
    </row>
    <row r="511" ht="18" customHeight="1" s="145">
      <c r="A511" s="233" t="n"/>
      <c r="B511" s="233" t="n"/>
      <c r="C511" s="233" t="n"/>
      <c r="D511" s="234" t="n"/>
      <c r="J511" s="234" t="n"/>
      <c r="K511" s="234" t="n"/>
      <c r="L511" s="234" t="n"/>
      <c r="M511" s="234" t="n"/>
      <c r="N511" s="234" t="n"/>
      <c r="O511" s="235" t="n"/>
    </row>
    <row r="512" ht="18" customHeight="1" s="145">
      <c r="A512" s="233" t="n"/>
      <c r="B512" s="233" t="n"/>
      <c r="C512" s="233" t="n"/>
      <c r="D512" s="234" t="n"/>
      <c r="J512" s="234" t="n"/>
      <c r="K512" s="234" t="n"/>
      <c r="L512" s="234" t="n"/>
      <c r="M512" s="234" t="n"/>
      <c r="N512" s="234" t="n"/>
      <c r="O512" s="235" t="n"/>
    </row>
    <row r="513" ht="18" customHeight="1" s="145">
      <c r="A513" s="233" t="n"/>
      <c r="B513" s="233" t="n"/>
      <c r="C513" s="233" t="n"/>
      <c r="D513" s="234" t="n"/>
      <c r="J513" s="234" t="n"/>
      <c r="K513" s="234" t="n"/>
      <c r="L513" s="234" t="n"/>
      <c r="M513" s="234" t="n"/>
      <c r="N513" s="234" t="n"/>
      <c r="O513" s="235" t="n"/>
    </row>
    <row r="514" ht="18" customHeight="1" s="145">
      <c r="A514" s="233" t="n"/>
      <c r="B514" s="233" t="n"/>
      <c r="C514" s="233" t="n"/>
      <c r="D514" s="234" t="n"/>
      <c r="J514" s="234" t="n"/>
      <c r="K514" s="234" t="n"/>
      <c r="L514" s="234" t="n"/>
      <c r="M514" s="234" t="n"/>
      <c r="N514" s="234" t="n"/>
      <c r="O514" s="235" t="n"/>
    </row>
    <row r="515" ht="18" customHeight="1" s="145">
      <c r="A515" s="233" t="n"/>
      <c r="B515" s="233" t="n"/>
      <c r="C515" s="233" t="n"/>
      <c r="D515" s="234" t="n"/>
      <c r="J515" s="234" t="n"/>
      <c r="K515" s="234" t="n"/>
      <c r="L515" s="234" t="n"/>
      <c r="M515" s="234" t="n"/>
      <c r="N515" s="234" t="n"/>
      <c r="O515" s="235" t="n"/>
    </row>
    <row r="516" ht="18" customHeight="1" s="145">
      <c r="A516" s="233" t="n"/>
      <c r="B516" s="233" t="n"/>
      <c r="C516" s="233" t="n"/>
      <c r="D516" s="234" t="n"/>
      <c r="J516" s="234" t="n"/>
      <c r="K516" s="234" t="n"/>
      <c r="L516" s="234" t="n"/>
      <c r="M516" s="234" t="n"/>
      <c r="N516" s="234" t="n"/>
      <c r="O516" s="235" t="n"/>
    </row>
    <row r="517" ht="18" customHeight="1" s="145">
      <c r="A517" s="233" t="n"/>
      <c r="B517" s="233" t="n"/>
      <c r="C517" s="233" t="n"/>
      <c r="D517" s="234" t="n"/>
      <c r="J517" s="234" t="n"/>
      <c r="K517" s="234" t="n"/>
      <c r="L517" s="234" t="n"/>
      <c r="M517" s="234" t="n"/>
      <c r="N517" s="234" t="n"/>
      <c r="O517" s="235" t="n"/>
    </row>
    <row r="518" ht="18" customHeight="1" s="145">
      <c r="A518" s="233" t="n"/>
      <c r="B518" s="233" t="n"/>
      <c r="C518" s="233" t="n"/>
      <c r="D518" s="234" t="n"/>
      <c r="J518" s="234" t="n"/>
      <c r="K518" s="234" t="n"/>
      <c r="L518" s="234" t="n"/>
      <c r="M518" s="234" t="n"/>
      <c r="N518" s="234" t="n"/>
      <c r="O518" s="235" t="n"/>
    </row>
    <row r="519" ht="18" customHeight="1" s="145">
      <c r="A519" s="233" t="n"/>
      <c r="B519" s="233" t="n"/>
      <c r="C519" s="233" t="n"/>
      <c r="D519" s="234" t="n"/>
      <c r="J519" s="234" t="n"/>
      <c r="K519" s="234" t="n"/>
      <c r="L519" s="234" t="n"/>
      <c r="M519" s="234" t="n"/>
      <c r="N519" s="234" t="n"/>
      <c r="O519" s="235" t="n"/>
    </row>
    <row r="520" ht="18" customHeight="1" s="145">
      <c r="A520" s="233" t="n"/>
      <c r="B520" s="233" t="n"/>
      <c r="C520" s="233" t="n"/>
      <c r="D520" s="234" t="n"/>
      <c r="J520" s="234" t="n"/>
      <c r="K520" s="234" t="n"/>
      <c r="L520" s="234" t="n"/>
      <c r="M520" s="234" t="n"/>
      <c r="N520" s="234" t="n"/>
      <c r="O520" s="235" t="n"/>
    </row>
    <row r="521" ht="18" customHeight="1" s="145">
      <c r="A521" s="233" t="n"/>
      <c r="B521" s="233" t="n"/>
      <c r="C521" s="233" t="n"/>
      <c r="D521" s="234" t="n"/>
      <c r="J521" s="234" t="n"/>
      <c r="K521" s="234" t="n"/>
      <c r="L521" s="234" t="n"/>
      <c r="M521" s="234" t="n"/>
      <c r="N521" s="234" t="n"/>
      <c r="O521" s="235" t="n"/>
    </row>
    <row r="522" ht="18" customHeight="1" s="145">
      <c r="A522" s="233" t="n"/>
      <c r="B522" s="233" t="n"/>
      <c r="C522" s="233" t="n"/>
      <c r="D522" s="234" t="n"/>
      <c r="J522" s="234" t="n"/>
      <c r="K522" s="234" t="n"/>
      <c r="L522" s="234" t="n"/>
      <c r="M522" s="234" t="n"/>
      <c r="N522" s="234" t="n"/>
      <c r="O522" s="235" t="n"/>
    </row>
    <row r="523" ht="18" customHeight="1" s="145">
      <c r="A523" s="233" t="n"/>
      <c r="B523" s="233" t="n"/>
      <c r="C523" s="233" t="n"/>
      <c r="D523" s="234" t="n"/>
      <c r="J523" s="234" t="n"/>
      <c r="K523" s="234" t="n"/>
      <c r="L523" s="234" t="n"/>
      <c r="M523" s="234" t="n"/>
      <c r="N523" s="234" t="n"/>
      <c r="O523" s="235" t="n"/>
    </row>
    <row r="524" ht="18" customHeight="1" s="145">
      <c r="A524" s="233" t="n"/>
      <c r="B524" s="233" t="n"/>
      <c r="C524" s="233" t="n"/>
      <c r="D524" s="234" t="n"/>
      <c r="J524" s="234" t="n"/>
      <c r="K524" s="234" t="n"/>
      <c r="L524" s="234" t="n"/>
      <c r="M524" s="234" t="n"/>
      <c r="N524" s="234" t="n"/>
      <c r="O524" s="235" t="n"/>
    </row>
    <row r="525" ht="18" customHeight="1" s="145">
      <c r="A525" s="233" t="n"/>
      <c r="B525" s="233" t="n"/>
      <c r="C525" s="233" t="n"/>
      <c r="D525" s="234" t="n"/>
      <c r="J525" s="234" t="n"/>
      <c r="K525" s="234" t="n"/>
      <c r="L525" s="234" t="n"/>
      <c r="M525" s="234" t="n"/>
      <c r="N525" s="234" t="n"/>
      <c r="O525" s="235" t="n"/>
    </row>
    <row r="526" ht="18" customHeight="1" s="145">
      <c r="A526" s="233" t="n"/>
      <c r="B526" s="233" t="n"/>
      <c r="C526" s="233" t="n"/>
      <c r="D526" s="234" t="n"/>
      <c r="J526" s="234" t="n"/>
      <c r="K526" s="234" t="n"/>
      <c r="L526" s="234" t="n"/>
      <c r="M526" s="234" t="n"/>
      <c r="N526" s="234" t="n"/>
      <c r="O526" s="235" t="n"/>
    </row>
    <row r="527" ht="18" customHeight="1" s="145">
      <c r="A527" s="233" t="n"/>
      <c r="B527" s="233" t="n"/>
      <c r="C527" s="233" t="n"/>
      <c r="D527" s="234" t="n"/>
      <c r="J527" s="234" t="n"/>
      <c r="K527" s="234" t="n"/>
      <c r="L527" s="234" t="n"/>
      <c r="M527" s="234" t="n"/>
      <c r="N527" s="234" t="n"/>
      <c r="O527" s="235" t="n"/>
    </row>
    <row r="528" ht="18" customHeight="1" s="145">
      <c r="A528" s="233" t="n"/>
      <c r="B528" s="233" t="n"/>
      <c r="C528" s="233" t="n"/>
      <c r="D528" s="234" t="n"/>
      <c r="J528" s="234" t="n"/>
      <c r="K528" s="234" t="n"/>
      <c r="L528" s="234" t="n"/>
      <c r="M528" s="234" t="n"/>
      <c r="N528" s="234" t="n"/>
      <c r="O528" s="235" t="n"/>
    </row>
    <row r="529" ht="18" customHeight="1" s="145">
      <c r="A529" s="233" t="n"/>
      <c r="B529" s="233" t="n"/>
      <c r="C529" s="233" t="n"/>
      <c r="D529" s="234" t="n"/>
      <c r="J529" s="234" t="n"/>
      <c r="K529" s="234" t="n"/>
      <c r="L529" s="234" t="n"/>
      <c r="M529" s="234" t="n"/>
      <c r="N529" s="234" t="n"/>
      <c r="O529" s="235" t="n"/>
    </row>
    <row r="530" ht="18" customHeight="1" s="145">
      <c r="A530" s="233" t="n"/>
      <c r="B530" s="233" t="n"/>
      <c r="C530" s="233" t="n"/>
      <c r="D530" s="234" t="n"/>
      <c r="J530" s="234" t="n"/>
      <c r="K530" s="234" t="n"/>
      <c r="L530" s="234" t="n"/>
      <c r="M530" s="234" t="n"/>
      <c r="N530" s="234" t="n"/>
      <c r="O530" s="235" t="n"/>
    </row>
    <row r="531" ht="18" customHeight="1" s="145">
      <c r="A531" s="233" t="n"/>
      <c r="B531" s="233" t="n"/>
      <c r="C531" s="233" t="n"/>
      <c r="D531" s="234" t="n"/>
      <c r="J531" s="234" t="n"/>
      <c r="K531" s="234" t="n"/>
      <c r="L531" s="234" t="n"/>
      <c r="M531" s="234" t="n"/>
      <c r="N531" s="234" t="n"/>
      <c r="O531" s="235" t="n"/>
    </row>
    <row r="532" ht="18" customHeight="1" s="145">
      <c r="A532" s="233" t="n"/>
      <c r="B532" s="233" t="n"/>
      <c r="C532" s="233" t="n"/>
      <c r="D532" s="234" t="n"/>
      <c r="J532" s="234" t="n"/>
      <c r="K532" s="234" t="n"/>
      <c r="L532" s="234" t="n"/>
      <c r="M532" s="234" t="n"/>
      <c r="N532" s="234" t="n"/>
      <c r="O532" s="235" t="n"/>
    </row>
    <row r="533" ht="18" customHeight="1" s="145">
      <c r="A533" s="233" t="n"/>
      <c r="B533" s="233" t="n"/>
      <c r="C533" s="233" t="n"/>
      <c r="D533" s="234" t="n"/>
      <c r="J533" s="234" t="n"/>
      <c r="K533" s="234" t="n"/>
      <c r="L533" s="234" t="n"/>
      <c r="M533" s="234" t="n"/>
      <c r="N533" s="234" t="n"/>
      <c r="O533" s="235" t="n"/>
    </row>
    <row r="534" ht="18" customHeight="1" s="145">
      <c r="A534" s="233" t="n"/>
      <c r="B534" s="233" t="n"/>
      <c r="C534" s="233" t="n"/>
      <c r="D534" s="234" t="n"/>
      <c r="J534" s="234" t="n"/>
      <c r="K534" s="234" t="n"/>
      <c r="L534" s="234" t="n"/>
      <c r="M534" s="234" t="n"/>
      <c r="N534" s="234" t="n"/>
      <c r="O534" s="235" t="n"/>
    </row>
    <row r="535" ht="18" customHeight="1" s="145">
      <c r="A535" s="233" t="n"/>
      <c r="B535" s="233" t="n"/>
      <c r="C535" s="233" t="n"/>
      <c r="D535" s="234" t="n"/>
      <c r="J535" s="234" t="n"/>
      <c r="K535" s="234" t="n"/>
      <c r="L535" s="234" t="n"/>
      <c r="M535" s="234" t="n"/>
      <c r="N535" s="234" t="n"/>
      <c r="O535" s="235" t="n"/>
    </row>
    <row r="536" ht="18" customHeight="1" s="145">
      <c r="A536" s="233" t="n"/>
      <c r="B536" s="233" t="n"/>
      <c r="C536" s="233" t="n"/>
      <c r="D536" s="234" t="n"/>
      <c r="J536" s="234" t="n"/>
      <c r="K536" s="234" t="n"/>
      <c r="L536" s="234" t="n"/>
      <c r="M536" s="234" t="n"/>
      <c r="N536" s="234" t="n"/>
      <c r="O536" s="235" t="n"/>
    </row>
    <row r="537" ht="18" customHeight="1" s="145">
      <c r="A537" s="233" t="n"/>
      <c r="B537" s="233" t="n"/>
      <c r="C537" s="233" t="n"/>
      <c r="D537" s="234" t="n"/>
      <c r="J537" s="234" t="n"/>
      <c r="K537" s="234" t="n"/>
      <c r="L537" s="234" t="n"/>
      <c r="M537" s="234" t="n"/>
      <c r="N537" s="234" t="n"/>
      <c r="O537" s="235" t="n"/>
    </row>
    <row r="538" ht="18" customHeight="1" s="145">
      <c r="A538" s="233" t="n"/>
      <c r="B538" s="233" t="n"/>
      <c r="C538" s="233" t="n"/>
      <c r="D538" s="234" t="n"/>
      <c r="J538" s="234" t="n"/>
      <c r="K538" s="234" t="n"/>
      <c r="L538" s="234" t="n"/>
      <c r="M538" s="234" t="n"/>
      <c r="N538" s="234" t="n"/>
      <c r="O538" s="235" t="n"/>
    </row>
    <row r="539" ht="18" customHeight="1" s="145">
      <c r="A539" s="233" t="n"/>
      <c r="B539" s="233" t="n"/>
      <c r="C539" s="233" t="n"/>
      <c r="D539" s="234" t="n"/>
      <c r="J539" s="234" t="n"/>
      <c r="K539" s="234" t="n"/>
      <c r="L539" s="234" t="n"/>
      <c r="M539" s="234" t="n"/>
      <c r="N539" s="234" t="n"/>
      <c r="O539" s="235" t="n"/>
    </row>
    <row r="540" ht="18" customHeight="1" s="145">
      <c r="A540" s="233" t="n"/>
      <c r="B540" s="233" t="n"/>
      <c r="C540" s="233" t="n"/>
      <c r="D540" s="234" t="n"/>
      <c r="J540" s="234" t="n"/>
      <c r="K540" s="234" t="n"/>
      <c r="L540" s="234" t="n"/>
      <c r="M540" s="234" t="n"/>
      <c r="N540" s="234" t="n"/>
      <c r="O540" s="235" t="n"/>
    </row>
    <row r="541" ht="18" customHeight="1" s="145">
      <c r="A541" s="233" t="n"/>
      <c r="B541" s="233" t="n"/>
      <c r="C541" s="233" t="n"/>
      <c r="D541" s="234" t="n"/>
      <c r="J541" s="234" t="n"/>
      <c r="K541" s="234" t="n"/>
      <c r="L541" s="234" t="n"/>
      <c r="M541" s="234" t="n"/>
      <c r="N541" s="234" t="n"/>
      <c r="O541" s="235" t="n"/>
    </row>
    <row r="542" ht="18" customHeight="1" s="145">
      <c r="A542" s="233" t="n"/>
      <c r="B542" s="233" t="n"/>
      <c r="C542" s="233" t="n"/>
      <c r="D542" s="234" t="n"/>
      <c r="J542" s="234" t="n"/>
      <c r="K542" s="234" t="n"/>
      <c r="L542" s="234" t="n"/>
      <c r="M542" s="234" t="n"/>
      <c r="N542" s="234" t="n"/>
      <c r="O542" s="235" t="n"/>
    </row>
    <row r="543" ht="18" customHeight="1" s="145">
      <c r="A543" s="233" t="n"/>
      <c r="B543" s="233" t="n"/>
      <c r="C543" s="233" t="n"/>
      <c r="D543" s="234" t="n"/>
      <c r="J543" s="234" t="n"/>
      <c r="K543" s="234" t="n"/>
      <c r="L543" s="234" t="n"/>
      <c r="M543" s="234" t="n"/>
      <c r="N543" s="234" t="n"/>
      <c r="O543" s="235" t="n"/>
    </row>
    <row r="544" ht="18" customHeight="1" s="145">
      <c r="A544" s="233" t="n"/>
      <c r="B544" s="233" t="n"/>
      <c r="C544" s="233" t="n"/>
      <c r="D544" s="234" t="n"/>
      <c r="J544" s="234" t="n"/>
      <c r="K544" s="234" t="n"/>
      <c r="L544" s="234" t="n"/>
      <c r="M544" s="234" t="n"/>
      <c r="N544" s="234" t="n"/>
      <c r="O544" s="235" t="n"/>
    </row>
    <row r="545" ht="18" customHeight="1" s="145">
      <c r="A545" s="233" t="n"/>
      <c r="B545" s="233" t="n"/>
      <c r="C545" s="233" t="n"/>
      <c r="D545" s="234" t="n"/>
      <c r="J545" s="234" t="n"/>
      <c r="K545" s="234" t="n"/>
      <c r="L545" s="234" t="n"/>
      <c r="M545" s="234" t="n"/>
      <c r="N545" s="234" t="n"/>
      <c r="O545" s="235" t="n"/>
    </row>
    <row r="546" ht="18" customHeight="1" s="145">
      <c r="A546" s="233" t="n"/>
      <c r="B546" s="233" t="n"/>
      <c r="C546" s="233" t="n"/>
      <c r="D546" s="234" t="n"/>
      <c r="J546" s="234" t="n"/>
      <c r="K546" s="234" t="n"/>
      <c r="L546" s="234" t="n"/>
      <c r="M546" s="234" t="n"/>
      <c r="N546" s="234" t="n"/>
      <c r="O546" s="235" t="n"/>
    </row>
    <row r="547" ht="18" customHeight="1" s="145">
      <c r="A547" s="233" t="n"/>
      <c r="B547" s="233" t="n"/>
      <c r="C547" s="233" t="n"/>
      <c r="D547" s="234" t="n"/>
      <c r="J547" s="234" t="n"/>
      <c r="K547" s="234" t="n"/>
      <c r="L547" s="234" t="n"/>
      <c r="M547" s="234" t="n"/>
      <c r="N547" s="234" t="n"/>
      <c r="O547" s="235" t="n"/>
    </row>
    <row r="548" ht="18" customHeight="1" s="145">
      <c r="A548" s="233" t="n"/>
      <c r="B548" s="233" t="n"/>
      <c r="C548" s="233" t="n"/>
      <c r="D548" s="234" t="n"/>
      <c r="J548" s="234" t="n"/>
      <c r="K548" s="234" t="n"/>
      <c r="L548" s="234" t="n"/>
      <c r="M548" s="234" t="n"/>
      <c r="N548" s="234" t="n"/>
      <c r="O548" s="235" t="n"/>
    </row>
    <row r="549" ht="18" customHeight="1" s="145">
      <c r="A549" s="233" t="n"/>
      <c r="B549" s="233" t="n"/>
      <c r="C549" s="233" t="n"/>
      <c r="D549" s="234" t="n"/>
      <c r="J549" s="234" t="n"/>
      <c r="K549" s="234" t="n"/>
      <c r="L549" s="234" t="n"/>
      <c r="M549" s="234" t="n"/>
      <c r="N549" s="234" t="n"/>
      <c r="O549" s="235" t="n"/>
    </row>
    <row r="550" ht="18" customHeight="1" s="145">
      <c r="A550" s="233" t="n"/>
      <c r="B550" s="233" t="n"/>
      <c r="C550" s="233" t="n"/>
      <c r="D550" s="234" t="n"/>
      <c r="J550" s="234" t="n"/>
      <c r="K550" s="234" t="n"/>
      <c r="L550" s="234" t="n"/>
      <c r="M550" s="234" t="n"/>
      <c r="N550" s="234" t="n"/>
      <c r="O550" s="235" t="n"/>
    </row>
    <row r="551" ht="18" customHeight="1" s="145">
      <c r="A551" s="233" t="n"/>
      <c r="B551" s="233" t="n"/>
      <c r="C551" s="233" t="n"/>
      <c r="D551" s="234" t="n"/>
      <c r="J551" s="234" t="n"/>
      <c r="K551" s="234" t="n"/>
      <c r="L551" s="234" t="n"/>
      <c r="M551" s="234" t="n"/>
      <c r="N551" s="234" t="n"/>
      <c r="O551" s="235" t="n"/>
    </row>
    <row r="552" ht="18" customHeight="1" s="145">
      <c r="A552" s="233" t="n"/>
      <c r="B552" s="233" t="n"/>
      <c r="C552" s="233" t="n"/>
      <c r="D552" s="234" t="n"/>
      <c r="J552" s="234" t="n"/>
      <c r="K552" s="234" t="n"/>
      <c r="L552" s="234" t="n"/>
      <c r="M552" s="234" t="n"/>
      <c r="N552" s="234" t="n"/>
      <c r="O552" s="235" t="n"/>
    </row>
    <row r="553" ht="18" customHeight="1" s="145">
      <c r="A553" s="233" t="n"/>
      <c r="B553" s="233" t="n"/>
      <c r="C553" s="233" t="n"/>
      <c r="D553" s="234" t="n"/>
      <c r="J553" s="234" t="n"/>
      <c r="K553" s="234" t="n"/>
      <c r="L553" s="234" t="n"/>
      <c r="M553" s="234" t="n"/>
      <c r="N553" s="234" t="n"/>
      <c r="O553" s="235" t="n"/>
    </row>
    <row r="554" ht="18" customHeight="1" s="145">
      <c r="A554" s="233" t="n"/>
      <c r="B554" s="233" t="n"/>
      <c r="C554" s="233" t="n"/>
      <c r="D554" s="234" t="n"/>
      <c r="J554" s="234" t="n"/>
      <c r="K554" s="234" t="n"/>
      <c r="L554" s="234" t="n"/>
      <c r="M554" s="234" t="n"/>
      <c r="N554" s="234" t="n"/>
      <c r="O554" s="235" t="n"/>
    </row>
    <row r="555" ht="18" customHeight="1" s="145">
      <c r="A555" s="233" t="n"/>
      <c r="B555" s="233" t="n"/>
      <c r="C555" s="233" t="n"/>
      <c r="D555" s="234" t="n"/>
      <c r="J555" s="234" t="n"/>
      <c r="K555" s="234" t="n"/>
      <c r="L555" s="234" t="n"/>
      <c r="M555" s="234" t="n"/>
      <c r="N555" s="234" t="n"/>
      <c r="O555" s="235" t="n"/>
    </row>
    <row r="556" ht="18" customHeight="1" s="145">
      <c r="A556" s="233" t="n"/>
      <c r="B556" s="233" t="n"/>
      <c r="C556" s="233" t="n"/>
      <c r="D556" s="234" t="n"/>
      <c r="J556" s="234" t="n"/>
      <c r="K556" s="234" t="n"/>
      <c r="L556" s="234" t="n"/>
      <c r="M556" s="234" t="n"/>
      <c r="N556" s="234" t="n"/>
      <c r="O556" s="235" t="n"/>
    </row>
    <row r="557" ht="18" customHeight="1" s="145">
      <c r="A557" s="233" t="n"/>
      <c r="B557" s="233" t="n"/>
      <c r="C557" s="233" t="n"/>
      <c r="D557" s="234" t="n"/>
      <c r="J557" s="234" t="n"/>
      <c r="K557" s="234" t="n"/>
      <c r="L557" s="234" t="n"/>
      <c r="M557" s="234" t="n"/>
      <c r="N557" s="234" t="n"/>
      <c r="O557" s="235" t="n"/>
    </row>
    <row r="558" ht="18" customHeight="1" s="145">
      <c r="A558" s="233" t="n"/>
      <c r="B558" s="233" t="n"/>
      <c r="C558" s="233" t="n"/>
      <c r="D558" s="234" t="n"/>
      <c r="J558" s="234" t="n"/>
      <c r="K558" s="234" t="n"/>
      <c r="L558" s="234" t="n"/>
      <c r="M558" s="234" t="n"/>
      <c r="N558" s="234" t="n"/>
      <c r="O558" s="235" t="n"/>
    </row>
    <row r="559" ht="18" customHeight="1" s="145">
      <c r="A559" s="233" t="n"/>
      <c r="B559" s="233" t="n"/>
      <c r="C559" s="233" t="n"/>
      <c r="D559" s="234" t="n"/>
      <c r="J559" s="234" t="n"/>
      <c r="K559" s="234" t="n"/>
      <c r="L559" s="234" t="n"/>
      <c r="M559" s="234" t="n"/>
      <c r="N559" s="234" t="n"/>
      <c r="O559" s="235" t="n"/>
    </row>
    <row r="560" ht="18" customHeight="1" s="145">
      <c r="A560" s="233" t="n"/>
      <c r="B560" s="233" t="n"/>
      <c r="C560" s="233" t="n"/>
      <c r="D560" s="234" t="n"/>
      <c r="J560" s="234" t="n"/>
      <c r="K560" s="234" t="n"/>
      <c r="L560" s="234" t="n"/>
      <c r="M560" s="234" t="n"/>
      <c r="N560" s="234" t="n"/>
      <c r="O560" s="235" t="n"/>
    </row>
    <row r="561" ht="18" customHeight="1" s="145">
      <c r="A561" s="233" t="n"/>
      <c r="B561" s="233" t="n"/>
      <c r="C561" s="233" t="n"/>
      <c r="D561" s="234" t="n"/>
      <c r="J561" s="234" t="n"/>
      <c r="K561" s="234" t="n"/>
      <c r="L561" s="234" t="n"/>
      <c r="M561" s="234" t="n"/>
      <c r="N561" s="234" t="n"/>
      <c r="O561" s="235" t="n"/>
    </row>
    <row r="562" ht="18" customHeight="1" s="145">
      <c r="A562" s="233" t="n"/>
      <c r="B562" s="233" t="n"/>
      <c r="C562" s="233" t="n"/>
      <c r="D562" s="234" t="n"/>
      <c r="J562" s="234" t="n"/>
      <c r="K562" s="234" t="n"/>
      <c r="L562" s="234" t="n"/>
      <c r="M562" s="234" t="n"/>
      <c r="N562" s="234" t="n"/>
      <c r="O562" s="235" t="n"/>
    </row>
    <row r="563" ht="18" customHeight="1" s="145">
      <c r="A563" s="233" t="n"/>
      <c r="B563" s="233" t="n"/>
      <c r="C563" s="233" t="n"/>
      <c r="D563" s="234" t="n"/>
      <c r="J563" s="234" t="n"/>
      <c r="K563" s="234" t="n"/>
      <c r="L563" s="234" t="n"/>
      <c r="M563" s="234" t="n"/>
      <c r="N563" s="234" t="n"/>
      <c r="O563" s="235" t="n"/>
    </row>
    <row r="564" ht="18" customHeight="1" s="145">
      <c r="A564" s="233" t="n"/>
      <c r="B564" s="233" t="n"/>
      <c r="C564" s="233" t="n"/>
      <c r="D564" s="234" t="n"/>
      <c r="J564" s="234" t="n"/>
      <c r="K564" s="234" t="n"/>
      <c r="L564" s="234" t="n"/>
      <c r="M564" s="234" t="n"/>
      <c r="N564" s="234" t="n"/>
      <c r="O564" s="235" t="n"/>
    </row>
    <row r="565" ht="18" customHeight="1" s="145">
      <c r="A565" s="233" t="n"/>
      <c r="B565" s="233" t="n"/>
      <c r="C565" s="233" t="n"/>
      <c r="D565" s="234" t="n"/>
      <c r="J565" s="234" t="n"/>
      <c r="K565" s="234" t="n"/>
      <c r="L565" s="234" t="n"/>
      <c r="M565" s="234" t="n"/>
      <c r="N565" s="234" t="n"/>
      <c r="O565" s="235" t="n"/>
    </row>
    <row r="566" ht="18" customHeight="1" s="145">
      <c r="A566" s="233" t="n"/>
      <c r="B566" s="233" t="n"/>
      <c r="C566" s="233" t="n"/>
      <c r="D566" s="234" t="n"/>
      <c r="J566" s="234" t="n"/>
      <c r="K566" s="234" t="n"/>
      <c r="L566" s="234" t="n"/>
      <c r="M566" s="234" t="n"/>
      <c r="N566" s="234" t="n"/>
      <c r="O566" s="235" t="n"/>
    </row>
    <row r="567" ht="18" customHeight="1" s="145">
      <c r="A567" s="233" t="n"/>
      <c r="B567" s="233" t="n"/>
      <c r="C567" s="233" t="n"/>
      <c r="D567" s="234" t="n"/>
      <c r="J567" s="234" t="n"/>
      <c r="K567" s="234" t="n"/>
      <c r="L567" s="234" t="n"/>
      <c r="M567" s="234" t="n"/>
      <c r="N567" s="234" t="n"/>
      <c r="O567" s="235" t="n"/>
    </row>
    <row r="568" ht="18" customHeight="1" s="145">
      <c r="A568" s="233" t="n"/>
      <c r="B568" s="233" t="n"/>
      <c r="C568" s="233" t="n"/>
      <c r="D568" s="234" t="n"/>
      <c r="J568" s="234" t="n"/>
      <c r="K568" s="234" t="n"/>
      <c r="L568" s="234" t="n"/>
      <c r="M568" s="234" t="n"/>
      <c r="N568" s="234" t="n"/>
      <c r="O568" s="235" t="n"/>
    </row>
    <row r="569" ht="18" customHeight="1" s="145">
      <c r="A569" s="233" t="n"/>
      <c r="B569" s="233" t="n"/>
      <c r="C569" s="233" t="n"/>
      <c r="D569" s="234" t="n"/>
      <c r="J569" s="234" t="n"/>
      <c r="K569" s="234" t="n"/>
      <c r="L569" s="234" t="n"/>
      <c r="M569" s="234" t="n"/>
      <c r="N569" s="234" t="n"/>
      <c r="O569" s="235" t="n"/>
    </row>
    <row r="570" ht="18" customHeight="1" s="145">
      <c r="A570" s="233" t="n"/>
      <c r="B570" s="233" t="n"/>
      <c r="C570" s="233" t="n"/>
      <c r="D570" s="234" t="n"/>
      <c r="J570" s="234" t="n"/>
      <c r="K570" s="234" t="n"/>
      <c r="L570" s="234" t="n"/>
      <c r="M570" s="234" t="n"/>
      <c r="N570" s="234" t="n"/>
      <c r="O570" s="235" t="n"/>
    </row>
    <row r="571" ht="18" customHeight="1" s="145">
      <c r="A571" s="233" t="n"/>
      <c r="B571" s="233" t="n"/>
      <c r="C571" s="233" t="n"/>
      <c r="D571" s="234" t="n"/>
      <c r="J571" s="234" t="n"/>
      <c r="K571" s="234" t="n"/>
      <c r="L571" s="234" t="n"/>
      <c r="M571" s="234" t="n"/>
      <c r="N571" s="234" t="n"/>
      <c r="O571" s="235" t="n"/>
    </row>
    <row r="572" ht="18" customHeight="1" s="145">
      <c r="A572" s="233" t="n"/>
      <c r="B572" s="233" t="n"/>
      <c r="C572" s="233" t="n"/>
      <c r="D572" s="234" t="n"/>
      <c r="J572" s="234" t="n"/>
      <c r="K572" s="234" t="n"/>
      <c r="L572" s="234" t="n"/>
      <c r="M572" s="234" t="n"/>
      <c r="N572" s="234" t="n"/>
      <c r="O572" s="235" t="n"/>
    </row>
    <row r="573" ht="18" customHeight="1" s="145">
      <c r="A573" s="233" t="n"/>
      <c r="B573" s="233" t="n"/>
      <c r="C573" s="233" t="n"/>
      <c r="D573" s="234" t="n"/>
      <c r="J573" s="234" t="n"/>
      <c r="K573" s="234" t="n"/>
      <c r="L573" s="234" t="n"/>
      <c r="M573" s="234" t="n"/>
      <c r="N573" s="234" t="n"/>
      <c r="O573" s="235" t="n"/>
    </row>
    <row r="574" ht="18" customHeight="1" s="145">
      <c r="A574" s="233" t="n"/>
      <c r="B574" s="233" t="n"/>
      <c r="C574" s="233" t="n"/>
      <c r="D574" s="234" t="n"/>
      <c r="J574" s="234" t="n"/>
      <c r="K574" s="234" t="n"/>
      <c r="L574" s="234" t="n"/>
      <c r="M574" s="234" t="n"/>
      <c r="N574" s="234" t="n"/>
      <c r="O574" s="235" t="n"/>
    </row>
    <row r="575" ht="18" customHeight="1" s="145">
      <c r="A575" s="233" t="n"/>
      <c r="B575" s="233" t="n"/>
      <c r="C575" s="233" t="n"/>
      <c r="D575" s="234" t="n"/>
      <c r="J575" s="234" t="n"/>
      <c r="K575" s="234" t="n"/>
      <c r="L575" s="234" t="n"/>
      <c r="M575" s="234" t="n"/>
      <c r="N575" s="234" t="n"/>
      <c r="O575" s="235" t="n"/>
    </row>
    <row r="576" ht="18" customHeight="1" s="145">
      <c r="A576" s="233" t="n"/>
      <c r="B576" s="233" t="n"/>
      <c r="C576" s="233" t="n"/>
      <c r="D576" s="234" t="n"/>
      <c r="J576" s="234" t="n"/>
      <c r="K576" s="234" t="n"/>
      <c r="L576" s="234" t="n"/>
      <c r="M576" s="234" t="n"/>
      <c r="N576" s="234" t="n"/>
      <c r="O576" s="235" t="n"/>
    </row>
    <row r="577" ht="18" customHeight="1" s="145">
      <c r="A577" s="233" t="n"/>
      <c r="B577" s="233" t="n"/>
      <c r="C577" s="233" t="n"/>
      <c r="D577" s="234" t="n"/>
      <c r="J577" s="234" t="n"/>
      <c r="K577" s="234" t="n"/>
      <c r="L577" s="234" t="n"/>
      <c r="M577" s="234" t="n"/>
      <c r="N577" s="234" t="n"/>
      <c r="O577" s="235" t="n"/>
    </row>
    <row r="578" ht="18" customHeight="1" s="145">
      <c r="A578" s="233" t="n"/>
      <c r="B578" s="233" t="n"/>
      <c r="C578" s="233" t="n"/>
      <c r="D578" s="234" t="n"/>
      <c r="J578" s="234" t="n"/>
      <c r="K578" s="234" t="n"/>
      <c r="L578" s="234" t="n"/>
      <c r="M578" s="234" t="n"/>
      <c r="N578" s="234" t="n"/>
      <c r="O578" s="235" t="n"/>
    </row>
    <row r="579" ht="18" customHeight="1" s="145">
      <c r="A579" s="233" t="n"/>
      <c r="B579" s="233" t="n"/>
      <c r="C579" s="233" t="n"/>
      <c r="D579" s="234" t="n"/>
      <c r="J579" s="234" t="n"/>
      <c r="K579" s="234" t="n"/>
      <c r="L579" s="234" t="n"/>
      <c r="M579" s="234" t="n"/>
      <c r="N579" s="234" t="n"/>
      <c r="O579" s="235" t="n"/>
    </row>
    <row r="580" ht="18" customHeight="1" s="145">
      <c r="A580" s="233" t="n"/>
      <c r="B580" s="233" t="n"/>
      <c r="C580" s="233" t="n"/>
      <c r="D580" s="234" t="n"/>
      <c r="J580" s="234" t="n"/>
      <c r="K580" s="234" t="n"/>
      <c r="L580" s="234" t="n"/>
      <c r="M580" s="234" t="n"/>
      <c r="N580" s="234" t="n"/>
      <c r="O580" s="235" t="n"/>
    </row>
    <row r="581" ht="18" customHeight="1" s="145">
      <c r="A581" s="233" t="n"/>
      <c r="B581" s="233" t="n"/>
      <c r="C581" s="233" t="n"/>
      <c r="D581" s="234" t="n"/>
      <c r="J581" s="234" t="n"/>
      <c r="K581" s="234" t="n"/>
      <c r="L581" s="234" t="n"/>
      <c r="M581" s="234" t="n"/>
      <c r="N581" s="234" t="n"/>
      <c r="O581" s="235" t="n"/>
    </row>
    <row r="582" ht="18" customHeight="1" s="145">
      <c r="A582" s="233" t="n"/>
      <c r="B582" s="233" t="n"/>
      <c r="C582" s="233" t="n"/>
      <c r="D582" s="234" t="n"/>
      <c r="J582" s="234" t="n"/>
      <c r="K582" s="234" t="n"/>
      <c r="L582" s="234" t="n"/>
      <c r="M582" s="234" t="n"/>
      <c r="N582" s="234" t="n"/>
      <c r="O582" s="235" t="n"/>
    </row>
    <row r="583" ht="18" customHeight="1" s="145">
      <c r="A583" s="233" t="n"/>
      <c r="B583" s="233" t="n"/>
      <c r="C583" s="233" t="n"/>
      <c r="D583" s="234" t="n"/>
      <c r="J583" s="234" t="n"/>
      <c r="K583" s="234" t="n"/>
      <c r="L583" s="234" t="n"/>
      <c r="M583" s="234" t="n"/>
      <c r="N583" s="234" t="n"/>
      <c r="O583" s="235" t="n"/>
    </row>
    <row r="584" ht="18" customHeight="1" s="145">
      <c r="A584" s="233" t="n"/>
      <c r="B584" s="233" t="n"/>
      <c r="C584" s="233" t="n"/>
      <c r="D584" s="234" t="n"/>
      <c r="J584" s="234" t="n"/>
      <c r="K584" s="234" t="n"/>
      <c r="L584" s="234" t="n"/>
      <c r="M584" s="234" t="n"/>
      <c r="N584" s="234" t="n"/>
      <c r="O584" s="235" t="n"/>
    </row>
    <row r="585" ht="18" customHeight="1" s="145">
      <c r="A585" s="233" t="n"/>
      <c r="B585" s="233" t="n"/>
      <c r="C585" s="233" t="n"/>
      <c r="D585" s="234" t="n"/>
      <c r="J585" s="234" t="n"/>
      <c r="K585" s="234" t="n"/>
      <c r="L585" s="234" t="n"/>
      <c r="M585" s="234" t="n"/>
      <c r="N585" s="234" t="n"/>
      <c r="O585" s="235" t="n"/>
    </row>
    <row r="586" ht="18" customHeight="1" s="145">
      <c r="A586" s="233" t="n"/>
      <c r="B586" s="233" t="n"/>
      <c r="C586" s="233" t="n"/>
      <c r="D586" s="234" t="n"/>
      <c r="J586" s="234" t="n"/>
      <c r="K586" s="234" t="n"/>
      <c r="L586" s="234" t="n"/>
      <c r="M586" s="234" t="n"/>
      <c r="N586" s="234" t="n"/>
      <c r="O586" s="235" t="n"/>
    </row>
    <row r="587" ht="18" customHeight="1" s="145">
      <c r="A587" s="233" t="n"/>
      <c r="B587" s="233" t="n"/>
      <c r="C587" s="233" t="n"/>
      <c r="D587" s="234" t="n"/>
      <c r="J587" s="234" t="n"/>
      <c r="K587" s="234" t="n"/>
      <c r="L587" s="234" t="n"/>
      <c r="M587" s="234" t="n"/>
      <c r="N587" s="234" t="n"/>
      <c r="O587" s="235" t="n"/>
    </row>
    <row r="588" ht="18" customHeight="1" s="145">
      <c r="A588" s="233" t="n"/>
      <c r="B588" s="233" t="n"/>
      <c r="C588" s="233" t="n"/>
      <c r="D588" s="234" t="n"/>
      <c r="J588" s="234" t="n"/>
      <c r="K588" s="234" t="n"/>
      <c r="L588" s="234" t="n"/>
      <c r="M588" s="234" t="n"/>
      <c r="N588" s="234" t="n"/>
      <c r="O588" s="235" t="n"/>
    </row>
    <row r="589" ht="18" customHeight="1" s="145">
      <c r="A589" s="233" t="n"/>
      <c r="B589" s="233" t="n"/>
      <c r="C589" s="233" t="n"/>
      <c r="D589" s="234" t="n"/>
      <c r="J589" s="234" t="n"/>
      <c r="K589" s="234" t="n"/>
      <c r="L589" s="234" t="n"/>
      <c r="M589" s="234" t="n"/>
      <c r="N589" s="234" t="n"/>
      <c r="O589" s="235" t="n"/>
    </row>
    <row r="590" ht="18" customHeight="1" s="145">
      <c r="A590" s="233" t="n"/>
      <c r="B590" s="233" t="n"/>
      <c r="C590" s="233" t="n"/>
      <c r="D590" s="234" t="n"/>
      <c r="J590" s="234" t="n"/>
      <c r="K590" s="234" t="n"/>
      <c r="L590" s="234" t="n"/>
      <c r="M590" s="234" t="n"/>
      <c r="N590" s="234" t="n"/>
      <c r="O590" s="235" t="n"/>
    </row>
    <row r="591" ht="18" customHeight="1" s="145">
      <c r="A591" s="233" t="n"/>
      <c r="B591" s="233" t="n"/>
      <c r="C591" s="233" t="n"/>
      <c r="D591" s="234" t="n"/>
      <c r="J591" s="234" t="n"/>
      <c r="K591" s="234" t="n"/>
      <c r="L591" s="234" t="n"/>
      <c r="M591" s="234" t="n"/>
      <c r="N591" s="234" t="n"/>
      <c r="O591" s="235" t="n"/>
    </row>
    <row r="592" ht="18" customHeight="1" s="145">
      <c r="A592" s="233" t="n"/>
      <c r="B592" s="233" t="n"/>
      <c r="C592" s="233" t="n"/>
      <c r="D592" s="234" t="n"/>
      <c r="J592" s="234" t="n"/>
      <c r="K592" s="234" t="n"/>
      <c r="L592" s="234" t="n"/>
      <c r="M592" s="234" t="n"/>
      <c r="N592" s="234" t="n"/>
      <c r="O592" s="235" t="n"/>
    </row>
    <row r="593" ht="18" customHeight="1" s="145">
      <c r="A593" s="233" t="n"/>
      <c r="B593" s="233" t="n"/>
      <c r="C593" s="233" t="n"/>
      <c r="D593" s="234" t="n"/>
      <c r="J593" s="234" t="n"/>
      <c r="K593" s="234" t="n"/>
      <c r="L593" s="234" t="n"/>
      <c r="M593" s="234" t="n"/>
      <c r="N593" s="234" t="n"/>
      <c r="O593" s="235" t="n"/>
    </row>
    <row r="594" ht="18" customHeight="1" s="145">
      <c r="A594" s="233" t="n"/>
      <c r="B594" s="233" t="n"/>
      <c r="C594" s="233" t="n"/>
      <c r="D594" s="234" t="n"/>
      <c r="J594" s="234" t="n"/>
      <c r="K594" s="234" t="n"/>
      <c r="L594" s="234" t="n"/>
      <c r="M594" s="234" t="n"/>
      <c r="N594" s="234" t="n"/>
      <c r="O594" s="235" t="n"/>
    </row>
    <row r="595" ht="18" customHeight="1" s="145">
      <c r="A595" s="233" t="n"/>
      <c r="B595" s="233" t="n"/>
      <c r="C595" s="233" t="n"/>
      <c r="D595" s="234" t="n"/>
      <c r="J595" s="234" t="n"/>
      <c r="K595" s="234" t="n"/>
      <c r="L595" s="234" t="n"/>
      <c r="M595" s="234" t="n"/>
      <c r="N595" s="234" t="n"/>
      <c r="O595" s="235" t="n"/>
    </row>
    <row r="596" ht="18" customHeight="1" s="145">
      <c r="A596" s="233" t="n"/>
      <c r="B596" s="233" t="n"/>
      <c r="C596" s="233" t="n"/>
      <c r="D596" s="234" t="n"/>
      <c r="J596" s="234" t="n"/>
      <c r="K596" s="234" t="n"/>
      <c r="L596" s="234" t="n"/>
      <c r="M596" s="234" t="n"/>
      <c r="N596" s="234" t="n"/>
      <c r="O596" s="235" t="n"/>
    </row>
    <row r="597" ht="18" customHeight="1" s="145">
      <c r="A597" s="233" t="n"/>
      <c r="B597" s="233" t="n"/>
      <c r="C597" s="233" t="n"/>
      <c r="D597" s="234" t="n"/>
      <c r="J597" s="234" t="n"/>
      <c r="K597" s="234" t="n"/>
      <c r="L597" s="234" t="n"/>
      <c r="M597" s="234" t="n"/>
      <c r="N597" s="234" t="n"/>
      <c r="O597" s="235" t="n"/>
    </row>
    <row r="598" ht="18" customHeight="1" s="145">
      <c r="A598" s="233" t="n"/>
      <c r="B598" s="233" t="n"/>
      <c r="C598" s="233" t="n"/>
      <c r="D598" s="234" t="n"/>
      <c r="J598" s="234" t="n"/>
      <c r="K598" s="234" t="n"/>
      <c r="L598" s="234" t="n"/>
      <c r="M598" s="234" t="n"/>
      <c r="N598" s="234" t="n"/>
      <c r="O598" s="235" t="n"/>
    </row>
    <row r="599" ht="18" customHeight="1" s="145">
      <c r="A599" s="233" t="n"/>
      <c r="B599" s="233" t="n"/>
      <c r="C599" s="233" t="n"/>
      <c r="D599" s="234" t="n"/>
      <c r="J599" s="234" t="n"/>
      <c r="K599" s="234" t="n"/>
      <c r="L599" s="234" t="n"/>
      <c r="M599" s="234" t="n"/>
      <c r="N599" s="234" t="n"/>
      <c r="O599" s="235" t="n"/>
    </row>
    <row r="600" ht="18" customHeight="1" s="145">
      <c r="A600" s="233" t="n"/>
      <c r="B600" s="233" t="n"/>
      <c r="C600" s="233" t="n"/>
      <c r="D600" s="234" t="n"/>
      <c r="J600" s="234" t="n"/>
      <c r="K600" s="234" t="n"/>
      <c r="L600" s="234" t="n"/>
      <c r="M600" s="234" t="n"/>
      <c r="N600" s="234" t="n"/>
      <c r="O600" s="235" t="n"/>
    </row>
    <row r="601" ht="18" customHeight="1" s="145">
      <c r="A601" s="233" t="n"/>
      <c r="B601" s="233" t="n"/>
      <c r="C601" s="233" t="n"/>
      <c r="D601" s="234" t="n"/>
      <c r="J601" s="234" t="n"/>
      <c r="K601" s="234" t="n"/>
      <c r="L601" s="234" t="n"/>
      <c r="M601" s="234" t="n"/>
      <c r="N601" s="234" t="n"/>
      <c r="O601" s="235" t="n"/>
    </row>
    <row r="602" ht="18" customHeight="1" s="145">
      <c r="A602" s="233" t="n"/>
      <c r="B602" s="233" t="n"/>
      <c r="C602" s="233" t="n"/>
      <c r="D602" s="234" t="n"/>
      <c r="J602" s="234" t="n"/>
      <c r="K602" s="234" t="n"/>
      <c r="L602" s="234" t="n"/>
      <c r="M602" s="234" t="n"/>
      <c r="N602" s="234" t="n"/>
      <c r="O602" s="235" t="n"/>
    </row>
    <row r="603" ht="18" customHeight="1" s="145">
      <c r="A603" s="233" t="n"/>
      <c r="B603" s="233" t="n"/>
      <c r="C603" s="233" t="n"/>
      <c r="D603" s="234" t="n"/>
      <c r="J603" s="234" t="n"/>
      <c r="K603" s="234" t="n"/>
      <c r="L603" s="234" t="n"/>
      <c r="M603" s="234" t="n"/>
      <c r="N603" s="234" t="n"/>
      <c r="O603" s="235" t="n"/>
    </row>
    <row r="604" ht="18" customHeight="1" s="145">
      <c r="A604" s="233" t="n"/>
      <c r="B604" s="233" t="n"/>
      <c r="C604" s="233" t="n"/>
      <c r="D604" s="234" t="n"/>
      <c r="J604" s="234" t="n"/>
      <c r="K604" s="234" t="n"/>
      <c r="L604" s="234" t="n"/>
      <c r="M604" s="234" t="n"/>
      <c r="N604" s="234" t="n"/>
      <c r="O604" s="235" t="n"/>
    </row>
    <row r="605" ht="18" customHeight="1" s="145">
      <c r="A605" s="233" t="n"/>
      <c r="B605" s="233" t="n"/>
      <c r="C605" s="233" t="n"/>
      <c r="D605" s="234" t="n"/>
      <c r="J605" s="234" t="n"/>
      <c r="K605" s="234" t="n"/>
      <c r="L605" s="234" t="n"/>
      <c r="M605" s="234" t="n"/>
      <c r="N605" s="234" t="n"/>
      <c r="O605" s="235" t="n"/>
    </row>
    <row r="606" ht="18" customHeight="1" s="145">
      <c r="A606" s="233" t="n"/>
      <c r="B606" s="233" t="n"/>
      <c r="C606" s="233" t="n"/>
      <c r="D606" s="234" t="n"/>
      <c r="J606" s="234" t="n"/>
      <c r="K606" s="234" t="n"/>
      <c r="L606" s="234" t="n"/>
      <c r="M606" s="234" t="n"/>
      <c r="N606" s="234" t="n"/>
      <c r="O606" s="235" t="n"/>
    </row>
    <row r="607" ht="18" customHeight="1" s="145">
      <c r="A607" s="233" t="n"/>
      <c r="B607" s="233" t="n"/>
      <c r="C607" s="233" t="n"/>
      <c r="D607" s="234" t="n"/>
      <c r="J607" s="234" t="n"/>
      <c r="K607" s="234" t="n"/>
      <c r="L607" s="234" t="n"/>
      <c r="M607" s="234" t="n"/>
      <c r="N607" s="234" t="n"/>
      <c r="O607" s="235" t="n"/>
    </row>
    <row r="608" ht="18" customHeight="1" s="145">
      <c r="A608" s="233" t="n"/>
      <c r="B608" s="233" t="n"/>
      <c r="C608" s="233" t="n"/>
      <c r="D608" s="234" t="n"/>
      <c r="J608" s="234" t="n"/>
      <c r="K608" s="234" t="n"/>
      <c r="L608" s="234" t="n"/>
      <c r="M608" s="234" t="n"/>
      <c r="N608" s="234" t="n"/>
      <c r="O608" s="235" t="n"/>
    </row>
    <row r="609" ht="18" customHeight="1" s="145">
      <c r="A609" s="233" t="n"/>
      <c r="B609" s="233" t="n"/>
      <c r="C609" s="233" t="n"/>
      <c r="D609" s="234" t="n"/>
      <c r="J609" s="234" t="n"/>
      <c r="K609" s="234" t="n"/>
      <c r="L609" s="234" t="n"/>
      <c r="M609" s="234" t="n"/>
      <c r="N609" s="234" t="n"/>
      <c r="O609" s="235" t="n"/>
    </row>
    <row r="610" ht="18" customHeight="1" s="145">
      <c r="A610" s="233" t="n"/>
      <c r="B610" s="233" t="n"/>
      <c r="C610" s="233" t="n"/>
      <c r="D610" s="234" t="n"/>
      <c r="J610" s="234" t="n"/>
      <c r="K610" s="234" t="n"/>
      <c r="L610" s="234" t="n"/>
      <c r="M610" s="234" t="n"/>
      <c r="N610" s="234" t="n"/>
      <c r="O610" s="235" t="n"/>
    </row>
    <row r="611" ht="18" customHeight="1" s="145">
      <c r="A611" s="233" t="n"/>
      <c r="B611" s="233" t="n"/>
      <c r="C611" s="233" t="n"/>
      <c r="D611" s="234" t="n"/>
      <c r="J611" s="234" t="n"/>
      <c r="K611" s="234" t="n"/>
      <c r="L611" s="234" t="n"/>
      <c r="M611" s="234" t="n"/>
      <c r="N611" s="234" t="n"/>
      <c r="O611" s="235" t="n"/>
    </row>
    <row r="612" ht="18" customHeight="1" s="145">
      <c r="A612" s="233" t="n"/>
      <c r="B612" s="233" t="n"/>
      <c r="C612" s="233" t="n"/>
      <c r="D612" s="234" t="n"/>
      <c r="J612" s="234" t="n"/>
      <c r="K612" s="234" t="n"/>
      <c r="L612" s="234" t="n"/>
      <c r="M612" s="234" t="n"/>
      <c r="N612" s="234" t="n"/>
      <c r="O612" s="235" t="n"/>
    </row>
    <row r="613" ht="18" customHeight="1" s="145">
      <c r="A613" s="233" t="n"/>
      <c r="B613" s="233" t="n"/>
      <c r="C613" s="233" t="n"/>
      <c r="D613" s="234" t="n"/>
      <c r="J613" s="234" t="n"/>
      <c r="K613" s="234" t="n"/>
      <c r="L613" s="234" t="n"/>
      <c r="M613" s="234" t="n"/>
      <c r="N613" s="234" t="n"/>
      <c r="O613" s="235" t="n"/>
    </row>
    <row r="614" ht="18" customHeight="1" s="145">
      <c r="A614" s="233" t="n"/>
      <c r="B614" s="233" t="n"/>
      <c r="C614" s="233" t="n"/>
      <c r="D614" s="234" t="n"/>
      <c r="J614" s="234" t="n"/>
      <c r="K614" s="234" t="n"/>
      <c r="L614" s="234" t="n"/>
      <c r="M614" s="234" t="n"/>
      <c r="N614" s="234" t="n"/>
      <c r="O614" s="235" t="n"/>
    </row>
    <row r="615" ht="18" customHeight="1" s="145">
      <c r="A615" s="233" t="n"/>
      <c r="B615" s="233" t="n"/>
      <c r="C615" s="233" t="n"/>
      <c r="D615" s="234" t="n"/>
      <c r="J615" s="234" t="n"/>
      <c r="K615" s="234" t="n"/>
      <c r="L615" s="234" t="n"/>
      <c r="M615" s="234" t="n"/>
      <c r="N615" s="234" t="n"/>
      <c r="O615" s="235" t="n"/>
    </row>
    <row r="616" ht="18" customHeight="1" s="145">
      <c r="A616" s="233" t="n"/>
      <c r="B616" s="233" t="n"/>
      <c r="C616" s="233" t="n"/>
      <c r="D616" s="234" t="n"/>
      <c r="J616" s="234" t="n"/>
      <c r="K616" s="234" t="n"/>
      <c r="L616" s="234" t="n"/>
      <c r="M616" s="234" t="n"/>
      <c r="N616" s="234" t="n"/>
      <c r="O616" s="235" t="n"/>
    </row>
    <row r="617" ht="18" customHeight="1" s="145">
      <c r="A617" s="233" t="n"/>
      <c r="B617" s="233" t="n"/>
      <c r="C617" s="233" t="n"/>
      <c r="D617" s="234" t="n"/>
      <c r="J617" s="234" t="n"/>
      <c r="K617" s="234" t="n"/>
      <c r="L617" s="234" t="n"/>
      <c r="M617" s="234" t="n"/>
      <c r="N617" s="234" t="n"/>
      <c r="O617" s="235" t="n"/>
    </row>
    <row r="618" ht="18" customHeight="1" s="145">
      <c r="A618" s="233" t="n"/>
      <c r="B618" s="233" t="n"/>
      <c r="C618" s="233" t="n"/>
      <c r="D618" s="234" t="n"/>
      <c r="J618" s="234" t="n"/>
      <c r="K618" s="234" t="n"/>
      <c r="L618" s="234" t="n"/>
      <c r="M618" s="234" t="n"/>
      <c r="N618" s="234" t="n"/>
      <c r="O618" s="235" t="n"/>
    </row>
    <row r="619" ht="18" customHeight="1" s="145">
      <c r="A619" s="233" t="n"/>
      <c r="B619" s="233" t="n"/>
      <c r="C619" s="233" t="n"/>
      <c r="D619" s="234" t="n"/>
      <c r="J619" s="234" t="n"/>
      <c r="K619" s="234" t="n"/>
      <c r="L619" s="234" t="n"/>
      <c r="M619" s="234" t="n"/>
      <c r="N619" s="234" t="n"/>
      <c r="O619" s="235" t="n"/>
    </row>
    <row r="620" ht="18" customHeight="1" s="145">
      <c r="A620" s="233" t="n"/>
      <c r="B620" s="233" t="n"/>
      <c r="C620" s="233" t="n"/>
      <c r="D620" s="234" t="n"/>
      <c r="J620" s="234" t="n"/>
      <c r="K620" s="234" t="n"/>
      <c r="L620" s="234" t="n"/>
      <c r="M620" s="234" t="n"/>
      <c r="N620" s="234" t="n"/>
      <c r="O620" s="235" t="n"/>
    </row>
    <row r="621" ht="18" customHeight="1" s="145">
      <c r="A621" s="233" t="n"/>
      <c r="B621" s="233" t="n"/>
      <c r="C621" s="233" t="n"/>
      <c r="D621" s="234" t="n"/>
      <c r="J621" s="234" t="n"/>
      <c r="K621" s="234" t="n"/>
      <c r="L621" s="234" t="n"/>
      <c r="M621" s="234" t="n"/>
      <c r="N621" s="234" t="n"/>
      <c r="O621" s="235" t="n"/>
    </row>
    <row r="622" ht="18" customHeight="1" s="145">
      <c r="A622" s="233" t="n"/>
      <c r="B622" s="233" t="n"/>
      <c r="C622" s="233" t="n"/>
      <c r="D622" s="234" t="n"/>
      <c r="J622" s="234" t="n"/>
      <c r="K622" s="234" t="n"/>
      <c r="L622" s="234" t="n"/>
      <c r="M622" s="234" t="n"/>
      <c r="N622" s="234" t="n"/>
      <c r="O622" s="235" t="n"/>
    </row>
    <row r="623" ht="18" customHeight="1" s="145">
      <c r="A623" s="233" t="n"/>
      <c r="B623" s="233" t="n"/>
      <c r="C623" s="233" t="n"/>
      <c r="D623" s="234" t="n"/>
      <c r="J623" s="234" t="n"/>
      <c r="K623" s="234" t="n"/>
      <c r="L623" s="234" t="n"/>
      <c r="M623" s="234" t="n"/>
      <c r="N623" s="234" t="n"/>
      <c r="O623" s="235" t="n"/>
    </row>
    <row r="624" ht="18" customHeight="1" s="145">
      <c r="A624" s="233" t="n"/>
      <c r="B624" s="233" t="n"/>
      <c r="C624" s="233" t="n"/>
      <c r="D624" s="234" t="n"/>
      <c r="J624" s="234" t="n"/>
      <c r="K624" s="234" t="n"/>
      <c r="L624" s="234" t="n"/>
      <c r="M624" s="234" t="n"/>
      <c r="N624" s="234" t="n"/>
      <c r="O624" s="235" t="n"/>
    </row>
    <row r="625" ht="18" customHeight="1" s="145">
      <c r="A625" s="233" t="n"/>
      <c r="B625" s="233" t="n"/>
      <c r="C625" s="233" t="n"/>
      <c r="D625" s="234" t="n"/>
      <c r="J625" s="234" t="n"/>
      <c r="K625" s="234" t="n"/>
      <c r="L625" s="234" t="n"/>
      <c r="M625" s="234" t="n"/>
      <c r="N625" s="234" t="n"/>
      <c r="O625" s="235" t="n"/>
    </row>
    <row r="626" ht="18" customHeight="1" s="145">
      <c r="A626" s="233" t="n"/>
      <c r="B626" s="233" t="n"/>
      <c r="C626" s="233" t="n"/>
      <c r="D626" s="234" t="n"/>
      <c r="J626" s="234" t="n"/>
      <c r="K626" s="234" t="n"/>
      <c r="L626" s="234" t="n"/>
      <c r="M626" s="234" t="n"/>
      <c r="N626" s="234" t="n"/>
      <c r="O626" s="235" t="n"/>
    </row>
    <row r="627" ht="18" customHeight="1" s="145">
      <c r="A627" s="233" t="n"/>
      <c r="B627" s="233" t="n"/>
      <c r="C627" s="233" t="n"/>
      <c r="D627" s="234" t="n"/>
      <c r="J627" s="234" t="n"/>
      <c r="K627" s="234" t="n"/>
      <c r="L627" s="234" t="n"/>
      <c r="M627" s="234" t="n"/>
      <c r="N627" s="234" t="n"/>
      <c r="O627" s="235" t="n"/>
    </row>
    <row r="628" ht="18" customHeight="1" s="145">
      <c r="A628" s="233" t="n"/>
      <c r="B628" s="233" t="n"/>
      <c r="C628" s="233" t="n"/>
      <c r="D628" s="234" t="n"/>
      <c r="J628" s="234" t="n"/>
      <c r="K628" s="234" t="n"/>
      <c r="L628" s="234" t="n"/>
      <c r="M628" s="234" t="n"/>
      <c r="N628" s="234" t="n"/>
      <c r="O628" s="235" t="n"/>
    </row>
    <row r="629" ht="18" customHeight="1" s="145">
      <c r="A629" s="233" t="n"/>
      <c r="B629" s="233" t="n"/>
      <c r="C629" s="233" t="n"/>
      <c r="D629" s="234" t="n"/>
      <c r="J629" s="234" t="n"/>
      <c r="K629" s="234" t="n"/>
      <c r="L629" s="234" t="n"/>
      <c r="M629" s="234" t="n"/>
      <c r="N629" s="234" t="n"/>
      <c r="O629" s="235" t="n"/>
    </row>
    <row r="630" ht="18" customHeight="1" s="145">
      <c r="A630" s="233" t="n"/>
      <c r="B630" s="233" t="n"/>
      <c r="C630" s="233" t="n"/>
      <c r="D630" s="234" t="n"/>
      <c r="J630" s="234" t="n"/>
      <c r="K630" s="234" t="n"/>
      <c r="L630" s="234" t="n"/>
      <c r="M630" s="234" t="n"/>
      <c r="N630" s="234" t="n"/>
      <c r="O630" s="235" t="n"/>
    </row>
    <row r="631" ht="18" customHeight="1" s="145">
      <c r="A631" s="233" t="n"/>
      <c r="B631" s="233" t="n"/>
      <c r="C631" s="233" t="n"/>
      <c r="D631" s="234" t="n"/>
      <c r="J631" s="234" t="n"/>
      <c r="K631" s="234" t="n"/>
      <c r="L631" s="234" t="n"/>
      <c r="M631" s="234" t="n"/>
      <c r="N631" s="234" t="n"/>
      <c r="O631" s="235" t="n"/>
    </row>
    <row r="632" ht="18" customHeight="1" s="145">
      <c r="A632" s="233" t="n"/>
      <c r="B632" s="233" t="n"/>
      <c r="C632" s="233" t="n"/>
      <c r="D632" s="234" t="n"/>
      <c r="J632" s="234" t="n"/>
      <c r="K632" s="234" t="n"/>
      <c r="L632" s="234" t="n"/>
      <c r="M632" s="234" t="n"/>
      <c r="N632" s="234" t="n"/>
      <c r="O632" s="235" t="n"/>
    </row>
    <row r="633" ht="18" customHeight="1" s="145">
      <c r="A633" s="233" t="n"/>
      <c r="B633" s="233" t="n"/>
      <c r="C633" s="233" t="n"/>
      <c r="D633" s="234" t="n"/>
      <c r="J633" s="234" t="n"/>
      <c r="K633" s="234" t="n"/>
      <c r="L633" s="234" t="n"/>
      <c r="M633" s="234" t="n"/>
      <c r="N633" s="234" t="n"/>
      <c r="O633" s="235" t="n"/>
    </row>
    <row r="634" ht="18" customHeight="1" s="145">
      <c r="A634" s="233" t="n"/>
      <c r="B634" s="233" t="n"/>
      <c r="C634" s="233" t="n"/>
      <c r="D634" s="234" t="n"/>
      <c r="J634" s="234" t="n"/>
      <c r="K634" s="234" t="n"/>
      <c r="L634" s="234" t="n"/>
      <c r="M634" s="234" t="n"/>
      <c r="N634" s="234" t="n"/>
      <c r="O634" s="235" t="n"/>
    </row>
    <row r="635" ht="18" customHeight="1" s="145">
      <c r="A635" s="233" t="n"/>
      <c r="B635" s="233" t="n"/>
      <c r="C635" s="233" t="n"/>
      <c r="D635" s="234" t="n"/>
      <c r="J635" s="234" t="n"/>
      <c r="K635" s="234" t="n"/>
      <c r="L635" s="234" t="n"/>
      <c r="M635" s="234" t="n"/>
      <c r="N635" s="234" t="n"/>
      <c r="O635" s="235" t="n"/>
    </row>
    <row r="636" ht="18" customHeight="1" s="145">
      <c r="A636" s="233" t="n"/>
      <c r="B636" s="233" t="n"/>
      <c r="C636" s="233" t="n"/>
      <c r="D636" s="234" t="n"/>
      <c r="J636" s="234" t="n"/>
      <c r="K636" s="234" t="n"/>
      <c r="L636" s="234" t="n"/>
      <c r="M636" s="234" t="n"/>
      <c r="N636" s="234" t="n"/>
      <c r="O636" s="235" t="n"/>
    </row>
    <row r="637" ht="18" customHeight="1" s="145">
      <c r="A637" s="233" t="n"/>
      <c r="B637" s="233" t="n"/>
      <c r="C637" s="233" t="n"/>
      <c r="D637" s="234" t="n"/>
      <c r="J637" s="234" t="n"/>
      <c r="K637" s="234" t="n"/>
      <c r="L637" s="234" t="n"/>
      <c r="M637" s="234" t="n"/>
      <c r="N637" s="234" t="n"/>
      <c r="O637" s="235" t="n"/>
    </row>
    <row r="638" ht="18" customHeight="1" s="145">
      <c r="A638" s="233" t="n"/>
      <c r="B638" s="233" t="n"/>
      <c r="C638" s="233" t="n"/>
      <c r="D638" s="234" t="n"/>
      <c r="J638" s="234" t="n"/>
      <c r="K638" s="234" t="n"/>
      <c r="L638" s="234" t="n"/>
      <c r="M638" s="234" t="n"/>
      <c r="N638" s="234" t="n"/>
      <c r="O638" s="235" t="n"/>
    </row>
    <row r="639" ht="18" customHeight="1" s="145">
      <c r="A639" s="233" t="n"/>
      <c r="B639" s="233" t="n"/>
      <c r="C639" s="233" t="n"/>
      <c r="D639" s="234" t="n"/>
      <c r="J639" s="234" t="n"/>
      <c r="K639" s="234" t="n"/>
      <c r="L639" s="234" t="n"/>
      <c r="M639" s="234" t="n"/>
      <c r="N639" s="234" t="n"/>
      <c r="O639" s="235" t="n"/>
    </row>
    <row r="640" ht="18" customHeight="1" s="145">
      <c r="A640" s="233" t="n"/>
      <c r="B640" s="233" t="n"/>
      <c r="C640" s="233" t="n"/>
      <c r="D640" s="234" t="n"/>
      <c r="J640" s="234" t="n"/>
      <c r="K640" s="234" t="n"/>
      <c r="L640" s="234" t="n"/>
      <c r="M640" s="234" t="n"/>
      <c r="N640" s="234" t="n"/>
      <c r="O640" s="235" t="n"/>
    </row>
    <row r="641" ht="18" customHeight="1" s="145">
      <c r="A641" s="233" t="n"/>
      <c r="B641" s="233" t="n"/>
      <c r="C641" s="233" t="n"/>
      <c r="D641" s="234" t="n"/>
      <c r="J641" s="234" t="n"/>
      <c r="K641" s="234" t="n"/>
      <c r="L641" s="234" t="n"/>
      <c r="M641" s="234" t="n"/>
      <c r="N641" s="234" t="n"/>
      <c r="O641" s="235" t="n"/>
    </row>
    <row r="642" ht="18" customHeight="1" s="145">
      <c r="A642" s="233" t="n"/>
      <c r="B642" s="233" t="n"/>
      <c r="C642" s="233" t="n"/>
      <c r="D642" s="234" t="n"/>
      <c r="J642" s="234" t="n"/>
      <c r="K642" s="234" t="n"/>
      <c r="L642" s="234" t="n"/>
      <c r="M642" s="234" t="n"/>
      <c r="N642" s="234" t="n"/>
      <c r="O642" s="235" t="n"/>
    </row>
    <row r="643" ht="18" customHeight="1" s="145">
      <c r="A643" s="233" t="n"/>
      <c r="B643" s="233" t="n"/>
      <c r="C643" s="233" t="n"/>
      <c r="D643" s="234" t="n"/>
      <c r="J643" s="234" t="n"/>
      <c r="K643" s="234" t="n"/>
      <c r="L643" s="234" t="n"/>
      <c r="M643" s="234" t="n"/>
      <c r="N643" s="234" t="n"/>
      <c r="O643" s="235" t="n"/>
    </row>
    <row r="644" ht="18" customHeight="1" s="145">
      <c r="A644" s="233" t="n"/>
      <c r="B644" s="233" t="n"/>
      <c r="C644" s="233" t="n"/>
      <c r="D644" s="234" t="n"/>
      <c r="J644" s="234" t="n"/>
      <c r="K644" s="234" t="n"/>
      <c r="L644" s="234" t="n"/>
      <c r="M644" s="234" t="n"/>
      <c r="N644" s="234" t="n"/>
      <c r="O644" s="235" t="n"/>
    </row>
    <row r="645" ht="18" customHeight="1" s="145">
      <c r="A645" s="233" t="n"/>
      <c r="B645" s="233" t="n"/>
      <c r="C645" s="233" t="n"/>
      <c r="D645" s="234" t="n"/>
      <c r="J645" s="234" t="n"/>
      <c r="K645" s="234" t="n"/>
      <c r="L645" s="234" t="n"/>
      <c r="M645" s="234" t="n"/>
      <c r="N645" s="234" t="n"/>
      <c r="O645" s="235" t="n"/>
    </row>
    <row r="646" ht="18" customHeight="1" s="145">
      <c r="A646" s="233" t="n"/>
      <c r="B646" s="233" t="n"/>
      <c r="C646" s="233" t="n"/>
      <c r="D646" s="234" t="n"/>
      <c r="J646" s="234" t="n"/>
      <c r="K646" s="234" t="n"/>
      <c r="L646" s="234" t="n"/>
      <c r="M646" s="234" t="n"/>
      <c r="N646" s="234" t="n"/>
      <c r="O646" s="235" t="n"/>
    </row>
    <row r="647" ht="18" customHeight="1" s="145">
      <c r="A647" s="233" t="n"/>
      <c r="B647" s="233" t="n"/>
      <c r="C647" s="233" t="n"/>
      <c r="D647" s="234" t="n"/>
      <c r="J647" s="234" t="n"/>
      <c r="K647" s="234" t="n"/>
      <c r="L647" s="234" t="n"/>
      <c r="M647" s="234" t="n"/>
      <c r="N647" s="234" t="n"/>
      <c r="O647" s="235" t="n"/>
    </row>
    <row r="648" ht="18" customHeight="1" s="145">
      <c r="A648" s="233" t="n"/>
      <c r="B648" s="233" t="n"/>
      <c r="C648" s="233" t="n"/>
      <c r="D648" s="234" t="n"/>
      <c r="J648" s="234" t="n"/>
      <c r="K648" s="234" t="n"/>
      <c r="L648" s="234" t="n"/>
      <c r="M648" s="234" t="n"/>
      <c r="N648" s="234" t="n"/>
      <c r="O648" s="235" t="n"/>
    </row>
    <row r="649" ht="18" customHeight="1" s="145">
      <c r="A649" s="233" t="n"/>
      <c r="B649" s="233" t="n"/>
      <c r="C649" s="233" t="n"/>
      <c r="D649" s="234" t="n"/>
      <c r="J649" s="234" t="n"/>
      <c r="K649" s="234" t="n"/>
      <c r="L649" s="234" t="n"/>
      <c r="M649" s="234" t="n"/>
      <c r="N649" s="234" t="n"/>
      <c r="O649" s="235" t="n"/>
    </row>
    <row r="650" ht="18" customHeight="1" s="145">
      <c r="A650" s="233" t="n"/>
      <c r="B650" s="233" t="n"/>
      <c r="C650" s="233" t="n"/>
      <c r="D650" s="234" t="n"/>
      <c r="J650" s="234" t="n"/>
      <c r="K650" s="234" t="n"/>
      <c r="L650" s="234" t="n"/>
      <c r="M650" s="234" t="n"/>
      <c r="N650" s="234" t="n"/>
      <c r="O650" s="235" t="n"/>
    </row>
    <row r="651" ht="18" customHeight="1" s="145">
      <c r="A651" s="233" t="n"/>
      <c r="B651" s="233" t="n"/>
      <c r="C651" s="233" t="n"/>
      <c r="D651" s="234" t="n"/>
      <c r="J651" s="234" t="n"/>
      <c r="K651" s="234" t="n"/>
      <c r="L651" s="234" t="n"/>
      <c r="M651" s="234" t="n"/>
      <c r="N651" s="234" t="n"/>
      <c r="O651" s="235" t="n"/>
    </row>
    <row r="652" ht="18" customHeight="1" s="145">
      <c r="A652" s="233" t="n"/>
      <c r="B652" s="233" t="n"/>
      <c r="C652" s="233" t="n"/>
      <c r="D652" s="234" t="n"/>
      <c r="J652" s="234" t="n"/>
      <c r="K652" s="234" t="n"/>
      <c r="L652" s="234" t="n"/>
      <c r="M652" s="234" t="n"/>
      <c r="N652" s="234" t="n"/>
      <c r="O652" s="235" t="n"/>
    </row>
    <row r="653" ht="18" customHeight="1" s="145">
      <c r="A653" s="233" t="n"/>
      <c r="B653" s="233" t="n"/>
      <c r="C653" s="233" t="n"/>
      <c r="D653" s="234" t="n"/>
      <c r="J653" s="234" t="n"/>
      <c r="K653" s="234" t="n"/>
      <c r="L653" s="234" t="n"/>
      <c r="M653" s="234" t="n"/>
      <c r="N653" s="234" t="n"/>
      <c r="O653" s="235" t="n"/>
    </row>
    <row r="654" ht="18" customHeight="1" s="145">
      <c r="A654" s="233" t="n"/>
      <c r="B654" s="233" t="n"/>
      <c r="C654" s="233" t="n"/>
      <c r="D654" s="234" t="n"/>
      <c r="J654" s="234" t="n"/>
      <c r="K654" s="234" t="n"/>
      <c r="L654" s="234" t="n"/>
      <c r="M654" s="234" t="n"/>
      <c r="N654" s="234" t="n"/>
      <c r="O654" s="235" t="n"/>
    </row>
    <row r="655" ht="18" customHeight="1" s="145">
      <c r="A655" s="233" t="n"/>
      <c r="B655" s="233" t="n"/>
      <c r="C655" s="233" t="n"/>
      <c r="D655" s="234" t="n"/>
      <c r="J655" s="234" t="n"/>
      <c r="K655" s="234" t="n"/>
      <c r="L655" s="234" t="n"/>
      <c r="M655" s="234" t="n"/>
      <c r="N655" s="234" t="n"/>
      <c r="O655" s="235" t="n"/>
    </row>
    <row r="656" ht="18" customHeight="1" s="145">
      <c r="A656" s="233" t="n"/>
      <c r="B656" s="233" t="n"/>
      <c r="C656" s="233" t="n"/>
      <c r="D656" s="234" t="n"/>
      <c r="J656" s="234" t="n"/>
      <c r="K656" s="234" t="n"/>
      <c r="L656" s="234" t="n"/>
      <c r="M656" s="234" t="n"/>
      <c r="N656" s="234" t="n"/>
      <c r="O656" s="235" t="n"/>
    </row>
    <row r="657" ht="18" customHeight="1" s="145">
      <c r="A657" s="233" t="n"/>
      <c r="B657" s="233" t="n"/>
      <c r="C657" s="233" t="n"/>
      <c r="D657" s="234" t="n"/>
      <c r="J657" s="234" t="n"/>
      <c r="K657" s="234" t="n"/>
      <c r="L657" s="234" t="n"/>
      <c r="M657" s="234" t="n"/>
      <c r="N657" s="234" t="n"/>
      <c r="O657" s="235" t="n"/>
    </row>
    <row r="658" ht="18" customHeight="1" s="145">
      <c r="A658" s="233" t="n"/>
      <c r="B658" s="233" t="n"/>
      <c r="C658" s="233" t="n"/>
      <c r="D658" s="234" t="n"/>
      <c r="J658" s="234" t="n"/>
      <c r="K658" s="234" t="n"/>
      <c r="L658" s="234" t="n"/>
      <c r="M658" s="234" t="n"/>
      <c r="N658" s="234" t="n"/>
      <c r="O658" s="235" t="n"/>
    </row>
    <row r="659" ht="18" customHeight="1" s="145">
      <c r="A659" s="233" t="n"/>
      <c r="B659" s="233" t="n"/>
      <c r="C659" s="233" t="n"/>
      <c r="D659" s="234" t="n"/>
      <c r="J659" s="234" t="n"/>
      <c r="K659" s="234" t="n"/>
      <c r="L659" s="234" t="n"/>
      <c r="M659" s="234" t="n"/>
      <c r="N659" s="234" t="n"/>
      <c r="O659" s="235" t="n"/>
    </row>
    <row r="660" ht="18" customHeight="1" s="145">
      <c r="A660" s="233" t="n"/>
      <c r="B660" s="233" t="n"/>
      <c r="C660" s="233" t="n"/>
      <c r="D660" s="234" t="n"/>
      <c r="J660" s="234" t="n"/>
      <c r="K660" s="234" t="n"/>
      <c r="L660" s="234" t="n"/>
      <c r="M660" s="234" t="n"/>
      <c r="N660" s="234" t="n"/>
      <c r="O660" s="235" t="n"/>
    </row>
    <row r="661" ht="18" customHeight="1" s="145">
      <c r="A661" s="233" t="n"/>
      <c r="B661" s="233" t="n"/>
      <c r="C661" s="233" t="n"/>
      <c r="D661" s="234" t="n"/>
      <c r="J661" s="234" t="n"/>
      <c r="K661" s="234" t="n"/>
      <c r="L661" s="234" t="n"/>
      <c r="M661" s="234" t="n"/>
      <c r="N661" s="234" t="n"/>
      <c r="O661" s="235" t="n"/>
    </row>
    <row r="662" ht="18" customHeight="1" s="145">
      <c r="A662" s="233" t="n"/>
      <c r="B662" s="233" t="n"/>
      <c r="C662" s="233" t="n"/>
      <c r="D662" s="234" t="n"/>
      <c r="J662" s="234" t="n"/>
      <c r="K662" s="234" t="n"/>
      <c r="L662" s="234" t="n"/>
      <c r="M662" s="234" t="n"/>
      <c r="N662" s="234" t="n"/>
      <c r="O662" s="235" t="n"/>
    </row>
    <row r="663" ht="18" customHeight="1" s="145">
      <c r="A663" s="233" t="n"/>
      <c r="B663" s="233" t="n"/>
      <c r="C663" s="233" t="n"/>
      <c r="D663" s="234" t="n"/>
      <c r="J663" s="234" t="n"/>
      <c r="K663" s="234" t="n"/>
      <c r="L663" s="234" t="n"/>
      <c r="M663" s="234" t="n"/>
      <c r="N663" s="234" t="n"/>
      <c r="O663" s="235" t="n"/>
    </row>
    <row r="664" ht="18" customHeight="1" s="145">
      <c r="A664" s="233" t="n"/>
      <c r="B664" s="233" t="n"/>
      <c r="C664" s="233" t="n"/>
      <c r="D664" s="234" t="n"/>
      <c r="J664" s="234" t="n"/>
      <c r="K664" s="234" t="n"/>
      <c r="L664" s="234" t="n"/>
      <c r="M664" s="234" t="n"/>
      <c r="N664" s="234" t="n"/>
      <c r="O664" s="235" t="n"/>
    </row>
    <row r="665" ht="18" customHeight="1" s="145">
      <c r="A665" s="233" t="n"/>
      <c r="B665" s="233" t="n"/>
      <c r="C665" s="233" t="n"/>
      <c r="D665" s="234" t="n"/>
      <c r="J665" s="234" t="n"/>
      <c r="K665" s="234" t="n"/>
      <c r="L665" s="234" t="n"/>
      <c r="M665" s="234" t="n"/>
      <c r="N665" s="234" t="n"/>
      <c r="O665" s="235" t="n"/>
    </row>
    <row r="666" ht="18" customHeight="1" s="145">
      <c r="A666" s="233" t="n"/>
      <c r="B666" s="233" t="n"/>
      <c r="C666" s="233" t="n"/>
      <c r="D666" s="234" t="n"/>
      <c r="J666" s="234" t="n"/>
      <c r="K666" s="234" t="n"/>
      <c r="L666" s="234" t="n"/>
      <c r="M666" s="234" t="n"/>
      <c r="N666" s="234" t="n"/>
      <c r="O666" s="235" t="n"/>
    </row>
    <row r="667" ht="18" customHeight="1" s="145">
      <c r="A667" s="233" t="n"/>
      <c r="B667" s="233" t="n"/>
      <c r="C667" s="233" t="n"/>
      <c r="D667" s="234" t="n"/>
      <c r="J667" s="234" t="n"/>
      <c r="K667" s="234" t="n"/>
      <c r="L667" s="234" t="n"/>
      <c r="M667" s="234" t="n"/>
      <c r="N667" s="234" t="n"/>
      <c r="O667" s="235" t="n"/>
    </row>
    <row r="668" ht="18" customHeight="1" s="145">
      <c r="A668" s="233" t="n"/>
      <c r="B668" s="233" t="n"/>
      <c r="C668" s="233" t="n"/>
      <c r="D668" s="234" t="n"/>
      <c r="J668" s="234" t="n"/>
      <c r="K668" s="234" t="n"/>
      <c r="L668" s="234" t="n"/>
      <c r="M668" s="234" t="n"/>
      <c r="N668" s="234" t="n"/>
      <c r="O668" s="235" t="n"/>
    </row>
    <row r="669" ht="18" customHeight="1" s="145">
      <c r="A669" s="233" t="n"/>
      <c r="B669" s="233" t="n"/>
      <c r="C669" s="233" t="n"/>
      <c r="D669" s="234" t="n"/>
      <c r="J669" s="234" t="n"/>
      <c r="K669" s="234" t="n"/>
      <c r="L669" s="234" t="n"/>
      <c r="M669" s="234" t="n"/>
      <c r="N669" s="234" t="n"/>
      <c r="O669" s="235" t="n"/>
    </row>
    <row r="670" ht="18" customHeight="1" s="145">
      <c r="A670" s="233" t="n"/>
      <c r="B670" s="233" t="n"/>
      <c r="C670" s="233" t="n"/>
      <c r="D670" s="234" t="n"/>
      <c r="J670" s="234" t="n"/>
      <c r="K670" s="234" t="n"/>
      <c r="L670" s="234" t="n"/>
      <c r="M670" s="234" t="n"/>
      <c r="N670" s="234" t="n"/>
      <c r="O670" s="235" t="n"/>
    </row>
    <row r="671" ht="18" customHeight="1" s="145">
      <c r="A671" s="233" t="n"/>
      <c r="B671" s="233" t="n"/>
      <c r="C671" s="233" t="n"/>
      <c r="D671" s="234" t="n"/>
      <c r="J671" s="234" t="n"/>
      <c r="K671" s="234" t="n"/>
      <c r="L671" s="234" t="n"/>
      <c r="M671" s="234" t="n"/>
      <c r="N671" s="234" t="n"/>
      <c r="O671" s="235" t="n"/>
    </row>
    <row r="672" ht="18" customHeight="1" s="145">
      <c r="A672" s="233" t="n"/>
      <c r="B672" s="233" t="n"/>
      <c r="C672" s="233" t="n"/>
      <c r="D672" s="234" t="n"/>
      <c r="J672" s="234" t="n"/>
      <c r="K672" s="234" t="n"/>
      <c r="L672" s="234" t="n"/>
      <c r="M672" s="234" t="n"/>
      <c r="N672" s="234" t="n"/>
      <c r="O672" s="235" t="n"/>
    </row>
    <row r="673" ht="18" customHeight="1" s="145">
      <c r="A673" s="233" t="n"/>
      <c r="B673" s="233" t="n"/>
      <c r="C673" s="233" t="n"/>
      <c r="D673" s="234" t="n"/>
      <c r="J673" s="234" t="n"/>
      <c r="K673" s="234" t="n"/>
      <c r="L673" s="234" t="n"/>
      <c r="M673" s="234" t="n"/>
      <c r="N673" s="234" t="n"/>
      <c r="O673" s="235" t="n"/>
    </row>
    <row r="674" ht="18" customHeight="1" s="145">
      <c r="A674" s="233" t="n"/>
      <c r="B674" s="233" t="n"/>
      <c r="C674" s="233" t="n"/>
      <c r="D674" s="234" t="n"/>
      <c r="J674" s="234" t="n"/>
      <c r="K674" s="234" t="n"/>
      <c r="L674" s="234" t="n"/>
      <c r="M674" s="234" t="n"/>
      <c r="N674" s="234" t="n"/>
      <c r="O674" s="235" t="n"/>
    </row>
    <row r="675" ht="18" customHeight="1" s="145">
      <c r="A675" s="233" t="n"/>
      <c r="B675" s="233" t="n"/>
      <c r="C675" s="233" t="n"/>
      <c r="D675" s="234" t="n"/>
      <c r="J675" s="234" t="n"/>
      <c r="K675" s="234" t="n"/>
      <c r="L675" s="234" t="n"/>
      <c r="M675" s="234" t="n"/>
      <c r="N675" s="234" t="n"/>
      <c r="O675" s="235" t="n"/>
    </row>
    <row r="676" ht="18" customHeight="1" s="145">
      <c r="A676" s="233" t="n"/>
      <c r="B676" s="233" t="n"/>
      <c r="C676" s="233" t="n"/>
      <c r="D676" s="234" t="n"/>
      <c r="J676" s="234" t="n"/>
      <c r="K676" s="234" t="n"/>
      <c r="L676" s="234" t="n"/>
      <c r="M676" s="234" t="n"/>
      <c r="N676" s="234" t="n"/>
      <c r="O676" s="235" t="n"/>
    </row>
    <row r="677" ht="18" customHeight="1" s="145">
      <c r="A677" s="233" t="n"/>
      <c r="B677" s="233" t="n"/>
      <c r="C677" s="233" t="n"/>
      <c r="D677" s="234" t="n"/>
      <c r="J677" s="234" t="n"/>
      <c r="K677" s="234" t="n"/>
      <c r="L677" s="234" t="n"/>
      <c r="M677" s="234" t="n"/>
      <c r="N677" s="234" t="n"/>
      <c r="O677" s="235" t="n"/>
    </row>
    <row r="678" ht="18" customHeight="1" s="145">
      <c r="A678" s="233" t="n"/>
      <c r="B678" s="233" t="n"/>
      <c r="C678" s="233" t="n"/>
      <c r="D678" s="234" t="n"/>
      <c r="J678" s="234" t="n"/>
      <c r="K678" s="234" t="n"/>
      <c r="L678" s="234" t="n"/>
      <c r="M678" s="234" t="n"/>
      <c r="N678" s="234" t="n"/>
      <c r="O678" s="235" t="n"/>
    </row>
    <row r="679" ht="18" customHeight="1" s="145">
      <c r="A679" s="233" t="n"/>
      <c r="B679" s="233" t="n"/>
      <c r="C679" s="233" t="n"/>
      <c r="D679" s="234" t="n"/>
      <c r="J679" s="234" t="n"/>
      <c r="K679" s="234" t="n"/>
      <c r="L679" s="234" t="n"/>
      <c r="M679" s="234" t="n"/>
      <c r="N679" s="234" t="n"/>
      <c r="O679" s="235" t="n"/>
    </row>
    <row r="680" ht="18" customHeight="1" s="145">
      <c r="A680" s="233" t="n"/>
      <c r="B680" s="233" t="n"/>
      <c r="C680" s="233" t="n"/>
      <c r="D680" s="234" t="n"/>
      <c r="J680" s="234" t="n"/>
      <c r="K680" s="234" t="n"/>
      <c r="L680" s="234" t="n"/>
      <c r="M680" s="234" t="n"/>
      <c r="N680" s="234" t="n"/>
      <c r="O680" s="235" t="n"/>
    </row>
    <row r="681" ht="18" customHeight="1" s="145">
      <c r="A681" s="233" t="n"/>
      <c r="B681" s="233" t="n"/>
      <c r="C681" s="233" t="n"/>
      <c r="D681" s="234" t="n"/>
      <c r="J681" s="234" t="n"/>
      <c r="K681" s="234" t="n"/>
      <c r="L681" s="234" t="n"/>
      <c r="M681" s="234" t="n"/>
      <c r="N681" s="234" t="n"/>
      <c r="O681" s="235" t="n"/>
    </row>
    <row r="682" ht="18" customHeight="1" s="145">
      <c r="A682" s="233" t="n"/>
      <c r="B682" s="233" t="n"/>
      <c r="C682" s="233" t="n"/>
      <c r="D682" s="234" t="n"/>
      <c r="J682" s="234" t="n"/>
      <c r="K682" s="234" t="n"/>
      <c r="L682" s="234" t="n"/>
      <c r="M682" s="234" t="n"/>
      <c r="N682" s="234" t="n"/>
      <c r="O682" s="235" t="n"/>
    </row>
    <row r="683" ht="18" customHeight="1" s="145">
      <c r="A683" s="233" t="n"/>
      <c r="B683" s="233" t="n"/>
      <c r="C683" s="233" t="n"/>
      <c r="D683" s="234" t="n"/>
      <c r="J683" s="234" t="n"/>
      <c r="K683" s="234" t="n"/>
      <c r="L683" s="234" t="n"/>
      <c r="M683" s="234" t="n"/>
      <c r="N683" s="234" t="n"/>
      <c r="O683" s="235" t="n"/>
    </row>
    <row r="684" ht="18" customHeight="1" s="145">
      <c r="A684" s="233" t="n"/>
      <c r="B684" s="233" t="n"/>
      <c r="C684" s="233" t="n"/>
      <c r="D684" s="234" t="n"/>
      <c r="J684" s="234" t="n"/>
      <c r="K684" s="234" t="n"/>
      <c r="L684" s="234" t="n"/>
      <c r="M684" s="234" t="n"/>
      <c r="N684" s="234" t="n"/>
      <c r="O684" s="235" t="n"/>
    </row>
    <row r="685" ht="18" customHeight="1" s="145">
      <c r="A685" s="233" t="n"/>
      <c r="B685" s="233" t="n"/>
      <c r="C685" s="233" t="n"/>
      <c r="D685" s="234" t="n"/>
      <c r="J685" s="234" t="n"/>
      <c r="K685" s="234" t="n"/>
      <c r="L685" s="234" t="n"/>
      <c r="M685" s="234" t="n"/>
      <c r="N685" s="234" t="n"/>
      <c r="O685" s="235" t="n"/>
    </row>
    <row r="686" ht="18" customHeight="1" s="145">
      <c r="A686" s="233" t="n"/>
      <c r="B686" s="233" t="n"/>
      <c r="C686" s="233" t="n"/>
      <c r="D686" s="234" t="n"/>
      <c r="J686" s="234" t="n"/>
      <c r="K686" s="234" t="n"/>
      <c r="L686" s="234" t="n"/>
      <c r="M686" s="234" t="n"/>
      <c r="N686" s="234" t="n"/>
      <c r="O686" s="235" t="n"/>
    </row>
    <row r="687" ht="18" customHeight="1" s="145">
      <c r="A687" s="233" t="n"/>
      <c r="B687" s="233" t="n"/>
      <c r="C687" s="233" t="n"/>
      <c r="D687" s="234" t="n"/>
      <c r="J687" s="234" t="n"/>
      <c r="K687" s="234" t="n"/>
      <c r="L687" s="234" t="n"/>
      <c r="M687" s="234" t="n"/>
      <c r="N687" s="234" t="n"/>
      <c r="O687" s="235" t="n"/>
    </row>
    <row r="688" ht="18" customHeight="1" s="145">
      <c r="A688" s="233" t="n"/>
      <c r="B688" s="233" t="n"/>
      <c r="C688" s="233" t="n"/>
      <c r="D688" s="234" t="n"/>
      <c r="J688" s="234" t="n"/>
      <c r="K688" s="234" t="n"/>
      <c r="L688" s="234" t="n"/>
      <c r="M688" s="234" t="n"/>
      <c r="N688" s="234" t="n"/>
      <c r="O688" s="235" t="n"/>
    </row>
    <row r="689" ht="18" customHeight="1" s="145">
      <c r="A689" s="233" t="n"/>
      <c r="B689" s="233" t="n"/>
      <c r="C689" s="233" t="n"/>
      <c r="D689" s="234" t="n"/>
      <c r="J689" s="234" t="n"/>
      <c r="K689" s="234" t="n"/>
      <c r="L689" s="234" t="n"/>
      <c r="M689" s="234" t="n"/>
      <c r="N689" s="234" t="n"/>
      <c r="O689" s="235" t="n"/>
    </row>
    <row r="690" ht="18" customHeight="1" s="145">
      <c r="A690" s="233" t="n"/>
      <c r="B690" s="233" t="n"/>
      <c r="C690" s="233" t="n"/>
      <c r="D690" s="234" t="n"/>
      <c r="J690" s="234" t="n"/>
      <c r="K690" s="234" t="n"/>
      <c r="L690" s="234" t="n"/>
      <c r="M690" s="234" t="n"/>
      <c r="N690" s="234" t="n"/>
      <c r="O690" s="235" t="n"/>
    </row>
    <row r="691" ht="18" customHeight="1" s="145">
      <c r="A691" s="233" t="n"/>
      <c r="B691" s="233" t="n"/>
      <c r="C691" s="233" t="n"/>
      <c r="D691" s="234" t="n"/>
      <c r="J691" s="234" t="n"/>
      <c r="K691" s="234" t="n"/>
      <c r="L691" s="234" t="n"/>
      <c r="M691" s="234" t="n"/>
      <c r="N691" s="234" t="n"/>
      <c r="O691" s="235" t="n"/>
    </row>
    <row r="692" ht="18" customHeight="1" s="145">
      <c r="A692" s="233" t="n"/>
      <c r="B692" s="233" t="n"/>
      <c r="C692" s="233" t="n"/>
      <c r="D692" s="234" t="n"/>
      <c r="J692" s="234" t="n"/>
      <c r="K692" s="234" t="n"/>
      <c r="L692" s="234" t="n"/>
      <c r="M692" s="234" t="n"/>
      <c r="N692" s="234" t="n"/>
      <c r="O692" s="235" t="n"/>
    </row>
    <row r="693" ht="18" customHeight="1" s="145">
      <c r="A693" s="233" t="n"/>
      <c r="B693" s="233" t="n"/>
      <c r="C693" s="233" t="n"/>
      <c r="D693" s="234" t="n"/>
      <c r="J693" s="234" t="n"/>
      <c r="K693" s="234" t="n"/>
      <c r="L693" s="234" t="n"/>
      <c r="M693" s="234" t="n"/>
      <c r="N693" s="234" t="n"/>
      <c r="O693" s="235" t="n"/>
    </row>
    <row r="694" ht="18" customHeight="1" s="145">
      <c r="A694" s="233" t="n"/>
      <c r="B694" s="233" t="n"/>
      <c r="C694" s="233" t="n"/>
      <c r="D694" s="234" t="n"/>
      <c r="J694" s="234" t="n"/>
      <c r="K694" s="234" t="n"/>
      <c r="L694" s="234" t="n"/>
      <c r="M694" s="234" t="n"/>
      <c r="N694" s="234" t="n"/>
      <c r="O694" s="235" t="n"/>
    </row>
    <row r="695" ht="18" customHeight="1" s="145">
      <c r="A695" s="233" t="n"/>
      <c r="B695" s="233" t="n"/>
      <c r="C695" s="233" t="n"/>
      <c r="D695" s="234" t="n"/>
      <c r="J695" s="234" t="n"/>
      <c r="K695" s="234" t="n"/>
      <c r="L695" s="234" t="n"/>
      <c r="M695" s="234" t="n"/>
      <c r="N695" s="234" t="n"/>
      <c r="O695" s="235" t="n"/>
    </row>
    <row r="696" ht="18" customHeight="1" s="145">
      <c r="A696" s="233" t="n"/>
      <c r="B696" s="233" t="n"/>
      <c r="C696" s="233" t="n"/>
      <c r="D696" s="234" t="n"/>
      <c r="J696" s="234" t="n"/>
      <c r="K696" s="234" t="n"/>
      <c r="L696" s="234" t="n"/>
      <c r="M696" s="234" t="n"/>
      <c r="N696" s="234" t="n"/>
      <c r="O696" s="235" t="n"/>
    </row>
    <row r="697" ht="18" customHeight="1" s="145">
      <c r="A697" s="233" t="n"/>
      <c r="B697" s="233" t="n"/>
      <c r="C697" s="233" t="n"/>
      <c r="D697" s="234" t="n"/>
      <c r="J697" s="234" t="n"/>
      <c r="K697" s="234" t="n"/>
      <c r="L697" s="234" t="n"/>
      <c r="M697" s="234" t="n"/>
      <c r="N697" s="234" t="n"/>
      <c r="O697" s="235" t="n"/>
    </row>
    <row r="698" ht="18" customHeight="1" s="145">
      <c r="A698" s="233" t="n"/>
      <c r="B698" s="233" t="n"/>
      <c r="C698" s="233" t="n"/>
      <c r="D698" s="234" t="n"/>
      <c r="J698" s="234" t="n"/>
      <c r="K698" s="234" t="n"/>
      <c r="L698" s="234" t="n"/>
      <c r="M698" s="234" t="n"/>
      <c r="N698" s="234" t="n"/>
      <c r="O698" s="235" t="n"/>
    </row>
    <row r="699" ht="18" customHeight="1" s="145">
      <c r="A699" s="233" t="n"/>
      <c r="B699" s="233" t="n"/>
      <c r="C699" s="233" t="n"/>
      <c r="D699" s="234" t="n"/>
      <c r="J699" s="234" t="n"/>
      <c r="K699" s="234" t="n"/>
      <c r="L699" s="234" t="n"/>
      <c r="M699" s="234" t="n"/>
      <c r="N699" s="234" t="n"/>
      <c r="O699" s="235" t="n"/>
    </row>
    <row r="700" ht="18" customHeight="1" s="145">
      <c r="A700" s="233" t="n"/>
      <c r="B700" s="233" t="n"/>
      <c r="C700" s="233" t="n"/>
      <c r="D700" s="234" t="n"/>
      <c r="J700" s="234" t="n"/>
      <c r="K700" s="234" t="n"/>
      <c r="L700" s="234" t="n"/>
      <c r="M700" s="234" t="n"/>
      <c r="N700" s="234" t="n"/>
      <c r="O700" s="235" t="n"/>
    </row>
    <row r="701" ht="18" customHeight="1" s="145">
      <c r="A701" s="233" t="n"/>
      <c r="B701" s="233" t="n"/>
      <c r="C701" s="233" t="n"/>
      <c r="D701" s="234" t="n"/>
      <c r="J701" s="234" t="n"/>
      <c r="K701" s="234" t="n"/>
      <c r="L701" s="234" t="n"/>
      <c r="M701" s="234" t="n"/>
      <c r="N701" s="234" t="n"/>
      <c r="O701" s="235" t="n"/>
    </row>
    <row r="702" ht="18" customHeight="1" s="145">
      <c r="A702" s="233" t="n"/>
      <c r="B702" s="233" t="n"/>
      <c r="C702" s="233" t="n"/>
      <c r="D702" s="234" t="n"/>
      <c r="J702" s="234" t="n"/>
      <c r="K702" s="234" t="n"/>
      <c r="L702" s="234" t="n"/>
      <c r="M702" s="234" t="n"/>
      <c r="N702" s="234" t="n"/>
      <c r="O702" s="235" t="n"/>
    </row>
    <row r="703" ht="18" customHeight="1" s="145">
      <c r="A703" s="233" t="n"/>
      <c r="B703" s="233" t="n"/>
      <c r="C703" s="233" t="n"/>
      <c r="D703" s="234" t="n"/>
      <c r="J703" s="234" t="n"/>
      <c r="K703" s="234" t="n"/>
      <c r="L703" s="234" t="n"/>
      <c r="M703" s="234" t="n"/>
      <c r="N703" s="234" t="n"/>
      <c r="O703" s="235" t="n"/>
    </row>
    <row r="704" ht="18" customHeight="1" s="145">
      <c r="A704" s="233" t="n"/>
      <c r="B704" s="233" t="n"/>
      <c r="C704" s="233" t="n"/>
      <c r="D704" s="234" t="n"/>
      <c r="J704" s="234" t="n"/>
      <c r="K704" s="234" t="n"/>
      <c r="L704" s="234" t="n"/>
      <c r="M704" s="234" t="n"/>
      <c r="N704" s="234" t="n"/>
      <c r="O704" s="235" t="n"/>
    </row>
    <row r="705" ht="18" customHeight="1" s="145">
      <c r="A705" s="233" t="n"/>
      <c r="B705" s="233" t="n"/>
      <c r="C705" s="233" t="n"/>
      <c r="D705" s="234" t="n"/>
      <c r="J705" s="234" t="n"/>
      <c r="K705" s="234" t="n"/>
      <c r="L705" s="234" t="n"/>
      <c r="M705" s="234" t="n"/>
      <c r="N705" s="234" t="n"/>
      <c r="O705" s="235" t="n"/>
    </row>
    <row r="706" ht="18" customHeight="1" s="145">
      <c r="A706" s="233" t="n"/>
      <c r="B706" s="233" t="n"/>
      <c r="C706" s="233" t="n"/>
      <c r="D706" s="234" t="n"/>
      <c r="J706" s="234" t="n"/>
      <c r="K706" s="234" t="n"/>
      <c r="L706" s="234" t="n"/>
      <c r="M706" s="234" t="n"/>
      <c r="N706" s="234" t="n"/>
      <c r="O706" s="235" t="n"/>
    </row>
    <row r="707" ht="18" customHeight="1" s="145">
      <c r="A707" s="233" t="n"/>
      <c r="B707" s="233" t="n"/>
      <c r="C707" s="233" t="n"/>
      <c r="D707" s="234" t="n"/>
      <c r="J707" s="234" t="n"/>
      <c r="K707" s="234" t="n"/>
      <c r="L707" s="234" t="n"/>
      <c r="M707" s="234" t="n"/>
      <c r="N707" s="234" t="n"/>
      <c r="O707" s="235" t="n"/>
    </row>
    <row r="708" ht="18" customHeight="1" s="145">
      <c r="A708" s="233" t="n"/>
      <c r="B708" s="233" t="n"/>
      <c r="C708" s="233" t="n"/>
      <c r="D708" s="234" t="n"/>
      <c r="J708" s="234" t="n"/>
      <c r="K708" s="234" t="n"/>
      <c r="L708" s="234" t="n"/>
      <c r="M708" s="234" t="n"/>
      <c r="N708" s="234" t="n"/>
      <c r="O708" s="235" t="n"/>
    </row>
    <row r="709" ht="18" customHeight="1" s="145">
      <c r="A709" s="233" t="n"/>
      <c r="B709" s="233" t="n"/>
      <c r="C709" s="233" t="n"/>
      <c r="D709" s="234" t="n"/>
      <c r="J709" s="234" t="n"/>
      <c r="K709" s="234" t="n"/>
      <c r="L709" s="234" t="n"/>
      <c r="M709" s="234" t="n"/>
      <c r="N709" s="234" t="n"/>
      <c r="O709" s="235" t="n"/>
    </row>
    <row r="710" ht="18" customHeight="1" s="145">
      <c r="A710" s="233" t="n"/>
      <c r="B710" s="233" t="n"/>
      <c r="C710" s="233" t="n"/>
      <c r="D710" s="234" t="n"/>
      <c r="J710" s="234" t="n"/>
      <c r="K710" s="234" t="n"/>
      <c r="L710" s="234" t="n"/>
      <c r="M710" s="234" t="n"/>
      <c r="N710" s="234" t="n"/>
      <c r="O710" s="235" t="n"/>
    </row>
    <row r="711" ht="18" customHeight="1" s="145">
      <c r="A711" s="233" t="n"/>
      <c r="B711" s="233" t="n"/>
      <c r="C711" s="233" t="n"/>
      <c r="D711" s="234" t="n"/>
      <c r="J711" s="234" t="n"/>
      <c r="K711" s="234" t="n"/>
      <c r="L711" s="234" t="n"/>
      <c r="M711" s="234" t="n"/>
      <c r="N711" s="234" t="n"/>
      <c r="O711" s="235" t="n"/>
    </row>
    <row r="712" ht="18" customHeight="1" s="145">
      <c r="A712" s="233" t="n"/>
      <c r="B712" s="233" t="n"/>
      <c r="C712" s="233" t="n"/>
      <c r="D712" s="234" t="n"/>
      <c r="J712" s="234" t="n"/>
      <c r="K712" s="234" t="n"/>
      <c r="L712" s="234" t="n"/>
      <c r="M712" s="234" t="n"/>
      <c r="N712" s="234" t="n"/>
      <c r="O712" s="235" t="n"/>
    </row>
    <row r="713" ht="18" customHeight="1" s="145">
      <c r="A713" s="233" t="n"/>
      <c r="B713" s="233" t="n"/>
      <c r="C713" s="233" t="n"/>
      <c r="D713" s="234" t="n"/>
      <c r="J713" s="234" t="n"/>
      <c r="K713" s="234" t="n"/>
      <c r="L713" s="234" t="n"/>
      <c r="M713" s="234" t="n"/>
      <c r="N713" s="234" t="n"/>
      <c r="O713" s="235" t="n"/>
    </row>
    <row r="714" ht="18" customHeight="1" s="145">
      <c r="A714" s="233" t="n"/>
      <c r="B714" s="233" t="n"/>
      <c r="C714" s="233" t="n"/>
      <c r="D714" s="234" t="n"/>
      <c r="J714" s="234" t="n"/>
      <c r="K714" s="234" t="n"/>
      <c r="L714" s="234" t="n"/>
      <c r="M714" s="234" t="n"/>
      <c r="N714" s="234" t="n"/>
      <c r="O714" s="235" t="n"/>
    </row>
    <row r="715" ht="18" customHeight="1" s="145">
      <c r="A715" s="233" t="n"/>
      <c r="B715" s="233" t="n"/>
      <c r="C715" s="233" t="n"/>
      <c r="D715" s="234" t="n"/>
      <c r="J715" s="234" t="n"/>
      <c r="K715" s="234" t="n"/>
      <c r="L715" s="234" t="n"/>
      <c r="M715" s="234" t="n"/>
      <c r="N715" s="234" t="n"/>
      <c r="O715" s="235" t="n"/>
    </row>
    <row r="716" ht="18" customHeight="1" s="145">
      <c r="A716" s="233" t="n"/>
      <c r="B716" s="233" t="n"/>
      <c r="C716" s="233" t="n"/>
      <c r="D716" s="234" t="n"/>
      <c r="J716" s="234" t="n"/>
      <c r="K716" s="234" t="n"/>
      <c r="L716" s="234" t="n"/>
      <c r="M716" s="234" t="n"/>
      <c r="N716" s="234" t="n"/>
      <c r="O716" s="235" t="n"/>
    </row>
    <row r="717" ht="18" customHeight="1" s="145">
      <c r="A717" s="233" t="n"/>
      <c r="B717" s="233" t="n"/>
      <c r="C717" s="233" t="n"/>
      <c r="D717" s="234" t="n"/>
      <c r="J717" s="234" t="n"/>
      <c r="K717" s="234" t="n"/>
      <c r="L717" s="234" t="n"/>
      <c r="M717" s="234" t="n"/>
      <c r="N717" s="234" t="n"/>
      <c r="O717" s="235" t="n"/>
    </row>
    <row r="718" ht="18" customHeight="1" s="145">
      <c r="A718" s="233" t="n"/>
      <c r="B718" s="233" t="n"/>
      <c r="C718" s="233" t="n"/>
      <c r="D718" s="234" t="n"/>
      <c r="J718" s="234" t="n"/>
      <c r="K718" s="234" t="n"/>
      <c r="L718" s="234" t="n"/>
      <c r="M718" s="234" t="n"/>
      <c r="N718" s="234" t="n"/>
      <c r="O718" s="235" t="n"/>
    </row>
    <row r="719" ht="18" customHeight="1" s="145">
      <c r="A719" s="233" t="n"/>
      <c r="B719" s="233" t="n"/>
      <c r="C719" s="233" t="n"/>
      <c r="D719" s="234" t="n"/>
      <c r="J719" s="234" t="n"/>
      <c r="K719" s="234" t="n"/>
      <c r="L719" s="234" t="n"/>
      <c r="M719" s="234" t="n"/>
      <c r="N719" s="234" t="n"/>
      <c r="O719" s="235" t="n"/>
    </row>
    <row r="720" ht="18" customHeight="1" s="145">
      <c r="A720" s="233" t="n"/>
      <c r="B720" s="233" t="n"/>
      <c r="C720" s="233" t="n"/>
      <c r="D720" s="234" t="n"/>
      <c r="J720" s="234" t="n"/>
      <c r="K720" s="234" t="n"/>
      <c r="L720" s="234" t="n"/>
      <c r="M720" s="234" t="n"/>
      <c r="N720" s="234" t="n"/>
      <c r="O720" s="235" t="n"/>
    </row>
    <row r="721" ht="18" customHeight="1" s="145">
      <c r="A721" s="233" t="n"/>
      <c r="B721" s="233" t="n"/>
      <c r="C721" s="233" t="n"/>
      <c r="D721" s="234" t="n"/>
      <c r="J721" s="234" t="n"/>
      <c r="K721" s="234" t="n"/>
      <c r="L721" s="234" t="n"/>
      <c r="M721" s="234" t="n"/>
      <c r="N721" s="234" t="n"/>
      <c r="O721" s="235" t="n"/>
    </row>
    <row r="722" ht="18" customHeight="1" s="145">
      <c r="A722" s="233" t="n"/>
      <c r="B722" s="233" t="n"/>
      <c r="C722" s="233" t="n"/>
      <c r="D722" s="234" t="n"/>
      <c r="J722" s="234" t="n"/>
      <c r="K722" s="234" t="n"/>
      <c r="L722" s="234" t="n"/>
      <c r="M722" s="234" t="n"/>
      <c r="N722" s="234" t="n"/>
      <c r="O722" s="235" t="n"/>
    </row>
    <row r="723" ht="18" customHeight="1" s="145">
      <c r="A723" s="233" t="n"/>
      <c r="B723" s="233" t="n"/>
      <c r="C723" s="233" t="n"/>
      <c r="D723" s="234" t="n"/>
      <c r="J723" s="234" t="n"/>
      <c r="K723" s="234" t="n"/>
      <c r="L723" s="234" t="n"/>
      <c r="M723" s="234" t="n"/>
      <c r="N723" s="234" t="n"/>
      <c r="O723" s="235" t="n"/>
    </row>
    <row r="724" ht="18" customHeight="1" s="145">
      <c r="A724" s="233" t="n"/>
      <c r="B724" s="233" t="n"/>
      <c r="C724" s="233" t="n"/>
      <c r="D724" s="234" t="n"/>
      <c r="J724" s="234" t="n"/>
      <c r="K724" s="234" t="n"/>
      <c r="L724" s="234" t="n"/>
      <c r="M724" s="234" t="n"/>
      <c r="N724" s="234" t="n"/>
      <c r="O724" s="235" t="n"/>
    </row>
    <row r="725" ht="18" customHeight="1" s="145">
      <c r="A725" s="233" t="n"/>
      <c r="B725" s="233" t="n"/>
      <c r="C725" s="233" t="n"/>
      <c r="D725" s="234" t="n"/>
      <c r="J725" s="234" t="n"/>
      <c r="K725" s="234" t="n"/>
      <c r="L725" s="234" t="n"/>
      <c r="M725" s="234" t="n"/>
      <c r="N725" s="234" t="n"/>
      <c r="O725" s="235" t="n"/>
    </row>
    <row r="726" ht="18" customHeight="1" s="145">
      <c r="A726" s="233" t="n"/>
      <c r="B726" s="233" t="n"/>
      <c r="C726" s="233" t="n"/>
      <c r="D726" s="234" t="n"/>
      <c r="J726" s="234" t="n"/>
      <c r="K726" s="234" t="n"/>
      <c r="L726" s="234" t="n"/>
      <c r="M726" s="234" t="n"/>
      <c r="N726" s="234" t="n"/>
      <c r="O726" s="235" t="n"/>
    </row>
    <row r="727" ht="18" customHeight="1" s="145">
      <c r="A727" s="233" t="n"/>
      <c r="B727" s="233" t="n"/>
      <c r="C727" s="233" t="n"/>
      <c r="D727" s="234" t="n"/>
      <c r="J727" s="234" t="n"/>
      <c r="K727" s="234" t="n"/>
      <c r="L727" s="234" t="n"/>
      <c r="M727" s="234" t="n"/>
      <c r="N727" s="234" t="n"/>
      <c r="O727" s="235" t="n"/>
    </row>
    <row r="728" ht="18" customHeight="1" s="145">
      <c r="A728" s="233" t="n"/>
      <c r="B728" s="233" t="n"/>
      <c r="C728" s="233" t="n"/>
      <c r="D728" s="234" t="n"/>
      <c r="J728" s="234" t="n"/>
      <c r="K728" s="234" t="n"/>
      <c r="L728" s="234" t="n"/>
      <c r="M728" s="234" t="n"/>
      <c r="N728" s="234" t="n"/>
      <c r="O728" s="235" t="n"/>
    </row>
    <row r="729" ht="18" customHeight="1" s="145">
      <c r="A729" s="233" t="n"/>
      <c r="B729" s="233" t="n"/>
      <c r="C729" s="233" t="n"/>
      <c r="D729" s="234" t="n"/>
      <c r="J729" s="234" t="n"/>
      <c r="K729" s="234" t="n"/>
      <c r="L729" s="234" t="n"/>
      <c r="M729" s="234" t="n"/>
      <c r="N729" s="234" t="n"/>
      <c r="O729" s="235" t="n"/>
    </row>
    <row r="730" ht="18" customHeight="1" s="145">
      <c r="A730" s="233" t="n"/>
      <c r="B730" s="233" t="n"/>
      <c r="C730" s="233" t="n"/>
      <c r="D730" s="234" t="n"/>
      <c r="J730" s="234" t="n"/>
      <c r="K730" s="234" t="n"/>
      <c r="L730" s="234" t="n"/>
      <c r="M730" s="234" t="n"/>
      <c r="N730" s="234" t="n"/>
      <c r="O730" s="235" t="n"/>
    </row>
    <row r="731" ht="18" customHeight="1" s="145">
      <c r="A731" s="233" t="n"/>
      <c r="B731" s="233" t="n"/>
      <c r="C731" s="233" t="n"/>
      <c r="D731" s="234" t="n"/>
      <c r="J731" s="234" t="n"/>
      <c r="K731" s="234" t="n"/>
      <c r="L731" s="234" t="n"/>
      <c r="M731" s="234" t="n"/>
      <c r="N731" s="234" t="n"/>
      <c r="O731" s="235" t="n"/>
    </row>
    <row r="732" ht="18" customHeight="1" s="145">
      <c r="A732" s="233" t="n"/>
      <c r="B732" s="233" t="n"/>
      <c r="C732" s="233" t="n"/>
      <c r="D732" s="234" t="n"/>
      <c r="J732" s="234" t="n"/>
      <c r="K732" s="234" t="n"/>
      <c r="L732" s="234" t="n"/>
      <c r="M732" s="234" t="n"/>
      <c r="N732" s="234" t="n"/>
      <c r="O732" s="235" t="n"/>
    </row>
    <row r="733" ht="18" customHeight="1" s="145">
      <c r="A733" s="233" t="n"/>
      <c r="B733" s="233" t="n"/>
      <c r="C733" s="233" t="n"/>
      <c r="D733" s="234" t="n"/>
      <c r="J733" s="234" t="n"/>
      <c r="K733" s="234" t="n"/>
      <c r="L733" s="234" t="n"/>
      <c r="M733" s="234" t="n"/>
      <c r="N733" s="234" t="n"/>
      <c r="O733" s="235" t="n"/>
    </row>
    <row r="734" ht="18" customHeight="1" s="145">
      <c r="A734" s="233" t="n"/>
      <c r="B734" s="233" t="n"/>
      <c r="C734" s="233" t="n"/>
      <c r="D734" s="234" t="n"/>
      <c r="J734" s="234" t="n"/>
      <c r="K734" s="234" t="n"/>
      <c r="L734" s="234" t="n"/>
      <c r="M734" s="234" t="n"/>
      <c r="N734" s="234" t="n"/>
      <c r="O734" s="235" t="n"/>
    </row>
    <row r="735" ht="18" customHeight="1" s="145">
      <c r="A735" s="233" t="n"/>
      <c r="B735" s="233" t="n"/>
      <c r="C735" s="233" t="n"/>
      <c r="D735" s="234" t="n"/>
      <c r="J735" s="234" t="n"/>
      <c r="K735" s="234" t="n"/>
      <c r="L735" s="234" t="n"/>
      <c r="M735" s="234" t="n"/>
      <c r="N735" s="234" t="n"/>
      <c r="O735" s="235" t="n"/>
    </row>
    <row r="736" ht="18" customHeight="1" s="145">
      <c r="A736" s="233" t="n"/>
      <c r="B736" s="233" t="n"/>
      <c r="C736" s="233" t="n"/>
      <c r="D736" s="234" t="n"/>
      <c r="J736" s="234" t="n"/>
      <c r="K736" s="234" t="n"/>
      <c r="L736" s="234" t="n"/>
      <c r="M736" s="234" t="n"/>
      <c r="N736" s="234" t="n"/>
      <c r="O736" s="235" t="n"/>
    </row>
    <row r="737" ht="18" customHeight="1" s="145">
      <c r="A737" s="233" t="n"/>
      <c r="B737" s="233" t="n"/>
      <c r="C737" s="233" t="n"/>
      <c r="D737" s="234" t="n"/>
      <c r="J737" s="234" t="n"/>
      <c r="K737" s="234" t="n"/>
      <c r="L737" s="234" t="n"/>
      <c r="M737" s="234" t="n"/>
      <c r="N737" s="234" t="n"/>
      <c r="O737" s="235" t="n"/>
    </row>
    <row r="738" ht="18" customHeight="1" s="145">
      <c r="A738" s="233" t="n"/>
      <c r="B738" s="233" t="n"/>
      <c r="C738" s="233" t="n"/>
      <c r="D738" s="234" t="n"/>
      <c r="J738" s="234" t="n"/>
      <c r="K738" s="234" t="n"/>
      <c r="L738" s="234" t="n"/>
      <c r="M738" s="234" t="n"/>
      <c r="N738" s="234" t="n"/>
      <c r="O738" s="235" t="n"/>
    </row>
    <row r="739" ht="18" customHeight="1" s="145">
      <c r="A739" s="233" t="n"/>
      <c r="B739" s="233" t="n"/>
      <c r="C739" s="233" t="n"/>
      <c r="D739" s="234" t="n"/>
      <c r="J739" s="234" t="n"/>
      <c r="K739" s="234" t="n"/>
      <c r="L739" s="234" t="n"/>
      <c r="M739" s="234" t="n"/>
      <c r="N739" s="234" t="n"/>
      <c r="O739" s="235" t="n"/>
    </row>
    <row r="740" ht="18" customHeight="1" s="145">
      <c r="A740" s="233" t="n"/>
      <c r="B740" s="233" t="n"/>
      <c r="C740" s="233" t="n"/>
      <c r="D740" s="234" t="n"/>
      <c r="J740" s="234" t="n"/>
      <c r="K740" s="234" t="n"/>
      <c r="L740" s="234" t="n"/>
      <c r="M740" s="234" t="n"/>
      <c r="N740" s="234" t="n"/>
      <c r="O740" s="235" t="n"/>
    </row>
    <row r="741" ht="18" customHeight="1" s="145">
      <c r="A741" s="233" t="n"/>
      <c r="B741" s="233" t="n"/>
      <c r="C741" s="233" t="n"/>
      <c r="D741" s="234" t="n"/>
      <c r="J741" s="234" t="n"/>
      <c r="K741" s="234" t="n"/>
      <c r="L741" s="234" t="n"/>
      <c r="M741" s="234" t="n"/>
      <c r="N741" s="234" t="n"/>
      <c r="O741" s="235" t="n"/>
    </row>
    <row r="742" ht="18" customHeight="1" s="145">
      <c r="A742" s="233" t="n"/>
      <c r="B742" s="233" t="n"/>
      <c r="C742" s="233" t="n"/>
      <c r="D742" s="234" t="n"/>
      <c r="J742" s="234" t="n"/>
      <c r="K742" s="234" t="n"/>
      <c r="L742" s="234" t="n"/>
      <c r="M742" s="234" t="n"/>
      <c r="N742" s="234" t="n"/>
      <c r="O742" s="235" t="n"/>
    </row>
    <row r="743" ht="18" customHeight="1" s="145">
      <c r="A743" s="233" t="n"/>
      <c r="B743" s="233" t="n"/>
      <c r="C743" s="233" t="n"/>
      <c r="D743" s="234" t="n"/>
      <c r="J743" s="234" t="n"/>
      <c r="K743" s="234" t="n"/>
      <c r="L743" s="234" t="n"/>
      <c r="M743" s="234" t="n"/>
      <c r="N743" s="234" t="n"/>
      <c r="O743" s="235" t="n"/>
    </row>
    <row r="744" ht="18" customHeight="1" s="145">
      <c r="A744" s="233" t="n"/>
      <c r="B744" s="233" t="n"/>
      <c r="C744" s="233" t="n"/>
      <c r="D744" s="234" t="n"/>
      <c r="J744" s="234" t="n"/>
      <c r="K744" s="234" t="n"/>
      <c r="L744" s="234" t="n"/>
      <c r="M744" s="234" t="n"/>
      <c r="N744" s="234" t="n"/>
      <c r="O744" s="235" t="n"/>
    </row>
    <row r="745" ht="18" customHeight="1" s="145">
      <c r="A745" s="233" t="n"/>
      <c r="B745" s="233" t="n"/>
      <c r="C745" s="233" t="n"/>
      <c r="D745" s="234" t="n"/>
      <c r="J745" s="234" t="n"/>
      <c r="K745" s="234" t="n"/>
      <c r="L745" s="234" t="n"/>
      <c r="M745" s="234" t="n"/>
      <c r="N745" s="234" t="n"/>
      <c r="O745" s="235" t="n"/>
    </row>
    <row r="746" ht="18" customHeight="1" s="145">
      <c r="A746" s="233" t="n"/>
      <c r="B746" s="233" t="n"/>
      <c r="C746" s="233" t="n"/>
      <c r="D746" s="234" t="n"/>
      <c r="J746" s="234" t="n"/>
      <c r="K746" s="234" t="n"/>
      <c r="L746" s="234" t="n"/>
      <c r="M746" s="234" t="n"/>
      <c r="N746" s="234" t="n"/>
      <c r="O746" s="235" t="n"/>
    </row>
    <row r="747" ht="18" customHeight="1" s="145">
      <c r="A747" s="233" t="n"/>
      <c r="B747" s="233" t="n"/>
      <c r="C747" s="233" t="n"/>
      <c r="D747" s="234" t="n"/>
      <c r="J747" s="234" t="n"/>
      <c r="K747" s="234" t="n"/>
      <c r="L747" s="234" t="n"/>
      <c r="M747" s="234" t="n"/>
      <c r="N747" s="234" t="n"/>
      <c r="O747" s="235" t="n"/>
    </row>
    <row r="748" ht="18" customHeight="1" s="145">
      <c r="A748" s="233" t="n"/>
      <c r="B748" s="233" t="n"/>
      <c r="C748" s="233" t="n"/>
      <c r="D748" s="234" t="n"/>
      <c r="J748" s="234" t="n"/>
      <c r="K748" s="234" t="n"/>
      <c r="L748" s="234" t="n"/>
      <c r="M748" s="234" t="n"/>
      <c r="N748" s="234" t="n"/>
      <c r="O748" s="235" t="n"/>
    </row>
    <row r="749" ht="18" customHeight="1" s="145">
      <c r="A749" s="233" t="n"/>
      <c r="B749" s="233" t="n"/>
      <c r="C749" s="233" t="n"/>
      <c r="D749" s="234" t="n"/>
      <c r="J749" s="234" t="n"/>
      <c r="K749" s="234" t="n"/>
      <c r="L749" s="234" t="n"/>
      <c r="M749" s="234" t="n"/>
      <c r="N749" s="234" t="n"/>
      <c r="O749" s="235" t="n"/>
    </row>
    <row r="750" ht="18" customHeight="1" s="145">
      <c r="A750" s="233" t="n"/>
      <c r="B750" s="233" t="n"/>
      <c r="C750" s="233" t="n"/>
      <c r="D750" s="234" t="n"/>
      <c r="J750" s="234" t="n"/>
      <c r="K750" s="234" t="n"/>
      <c r="L750" s="234" t="n"/>
      <c r="M750" s="234" t="n"/>
      <c r="N750" s="234" t="n"/>
      <c r="O750" s="235" t="n"/>
    </row>
    <row r="751" ht="18" customHeight="1" s="145">
      <c r="A751" s="233" t="n"/>
      <c r="B751" s="233" t="n"/>
      <c r="C751" s="233" t="n"/>
      <c r="D751" s="234" t="n"/>
      <c r="J751" s="234" t="n"/>
      <c r="K751" s="234" t="n"/>
      <c r="L751" s="234" t="n"/>
      <c r="M751" s="234" t="n"/>
      <c r="N751" s="234" t="n"/>
      <c r="O751" s="235" t="n"/>
    </row>
    <row r="752" ht="18" customHeight="1" s="145">
      <c r="A752" s="233" t="n"/>
      <c r="B752" s="233" t="n"/>
      <c r="C752" s="233" t="n"/>
      <c r="D752" s="234" t="n"/>
      <c r="J752" s="234" t="n"/>
      <c r="K752" s="234" t="n"/>
      <c r="L752" s="234" t="n"/>
      <c r="M752" s="234" t="n"/>
      <c r="N752" s="234" t="n"/>
      <c r="O752" s="235" t="n"/>
    </row>
    <row r="753" ht="18" customHeight="1" s="145">
      <c r="A753" s="233" t="n"/>
      <c r="B753" s="233" t="n"/>
      <c r="C753" s="233" t="n"/>
      <c r="D753" s="234" t="n"/>
      <c r="J753" s="234" t="n"/>
      <c r="K753" s="234" t="n"/>
      <c r="L753" s="234" t="n"/>
      <c r="M753" s="234" t="n"/>
      <c r="N753" s="234" t="n"/>
      <c r="O753" s="235" t="n"/>
    </row>
    <row r="754" ht="18" customHeight="1" s="145">
      <c r="A754" s="233" t="n"/>
      <c r="B754" s="233" t="n"/>
      <c r="C754" s="233" t="n"/>
      <c r="D754" s="234" t="n"/>
      <c r="J754" s="234" t="n"/>
      <c r="K754" s="234" t="n"/>
      <c r="L754" s="234" t="n"/>
      <c r="M754" s="234" t="n"/>
      <c r="N754" s="234" t="n"/>
      <c r="O754" s="235" t="n"/>
    </row>
    <row r="755" ht="18" customHeight="1" s="145">
      <c r="A755" s="233" t="n"/>
      <c r="B755" s="233" t="n"/>
      <c r="C755" s="233" t="n"/>
      <c r="D755" s="234" t="n"/>
      <c r="J755" s="234" t="n"/>
      <c r="K755" s="234" t="n"/>
      <c r="L755" s="234" t="n"/>
      <c r="M755" s="234" t="n"/>
      <c r="N755" s="234" t="n"/>
      <c r="O755" s="235" t="n"/>
    </row>
    <row r="756" ht="18" customHeight="1" s="145">
      <c r="A756" s="233" t="n"/>
      <c r="B756" s="233" t="n"/>
      <c r="C756" s="233" t="n"/>
      <c r="D756" s="234" t="n"/>
      <c r="J756" s="234" t="n"/>
      <c r="K756" s="234" t="n"/>
      <c r="L756" s="234" t="n"/>
      <c r="M756" s="234" t="n"/>
      <c r="N756" s="234" t="n"/>
      <c r="O756" s="235" t="n"/>
    </row>
    <row r="757" ht="18" customHeight="1" s="145">
      <c r="A757" s="233" t="n"/>
      <c r="B757" s="233" t="n"/>
      <c r="C757" s="233" t="n"/>
      <c r="D757" s="234" t="n"/>
      <c r="J757" s="234" t="n"/>
      <c r="K757" s="234" t="n"/>
      <c r="L757" s="234" t="n"/>
      <c r="M757" s="234" t="n"/>
      <c r="N757" s="234" t="n"/>
      <c r="O757" s="235" t="n"/>
    </row>
    <row r="758" ht="18" customHeight="1" s="145">
      <c r="A758" s="233" t="n"/>
      <c r="B758" s="233" t="n"/>
      <c r="C758" s="233" t="n"/>
      <c r="D758" s="234" t="n"/>
      <c r="J758" s="234" t="n"/>
      <c r="K758" s="234" t="n"/>
      <c r="L758" s="234" t="n"/>
      <c r="M758" s="234" t="n"/>
      <c r="N758" s="234" t="n"/>
      <c r="O758" s="235" t="n"/>
    </row>
    <row r="759" ht="18" customHeight="1" s="145">
      <c r="A759" s="233" t="n"/>
      <c r="B759" s="233" t="n"/>
      <c r="C759" s="233" t="n"/>
      <c r="D759" s="234" t="n"/>
      <c r="J759" s="234" t="n"/>
      <c r="K759" s="234" t="n"/>
      <c r="L759" s="234" t="n"/>
      <c r="M759" s="234" t="n"/>
      <c r="N759" s="234" t="n"/>
      <c r="O759" s="235" t="n"/>
    </row>
    <row r="760" ht="18" customHeight="1" s="145">
      <c r="A760" s="233" t="n"/>
      <c r="B760" s="233" t="n"/>
      <c r="C760" s="233" t="n"/>
      <c r="D760" s="234" t="n"/>
      <c r="J760" s="234" t="n"/>
      <c r="K760" s="234" t="n"/>
      <c r="L760" s="234" t="n"/>
      <c r="M760" s="234" t="n"/>
      <c r="N760" s="234" t="n"/>
      <c r="O760" s="235" t="n"/>
    </row>
    <row r="761" ht="18" customHeight="1" s="145">
      <c r="A761" s="233" t="n"/>
      <c r="B761" s="233" t="n"/>
      <c r="C761" s="233" t="n"/>
      <c r="D761" s="234" t="n"/>
      <c r="J761" s="234" t="n"/>
      <c r="K761" s="234" t="n"/>
      <c r="L761" s="234" t="n"/>
      <c r="M761" s="234" t="n"/>
      <c r="N761" s="234" t="n"/>
      <c r="O761" s="235" t="n"/>
    </row>
    <row r="762" ht="18" customHeight="1" s="145">
      <c r="A762" s="233" t="n"/>
      <c r="B762" s="233" t="n"/>
      <c r="C762" s="233" t="n"/>
      <c r="D762" s="234" t="n"/>
      <c r="J762" s="234" t="n"/>
      <c r="K762" s="234" t="n"/>
      <c r="L762" s="234" t="n"/>
      <c r="M762" s="234" t="n"/>
      <c r="N762" s="234" t="n"/>
      <c r="O762" s="235" t="n"/>
    </row>
    <row r="763" ht="18" customHeight="1" s="145">
      <c r="A763" s="233" t="n"/>
      <c r="B763" s="233" t="n"/>
      <c r="C763" s="233" t="n"/>
      <c r="D763" s="234" t="n"/>
      <c r="J763" s="234" t="n"/>
      <c r="K763" s="234" t="n"/>
      <c r="L763" s="234" t="n"/>
      <c r="M763" s="234" t="n"/>
      <c r="N763" s="234" t="n"/>
      <c r="O763" s="235" t="n"/>
    </row>
    <row r="764" ht="18" customHeight="1" s="145">
      <c r="A764" s="233" t="n"/>
      <c r="B764" s="233" t="n"/>
      <c r="C764" s="233" t="n"/>
      <c r="D764" s="234" t="n"/>
      <c r="J764" s="234" t="n"/>
      <c r="K764" s="234" t="n"/>
      <c r="L764" s="234" t="n"/>
      <c r="M764" s="234" t="n"/>
      <c r="N764" s="234" t="n"/>
      <c r="O764" s="235" t="n"/>
    </row>
    <row r="765" ht="18" customHeight="1" s="145">
      <c r="A765" s="233" t="n"/>
      <c r="B765" s="233" t="n"/>
      <c r="C765" s="233" t="n"/>
      <c r="D765" s="234" t="n"/>
      <c r="J765" s="234" t="n"/>
      <c r="K765" s="234" t="n"/>
      <c r="L765" s="234" t="n"/>
      <c r="M765" s="234" t="n"/>
      <c r="N765" s="234" t="n"/>
      <c r="O765" s="235" t="n"/>
    </row>
    <row r="766" ht="18" customHeight="1" s="145">
      <c r="A766" s="233" t="n"/>
      <c r="B766" s="233" t="n"/>
      <c r="C766" s="233" t="n"/>
      <c r="D766" s="234" t="n"/>
      <c r="J766" s="234" t="n"/>
      <c r="K766" s="234" t="n"/>
      <c r="L766" s="234" t="n"/>
      <c r="M766" s="234" t="n"/>
      <c r="N766" s="234" t="n"/>
      <c r="O766" s="235" t="n"/>
    </row>
    <row r="767" ht="18" customHeight="1" s="145">
      <c r="A767" s="233" t="n"/>
      <c r="B767" s="233" t="n"/>
      <c r="C767" s="233" t="n"/>
      <c r="D767" s="234" t="n"/>
      <c r="J767" s="234" t="n"/>
      <c r="K767" s="234" t="n"/>
      <c r="L767" s="234" t="n"/>
      <c r="M767" s="234" t="n"/>
      <c r="N767" s="234" t="n"/>
      <c r="O767" s="235" t="n"/>
    </row>
    <row r="768" ht="18" customHeight="1" s="145">
      <c r="A768" s="233" t="n"/>
      <c r="B768" s="233" t="n"/>
      <c r="C768" s="233" t="n"/>
      <c r="D768" s="234" t="n"/>
      <c r="J768" s="234" t="n"/>
      <c r="K768" s="234" t="n"/>
      <c r="L768" s="234" t="n"/>
      <c r="M768" s="234" t="n"/>
      <c r="N768" s="234" t="n"/>
      <c r="O768" s="235" t="n"/>
    </row>
    <row r="769" ht="18" customHeight="1" s="145">
      <c r="A769" s="233" t="n"/>
      <c r="B769" s="233" t="n"/>
      <c r="C769" s="233" t="n"/>
      <c r="D769" s="234" t="n"/>
      <c r="J769" s="234" t="n"/>
      <c r="K769" s="234" t="n"/>
      <c r="L769" s="234" t="n"/>
      <c r="M769" s="234" t="n"/>
      <c r="N769" s="234" t="n"/>
      <c r="O769" s="235" t="n"/>
    </row>
    <row r="770" ht="18" customHeight="1" s="145">
      <c r="A770" s="233" t="n"/>
      <c r="B770" s="233" t="n"/>
      <c r="C770" s="233" t="n"/>
      <c r="D770" s="234" t="n"/>
      <c r="J770" s="234" t="n"/>
      <c r="K770" s="234" t="n"/>
      <c r="L770" s="234" t="n"/>
      <c r="M770" s="234" t="n"/>
      <c r="N770" s="234" t="n"/>
      <c r="O770" s="235" t="n"/>
    </row>
    <row r="771" ht="18" customHeight="1" s="145">
      <c r="A771" s="233" t="n"/>
      <c r="B771" s="233" t="n"/>
      <c r="C771" s="233" t="n"/>
      <c r="D771" s="234" t="n"/>
      <c r="J771" s="234" t="n"/>
      <c r="K771" s="234" t="n"/>
      <c r="L771" s="234" t="n"/>
      <c r="M771" s="234" t="n"/>
      <c r="N771" s="234" t="n"/>
      <c r="O771" s="235" t="n"/>
    </row>
    <row r="772" ht="18" customHeight="1" s="145">
      <c r="A772" s="233" t="n"/>
      <c r="B772" s="233" t="n"/>
      <c r="C772" s="233" t="n"/>
      <c r="D772" s="234" t="n"/>
      <c r="J772" s="234" t="n"/>
      <c r="K772" s="234" t="n"/>
      <c r="L772" s="234" t="n"/>
      <c r="M772" s="234" t="n"/>
      <c r="N772" s="234" t="n"/>
      <c r="O772" s="235" t="n"/>
    </row>
    <row r="773" ht="18" customHeight="1" s="145">
      <c r="A773" s="233" t="n"/>
      <c r="B773" s="233" t="n"/>
      <c r="C773" s="233" t="n"/>
      <c r="D773" s="234" t="n"/>
      <c r="J773" s="234" t="n"/>
      <c r="K773" s="234" t="n"/>
      <c r="L773" s="234" t="n"/>
      <c r="M773" s="234" t="n"/>
      <c r="N773" s="234" t="n"/>
      <c r="O773" s="235" t="n"/>
    </row>
    <row r="774" ht="18" customHeight="1" s="145">
      <c r="A774" s="233" t="n"/>
      <c r="B774" s="233" t="n"/>
      <c r="C774" s="233" t="n"/>
      <c r="D774" s="234" t="n"/>
      <c r="J774" s="234" t="n"/>
      <c r="K774" s="234" t="n"/>
      <c r="L774" s="234" t="n"/>
      <c r="M774" s="234" t="n"/>
      <c r="N774" s="234" t="n"/>
      <c r="O774" s="235" t="n"/>
    </row>
    <row r="775" ht="18" customHeight="1" s="145">
      <c r="A775" s="233" t="n"/>
      <c r="B775" s="233" t="n"/>
      <c r="C775" s="233" t="n"/>
      <c r="D775" s="234" t="n"/>
      <c r="J775" s="234" t="n"/>
      <c r="K775" s="234" t="n"/>
      <c r="L775" s="234" t="n"/>
      <c r="M775" s="234" t="n"/>
      <c r="N775" s="234" t="n"/>
      <c r="O775" s="235" t="n"/>
    </row>
    <row r="776" ht="18" customHeight="1" s="145">
      <c r="A776" s="233" t="n"/>
      <c r="B776" s="233" t="n"/>
      <c r="C776" s="233" t="n"/>
      <c r="D776" s="234" t="n"/>
      <c r="J776" s="234" t="n"/>
      <c r="K776" s="234" t="n"/>
      <c r="L776" s="234" t="n"/>
      <c r="M776" s="234" t="n"/>
      <c r="N776" s="234" t="n"/>
      <c r="O776" s="235" t="n"/>
    </row>
    <row r="777" ht="18" customHeight="1" s="145">
      <c r="A777" s="233" t="n"/>
      <c r="B777" s="233" t="n"/>
      <c r="C777" s="233" t="n"/>
      <c r="D777" s="234" t="n"/>
      <c r="J777" s="234" t="n"/>
      <c r="K777" s="234" t="n"/>
      <c r="L777" s="234" t="n"/>
      <c r="M777" s="234" t="n"/>
      <c r="N777" s="234" t="n"/>
      <c r="O777" s="235" t="n"/>
    </row>
    <row r="778" ht="18" customHeight="1" s="145">
      <c r="A778" s="233" t="n"/>
      <c r="B778" s="233" t="n"/>
      <c r="C778" s="233" t="n"/>
      <c r="D778" s="234" t="n"/>
      <c r="J778" s="234" t="n"/>
      <c r="K778" s="234" t="n"/>
      <c r="L778" s="234" t="n"/>
      <c r="M778" s="234" t="n"/>
      <c r="N778" s="234" t="n"/>
      <c r="O778" s="235" t="n"/>
    </row>
    <row r="779" ht="18" customHeight="1" s="145">
      <c r="A779" s="233" t="n"/>
      <c r="B779" s="233" t="n"/>
      <c r="C779" s="233" t="n"/>
      <c r="D779" s="234" t="n"/>
      <c r="J779" s="234" t="n"/>
      <c r="K779" s="234" t="n"/>
      <c r="L779" s="234" t="n"/>
      <c r="M779" s="234" t="n"/>
      <c r="N779" s="234" t="n"/>
      <c r="O779" s="235" t="n"/>
    </row>
    <row r="780" ht="18" customHeight="1" s="145">
      <c r="A780" s="233" t="n"/>
      <c r="B780" s="233" t="n"/>
      <c r="C780" s="233" t="n"/>
      <c r="D780" s="234" t="n"/>
      <c r="J780" s="234" t="n"/>
      <c r="K780" s="234" t="n"/>
      <c r="L780" s="234" t="n"/>
      <c r="M780" s="234" t="n"/>
      <c r="N780" s="234" t="n"/>
      <c r="O780" s="235" t="n"/>
    </row>
    <row r="781" ht="18" customHeight="1" s="145">
      <c r="A781" s="233" t="n"/>
      <c r="B781" s="233" t="n"/>
      <c r="C781" s="233" t="n"/>
      <c r="D781" s="234" t="n"/>
      <c r="J781" s="234" t="n"/>
      <c r="K781" s="234" t="n"/>
      <c r="L781" s="234" t="n"/>
      <c r="M781" s="234" t="n"/>
      <c r="N781" s="234" t="n"/>
      <c r="O781" s="235" t="n"/>
    </row>
    <row r="782" ht="18" customHeight="1" s="145">
      <c r="A782" s="233" t="n"/>
      <c r="B782" s="233" t="n"/>
      <c r="C782" s="233" t="n"/>
      <c r="D782" s="234" t="n"/>
      <c r="J782" s="234" t="n"/>
      <c r="K782" s="234" t="n"/>
      <c r="L782" s="234" t="n"/>
      <c r="M782" s="234" t="n"/>
      <c r="N782" s="234" t="n"/>
      <c r="O782" s="235" t="n"/>
    </row>
    <row r="783" ht="18" customHeight="1" s="145">
      <c r="A783" s="233" t="n"/>
      <c r="B783" s="233" t="n"/>
      <c r="C783" s="233" t="n"/>
      <c r="D783" s="234" t="n"/>
      <c r="J783" s="234" t="n"/>
      <c r="K783" s="234" t="n"/>
      <c r="L783" s="234" t="n"/>
      <c r="M783" s="234" t="n"/>
      <c r="N783" s="234" t="n"/>
      <c r="O783" s="235" t="n"/>
    </row>
    <row r="784" ht="18" customHeight="1" s="145">
      <c r="A784" s="233" t="n"/>
      <c r="B784" s="233" t="n"/>
      <c r="C784" s="233" t="n"/>
      <c r="D784" s="234" t="n"/>
      <c r="J784" s="234" t="n"/>
      <c r="K784" s="234" t="n"/>
      <c r="L784" s="234" t="n"/>
      <c r="M784" s="234" t="n"/>
      <c r="N784" s="234" t="n"/>
      <c r="O784" s="235" t="n"/>
    </row>
    <row r="785" ht="18" customHeight="1" s="145">
      <c r="A785" s="233" t="n"/>
      <c r="B785" s="233" t="n"/>
      <c r="C785" s="233" t="n"/>
      <c r="D785" s="234" t="n"/>
      <c r="J785" s="234" t="n"/>
      <c r="K785" s="234" t="n"/>
      <c r="L785" s="234" t="n"/>
      <c r="M785" s="234" t="n"/>
      <c r="N785" s="234" t="n"/>
      <c r="O785" s="235" t="n"/>
    </row>
    <row r="786" ht="18" customHeight="1" s="145">
      <c r="A786" s="233" t="n"/>
      <c r="B786" s="233" t="n"/>
      <c r="C786" s="233" t="n"/>
      <c r="D786" s="234" t="n"/>
      <c r="J786" s="234" t="n"/>
      <c r="K786" s="234" t="n"/>
      <c r="L786" s="234" t="n"/>
      <c r="M786" s="234" t="n"/>
      <c r="N786" s="234" t="n"/>
      <c r="O786" s="235" t="n"/>
    </row>
    <row r="787" ht="18" customHeight="1" s="145">
      <c r="A787" s="233" t="n"/>
      <c r="B787" s="233" t="n"/>
      <c r="C787" s="233" t="n"/>
      <c r="D787" s="234" t="n"/>
      <c r="J787" s="234" t="n"/>
      <c r="K787" s="234" t="n"/>
      <c r="L787" s="234" t="n"/>
      <c r="M787" s="234" t="n"/>
      <c r="N787" s="234" t="n"/>
      <c r="O787" s="235" t="n"/>
    </row>
    <row r="788" ht="18" customHeight="1" s="145">
      <c r="A788" s="233" t="n"/>
      <c r="B788" s="233" t="n"/>
      <c r="C788" s="233" t="n"/>
      <c r="D788" s="234" t="n"/>
      <c r="J788" s="234" t="n"/>
      <c r="K788" s="234" t="n"/>
      <c r="L788" s="234" t="n"/>
      <c r="M788" s="234" t="n"/>
      <c r="N788" s="234" t="n"/>
      <c r="O788" s="235" t="n"/>
    </row>
    <row r="789" ht="18" customHeight="1" s="145">
      <c r="A789" s="233" t="n"/>
      <c r="B789" s="233" t="n"/>
      <c r="C789" s="233" t="n"/>
      <c r="D789" s="234" t="n"/>
      <c r="J789" s="234" t="n"/>
      <c r="K789" s="234" t="n"/>
      <c r="L789" s="234" t="n"/>
      <c r="M789" s="234" t="n"/>
      <c r="N789" s="234" t="n"/>
      <c r="O789" s="235" t="n"/>
    </row>
    <row r="790" ht="18" customHeight="1" s="145">
      <c r="A790" s="233" t="n"/>
      <c r="B790" s="233" t="n"/>
      <c r="C790" s="233" t="n"/>
      <c r="D790" s="234" t="n"/>
      <c r="J790" s="234" t="n"/>
      <c r="K790" s="234" t="n"/>
      <c r="L790" s="234" t="n"/>
      <c r="M790" s="234" t="n"/>
      <c r="N790" s="234" t="n"/>
      <c r="O790" s="235" t="n"/>
    </row>
    <row r="791" ht="18" customHeight="1" s="145">
      <c r="A791" s="233" t="n"/>
      <c r="B791" s="233" t="n"/>
      <c r="C791" s="233" t="n"/>
      <c r="D791" s="234" t="n"/>
      <c r="J791" s="234" t="n"/>
      <c r="K791" s="234" t="n"/>
      <c r="L791" s="234" t="n"/>
      <c r="M791" s="234" t="n"/>
      <c r="N791" s="234" t="n"/>
      <c r="O791" s="235" t="n"/>
    </row>
    <row r="792" ht="18" customHeight="1" s="145">
      <c r="A792" s="233" t="n"/>
      <c r="B792" s="233" t="n"/>
      <c r="C792" s="233" t="n"/>
      <c r="D792" s="234" t="n"/>
      <c r="J792" s="234" t="n"/>
      <c r="K792" s="234" t="n"/>
      <c r="L792" s="234" t="n"/>
      <c r="M792" s="234" t="n"/>
      <c r="N792" s="234" t="n"/>
      <c r="O792" s="235" t="n"/>
    </row>
    <row r="793" ht="18" customHeight="1" s="145">
      <c r="A793" s="233" t="n"/>
      <c r="B793" s="233" t="n"/>
      <c r="C793" s="233" t="n"/>
      <c r="D793" s="234" t="n"/>
      <c r="J793" s="234" t="n"/>
      <c r="K793" s="234" t="n"/>
      <c r="L793" s="234" t="n"/>
      <c r="M793" s="234" t="n"/>
      <c r="N793" s="234" t="n"/>
      <c r="O793" s="235" t="n"/>
    </row>
    <row r="794" ht="18" customHeight="1" s="145">
      <c r="A794" s="233" t="n"/>
      <c r="B794" s="233" t="n"/>
      <c r="C794" s="233" t="n"/>
      <c r="D794" s="234" t="n"/>
      <c r="J794" s="234" t="n"/>
      <c r="K794" s="234" t="n"/>
      <c r="L794" s="234" t="n"/>
      <c r="M794" s="234" t="n"/>
      <c r="N794" s="234" t="n"/>
      <c r="O794" s="235" t="n"/>
    </row>
    <row r="795" ht="18" customHeight="1" s="145">
      <c r="A795" s="233" t="n"/>
      <c r="B795" s="233" t="n"/>
      <c r="C795" s="233" t="n"/>
      <c r="D795" s="234" t="n"/>
      <c r="J795" s="234" t="n"/>
      <c r="K795" s="234" t="n"/>
      <c r="L795" s="234" t="n"/>
      <c r="M795" s="234" t="n"/>
      <c r="N795" s="234" t="n"/>
      <c r="O795" s="235" t="n"/>
    </row>
    <row r="796" ht="18" customHeight="1" s="145">
      <c r="A796" s="233" t="n"/>
      <c r="B796" s="233" t="n"/>
      <c r="C796" s="233" t="n"/>
      <c r="D796" s="234" t="n"/>
      <c r="J796" s="234" t="n"/>
      <c r="K796" s="234" t="n"/>
      <c r="L796" s="234" t="n"/>
      <c r="M796" s="234" t="n"/>
      <c r="N796" s="234" t="n"/>
      <c r="O796" s="235" t="n"/>
    </row>
    <row r="797" ht="18" customHeight="1" s="145">
      <c r="A797" s="233" t="n"/>
      <c r="B797" s="233" t="n"/>
      <c r="C797" s="233" t="n"/>
      <c r="D797" s="234" t="n"/>
      <c r="J797" s="234" t="n"/>
      <c r="K797" s="234" t="n"/>
      <c r="L797" s="234" t="n"/>
      <c r="M797" s="234" t="n"/>
      <c r="N797" s="234" t="n"/>
      <c r="O797" s="235" t="n"/>
    </row>
    <row r="798" ht="18" customHeight="1" s="145">
      <c r="A798" s="233" t="n"/>
      <c r="B798" s="233" t="n"/>
      <c r="C798" s="233" t="n"/>
      <c r="D798" s="234" t="n"/>
      <c r="J798" s="234" t="n"/>
      <c r="K798" s="234" t="n"/>
      <c r="L798" s="234" t="n"/>
      <c r="M798" s="234" t="n"/>
      <c r="N798" s="234" t="n"/>
      <c r="O798" s="235" t="n"/>
    </row>
    <row r="799" ht="18" customHeight="1" s="145">
      <c r="A799" s="233" t="n"/>
      <c r="B799" s="233" t="n"/>
      <c r="C799" s="233" t="n"/>
      <c r="D799" s="234" t="n"/>
      <c r="J799" s="234" t="n"/>
      <c r="K799" s="234" t="n"/>
      <c r="L799" s="234" t="n"/>
      <c r="M799" s="234" t="n"/>
      <c r="N799" s="234" t="n"/>
      <c r="O799" s="235" t="n"/>
    </row>
    <row r="800" ht="18" customHeight="1" s="145">
      <c r="A800" s="233" t="n"/>
      <c r="B800" s="233" t="n"/>
      <c r="C800" s="233" t="n"/>
      <c r="D800" s="234" t="n"/>
      <c r="J800" s="234" t="n"/>
      <c r="K800" s="234" t="n"/>
      <c r="L800" s="234" t="n"/>
      <c r="M800" s="234" t="n"/>
      <c r="N800" s="234" t="n"/>
      <c r="O800" s="235" t="n"/>
    </row>
    <row r="801" ht="18" customHeight="1" s="145">
      <c r="A801" s="233" t="n"/>
      <c r="B801" s="233" t="n"/>
      <c r="C801" s="233" t="n"/>
      <c r="D801" s="234" t="n"/>
      <c r="J801" s="234" t="n"/>
      <c r="K801" s="234" t="n"/>
      <c r="L801" s="234" t="n"/>
      <c r="M801" s="234" t="n"/>
      <c r="N801" s="234" t="n"/>
      <c r="O801" s="235" t="n"/>
    </row>
    <row r="802" ht="18" customHeight="1" s="145">
      <c r="A802" s="233" t="n"/>
      <c r="B802" s="233" t="n"/>
      <c r="C802" s="233" t="n"/>
      <c r="D802" s="234" t="n"/>
      <c r="J802" s="234" t="n"/>
      <c r="K802" s="234" t="n"/>
      <c r="L802" s="234" t="n"/>
      <c r="M802" s="234" t="n"/>
      <c r="N802" s="234" t="n"/>
      <c r="O802" s="235" t="n"/>
    </row>
    <row r="803" ht="18" customHeight="1" s="145">
      <c r="A803" s="233" t="n"/>
      <c r="B803" s="233" t="n"/>
      <c r="C803" s="233" t="n"/>
      <c r="D803" s="234" t="n"/>
      <c r="J803" s="234" t="n"/>
      <c r="K803" s="234" t="n"/>
      <c r="L803" s="234" t="n"/>
      <c r="M803" s="234" t="n"/>
      <c r="N803" s="234" t="n"/>
      <c r="O803" s="235" t="n"/>
    </row>
    <row r="804" ht="18" customHeight="1" s="145">
      <c r="A804" s="233" t="n"/>
      <c r="B804" s="233" t="n"/>
      <c r="C804" s="233" t="n"/>
      <c r="D804" s="234" t="n"/>
      <c r="J804" s="234" t="n"/>
      <c r="K804" s="234" t="n"/>
      <c r="L804" s="234" t="n"/>
      <c r="M804" s="234" t="n"/>
      <c r="N804" s="234" t="n"/>
      <c r="O804" s="235" t="n"/>
    </row>
    <row r="805" ht="18" customHeight="1" s="145">
      <c r="A805" s="233" t="n"/>
      <c r="B805" s="233" t="n"/>
      <c r="C805" s="233" t="n"/>
      <c r="D805" s="234" t="n"/>
      <c r="J805" s="234" t="n"/>
      <c r="K805" s="234" t="n"/>
      <c r="L805" s="234" t="n"/>
      <c r="M805" s="234" t="n"/>
      <c r="N805" s="234" t="n"/>
      <c r="O805" s="235" t="n"/>
    </row>
    <row r="806" ht="18" customHeight="1" s="145">
      <c r="A806" s="233" t="n"/>
      <c r="B806" s="233" t="n"/>
      <c r="C806" s="233" t="n"/>
      <c r="D806" s="234" t="n"/>
      <c r="J806" s="234" t="n"/>
      <c r="K806" s="234" t="n"/>
      <c r="L806" s="234" t="n"/>
      <c r="M806" s="234" t="n"/>
      <c r="N806" s="234" t="n"/>
      <c r="O806" s="235" t="n"/>
    </row>
    <row r="807" ht="18" customHeight="1" s="145">
      <c r="A807" s="233" t="n"/>
      <c r="B807" s="233" t="n"/>
      <c r="C807" s="233" t="n"/>
      <c r="D807" s="234" t="n"/>
      <c r="J807" s="234" t="n"/>
      <c r="K807" s="234" t="n"/>
      <c r="L807" s="234" t="n"/>
      <c r="M807" s="234" t="n"/>
      <c r="N807" s="234" t="n"/>
      <c r="O807" s="235" t="n"/>
    </row>
    <row r="808" ht="18" customHeight="1" s="145">
      <c r="A808" s="233" t="n"/>
      <c r="B808" s="233" t="n"/>
      <c r="C808" s="233" t="n"/>
      <c r="D808" s="234" t="n"/>
      <c r="J808" s="234" t="n"/>
      <c r="K808" s="234" t="n"/>
      <c r="L808" s="234" t="n"/>
      <c r="M808" s="234" t="n"/>
      <c r="N808" s="234" t="n"/>
      <c r="O808" s="235" t="n"/>
    </row>
    <row r="809" ht="18" customHeight="1" s="145">
      <c r="A809" s="233" t="n"/>
      <c r="B809" s="233" t="n"/>
      <c r="C809" s="233" t="n"/>
      <c r="D809" s="234" t="n"/>
      <c r="J809" s="234" t="n"/>
      <c r="K809" s="234" t="n"/>
      <c r="L809" s="234" t="n"/>
      <c r="M809" s="234" t="n"/>
      <c r="N809" s="234" t="n"/>
      <c r="O809" s="235" t="n"/>
    </row>
    <row r="810" ht="18" customHeight="1" s="145">
      <c r="A810" s="233" t="n"/>
      <c r="B810" s="233" t="n"/>
      <c r="C810" s="233" t="n"/>
      <c r="D810" s="234" t="n"/>
      <c r="J810" s="234" t="n"/>
      <c r="K810" s="234" t="n"/>
      <c r="L810" s="234" t="n"/>
      <c r="M810" s="234" t="n"/>
      <c r="N810" s="234" t="n"/>
      <c r="O810" s="235" t="n"/>
    </row>
    <row r="811" ht="18" customHeight="1" s="145">
      <c r="A811" s="233" t="n"/>
      <c r="B811" s="233" t="n"/>
      <c r="C811" s="233" t="n"/>
      <c r="D811" s="234" t="n"/>
      <c r="J811" s="234" t="n"/>
      <c r="K811" s="234" t="n"/>
      <c r="L811" s="234" t="n"/>
      <c r="M811" s="234" t="n"/>
      <c r="N811" s="234" t="n"/>
      <c r="O811" s="235" t="n"/>
    </row>
    <row r="812" ht="18" customHeight="1" s="145">
      <c r="A812" s="233" t="n"/>
      <c r="B812" s="233" t="n"/>
      <c r="C812" s="233" t="n"/>
      <c r="D812" s="234" t="n"/>
      <c r="J812" s="234" t="n"/>
      <c r="K812" s="234" t="n"/>
      <c r="L812" s="234" t="n"/>
      <c r="M812" s="234" t="n"/>
      <c r="N812" s="234" t="n"/>
      <c r="O812" s="235" t="n"/>
    </row>
    <row r="813" ht="18" customHeight="1" s="145">
      <c r="A813" s="233" t="n"/>
      <c r="B813" s="233" t="n"/>
      <c r="C813" s="233" t="n"/>
      <c r="D813" s="234" t="n"/>
      <c r="J813" s="234" t="n"/>
      <c r="K813" s="234" t="n"/>
      <c r="L813" s="234" t="n"/>
      <c r="M813" s="234" t="n"/>
      <c r="N813" s="234" t="n"/>
      <c r="O813" s="235" t="n"/>
    </row>
    <row r="814" ht="18" customHeight="1" s="145">
      <c r="A814" s="233" t="n"/>
      <c r="B814" s="233" t="n"/>
      <c r="C814" s="233" t="n"/>
      <c r="D814" s="234" t="n"/>
      <c r="J814" s="234" t="n"/>
      <c r="K814" s="234" t="n"/>
      <c r="L814" s="234" t="n"/>
      <c r="M814" s="234" t="n"/>
      <c r="N814" s="234" t="n"/>
      <c r="O814" s="235" t="n"/>
    </row>
    <row r="815" ht="18" customHeight="1" s="145">
      <c r="A815" s="233" t="n"/>
      <c r="B815" s="233" t="n"/>
      <c r="C815" s="233" t="n"/>
      <c r="D815" s="234" t="n"/>
      <c r="J815" s="234" t="n"/>
      <c r="K815" s="234" t="n"/>
      <c r="L815" s="234" t="n"/>
      <c r="M815" s="234" t="n"/>
      <c r="N815" s="234" t="n"/>
      <c r="O815" s="235" t="n"/>
    </row>
    <row r="816" ht="18" customHeight="1" s="145">
      <c r="A816" s="233" t="n"/>
      <c r="B816" s="233" t="n"/>
      <c r="C816" s="233" t="n"/>
      <c r="D816" s="234" t="n"/>
      <c r="J816" s="234" t="n"/>
      <c r="K816" s="234" t="n"/>
      <c r="L816" s="234" t="n"/>
      <c r="M816" s="234" t="n"/>
      <c r="N816" s="234" t="n"/>
      <c r="O816" s="235" t="n"/>
    </row>
    <row r="817" ht="18" customHeight="1" s="145">
      <c r="A817" s="233" t="n"/>
      <c r="B817" s="233" t="n"/>
      <c r="C817" s="233" t="n"/>
      <c r="D817" s="234" t="n"/>
      <c r="J817" s="234" t="n"/>
      <c r="K817" s="234" t="n"/>
      <c r="L817" s="234" t="n"/>
      <c r="M817" s="234" t="n"/>
      <c r="N817" s="234" t="n"/>
      <c r="O817" s="235" t="n"/>
    </row>
    <row r="818" ht="18" customHeight="1" s="145">
      <c r="A818" s="233" t="n"/>
      <c r="B818" s="233" t="n"/>
      <c r="C818" s="233" t="n"/>
      <c r="D818" s="234" t="n"/>
      <c r="J818" s="234" t="n"/>
      <c r="K818" s="234" t="n"/>
      <c r="L818" s="234" t="n"/>
      <c r="M818" s="234" t="n"/>
      <c r="N818" s="234" t="n"/>
      <c r="O818" s="235" t="n"/>
    </row>
    <row r="819" ht="18" customHeight="1" s="145">
      <c r="A819" s="233" t="n"/>
      <c r="B819" s="233" t="n"/>
      <c r="C819" s="233" t="n"/>
      <c r="D819" s="234" t="n"/>
      <c r="J819" s="234" t="n"/>
      <c r="K819" s="234" t="n"/>
      <c r="L819" s="234" t="n"/>
      <c r="M819" s="234" t="n"/>
      <c r="N819" s="234" t="n"/>
      <c r="O819" s="235" t="n"/>
    </row>
    <row r="820" ht="18" customHeight="1" s="145">
      <c r="A820" s="233" t="n"/>
      <c r="B820" s="233" t="n"/>
      <c r="C820" s="233" t="n"/>
      <c r="D820" s="234" t="n"/>
      <c r="J820" s="234" t="n"/>
      <c r="K820" s="234" t="n"/>
      <c r="L820" s="234" t="n"/>
      <c r="M820" s="234" t="n"/>
      <c r="N820" s="234" t="n"/>
      <c r="O820" s="235" t="n"/>
    </row>
    <row r="821" ht="18" customHeight="1" s="145">
      <c r="A821" s="233" t="n"/>
      <c r="B821" s="233" t="n"/>
      <c r="C821" s="233" t="n"/>
      <c r="D821" s="234" t="n"/>
      <c r="J821" s="234" t="n"/>
      <c r="K821" s="234" t="n"/>
      <c r="L821" s="234" t="n"/>
      <c r="M821" s="234" t="n"/>
      <c r="N821" s="234" t="n"/>
      <c r="O821" s="235" t="n"/>
    </row>
    <row r="822" ht="18" customHeight="1" s="145">
      <c r="A822" s="233" t="n"/>
      <c r="B822" s="233" t="n"/>
      <c r="C822" s="233" t="n"/>
      <c r="D822" s="234" t="n"/>
      <c r="J822" s="234" t="n"/>
      <c r="K822" s="234" t="n"/>
      <c r="L822" s="234" t="n"/>
      <c r="M822" s="234" t="n"/>
      <c r="N822" s="234" t="n"/>
      <c r="O822" s="235" t="n"/>
    </row>
    <row r="823" ht="18" customHeight="1" s="145">
      <c r="A823" s="233" t="n"/>
      <c r="B823" s="233" t="n"/>
      <c r="C823" s="233" t="n"/>
      <c r="D823" s="234" t="n"/>
      <c r="J823" s="234" t="n"/>
      <c r="K823" s="234" t="n"/>
      <c r="L823" s="234" t="n"/>
      <c r="M823" s="234" t="n"/>
      <c r="N823" s="234" t="n"/>
      <c r="O823" s="235" t="n"/>
    </row>
    <row r="824" ht="18" customHeight="1" s="145">
      <c r="A824" s="233" t="n"/>
      <c r="B824" s="233" t="n"/>
      <c r="C824" s="233" t="n"/>
      <c r="D824" s="234" t="n"/>
      <c r="J824" s="234" t="n"/>
      <c r="K824" s="234" t="n"/>
      <c r="L824" s="234" t="n"/>
      <c r="M824" s="234" t="n"/>
      <c r="N824" s="234" t="n"/>
      <c r="O824" s="235" t="n"/>
    </row>
    <row r="825" ht="18" customHeight="1" s="145">
      <c r="A825" s="233" t="n"/>
      <c r="B825" s="233" t="n"/>
      <c r="C825" s="233" t="n"/>
      <c r="D825" s="234" t="n"/>
      <c r="J825" s="234" t="n"/>
      <c r="K825" s="234" t="n"/>
      <c r="L825" s="234" t="n"/>
      <c r="M825" s="234" t="n"/>
      <c r="N825" s="234" t="n"/>
      <c r="O825" s="235" t="n"/>
    </row>
    <row r="826" ht="18" customHeight="1" s="145">
      <c r="A826" s="233" t="n"/>
      <c r="B826" s="233" t="n"/>
      <c r="C826" s="233" t="n"/>
      <c r="D826" s="234" t="n"/>
      <c r="J826" s="234" t="n"/>
      <c r="K826" s="234" t="n"/>
      <c r="L826" s="234" t="n"/>
      <c r="M826" s="234" t="n"/>
      <c r="N826" s="234" t="n"/>
      <c r="O826" s="235" t="n"/>
    </row>
    <row r="827" ht="18" customHeight="1" s="145">
      <c r="A827" s="233" t="n"/>
      <c r="B827" s="233" t="n"/>
      <c r="C827" s="233" t="n"/>
      <c r="D827" s="234" t="n"/>
      <c r="J827" s="234" t="n"/>
      <c r="K827" s="234" t="n"/>
      <c r="L827" s="234" t="n"/>
      <c r="M827" s="234" t="n"/>
      <c r="N827" s="234" t="n"/>
      <c r="O827" s="235" t="n"/>
    </row>
    <row r="828" ht="18" customHeight="1" s="145">
      <c r="A828" s="233" t="n"/>
      <c r="B828" s="233" t="n"/>
      <c r="C828" s="233" t="n"/>
      <c r="D828" s="234" t="n"/>
      <c r="J828" s="234" t="n"/>
      <c r="K828" s="234" t="n"/>
      <c r="L828" s="234" t="n"/>
      <c r="M828" s="234" t="n"/>
      <c r="N828" s="234" t="n"/>
      <c r="O828" s="235" t="n"/>
    </row>
    <row r="829" ht="18" customHeight="1" s="145">
      <c r="A829" s="233" t="n"/>
      <c r="B829" s="233" t="n"/>
      <c r="C829" s="233" t="n"/>
      <c r="D829" s="234" t="n"/>
      <c r="J829" s="234" t="n"/>
      <c r="K829" s="234" t="n"/>
      <c r="L829" s="234" t="n"/>
      <c r="M829" s="234" t="n"/>
      <c r="N829" s="234" t="n"/>
      <c r="O829" s="235" t="n"/>
    </row>
    <row r="830" ht="18" customHeight="1" s="145">
      <c r="A830" s="233" t="n"/>
      <c r="B830" s="233" t="n"/>
      <c r="C830" s="233" t="n"/>
      <c r="D830" s="234" t="n"/>
      <c r="J830" s="234" t="n"/>
      <c r="K830" s="234" t="n"/>
      <c r="L830" s="234" t="n"/>
      <c r="M830" s="234" t="n"/>
      <c r="N830" s="234" t="n"/>
      <c r="O830" s="235" t="n"/>
    </row>
    <row r="831" ht="18" customHeight="1" s="145">
      <c r="A831" s="233" t="n"/>
      <c r="B831" s="233" t="n"/>
      <c r="C831" s="233" t="n"/>
      <c r="D831" s="234" t="n"/>
      <c r="J831" s="234" t="n"/>
      <c r="K831" s="234" t="n"/>
      <c r="L831" s="234" t="n"/>
      <c r="M831" s="234" t="n"/>
      <c r="N831" s="234" t="n"/>
      <c r="O831" s="235" t="n"/>
    </row>
    <row r="832" ht="18" customHeight="1" s="145">
      <c r="A832" s="233" t="n"/>
      <c r="B832" s="233" t="n"/>
      <c r="C832" s="233" t="n"/>
      <c r="D832" s="234" t="n"/>
      <c r="J832" s="234" t="n"/>
      <c r="K832" s="234" t="n"/>
      <c r="L832" s="234" t="n"/>
      <c r="M832" s="234" t="n"/>
      <c r="N832" s="234" t="n"/>
      <c r="O832" s="235" t="n"/>
    </row>
    <row r="833" ht="18" customHeight="1" s="145">
      <c r="A833" s="233" t="n"/>
      <c r="B833" s="233" t="n"/>
      <c r="C833" s="233" t="n"/>
      <c r="D833" s="234" t="n"/>
      <c r="J833" s="234" t="n"/>
      <c r="K833" s="234" t="n"/>
      <c r="L833" s="234" t="n"/>
      <c r="M833" s="234" t="n"/>
      <c r="N833" s="234" t="n"/>
      <c r="O833" s="235" t="n"/>
    </row>
    <row r="834" ht="18" customHeight="1" s="145">
      <c r="A834" s="233" t="n"/>
      <c r="B834" s="233" t="n"/>
      <c r="C834" s="233" t="n"/>
      <c r="D834" s="234" t="n"/>
      <c r="J834" s="234" t="n"/>
      <c r="K834" s="234" t="n"/>
      <c r="L834" s="234" t="n"/>
      <c r="M834" s="234" t="n"/>
      <c r="N834" s="234" t="n"/>
      <c r="O834" s="235" t="n"/>
    </row>
    <row r="835" ht="18" customHeight="1" s="145">
      <c r="A835" s="233" t="n"/>
      <c r="B835" s="233" t="n"/>
      <c r="C835" s="233" t="n"/>
      <c r="D835" s="234" t="n"/>
      <c r="J835" s="234" t="n"/>
      <c r="K835" s="234" t="n"/>
      <c r="L835" s="234" t="n"/>
      <c r="M835" s="234" t="n"/>
      <c r="N835" s="234" t="n"/>
      <c r="O835" s="235" t="n"/>
    </row>
    <row r="836" ht="18" customHeight="1" s="145">
      <c r="A836" s="233" t="n"/>
      <c r="B836" s="233" t="n"/>
      <c r="C836" s="233" t="n"/>
      <c r="D836" s="234" t="n"/>
      <c r="J836" s="234" t="n"/>
      <c r="K836" s="234" t="n"/>
      <c r="L836" s="234" t="n"/>
      <c r="M836" s="234" t="n"/>
      <c r="N836" s="234" t="n"/>
      <c r="O836" s="235" t="n"/>
    </row>
    <row r="837" ht="18" customHeight="1" s="145">
      <c r="A837" s="233" t="n"/>
      <c r="B837" s="233" t="n"/>
      <c r="C837" s="233" t="n"/>
      <c r="D837" s="234" t="n"/>
      <c r="J837" s="234" t="n"/>
      <c r="K837" s="234" t="n"/>
      <c r="L837" s="234" t="n"/>
      <c r="M837" s="234" t="n"/>
      <c r="N837" s="234" t="n"/>
      <c r="O837" s="235" t="n"/>
    </row>
    <row r="838" ht="18" customHeight="1" s="145">
      <c r="A838" s="233" t="n"/>
      <c r="B838" s="233" t="n"/>
      <c r="C838" s="233" t="n"/>
      <c r="D838" s="234" t="n"/>
      <c r="J838" s="234" t="n"/>
      <c r="K838" s="234" t="n"/>
      <c r="L838" s="234" t="n"/>
      <c r="M838" s="234" t="n"/>
      <c r="N838" s="234" t="n"/>
      <c r="O838" s="235" t="n"/>
    </row>
    <row r="839" ht="18" customHeight="1" s="145">
      <c r="A839" s="233" t="n"/>
      <c r="B839" s="233" t="n"/>
      <c r="C839" s="233" t="n"/>
      <c r="D839" s="234" t="n"/>
      <c r="J839" s="234" t="n"/>
      <c r="K839" s="234" t="n"/>
      <c r="L839" s="234" t="n"/>
      <c r="M839" s="234" t="n"/>
      <c r="N839" s="234" t="n"/>
      <c r="O839" s="235" t="n"/>
    </row>
    <row r="840" ht="18" customHeight="1" s="145">
      <c r="A840" s="233" t="n"/>
      <c r="B840" s="233" t="n"/>
      <c r="C840" s="233" t="n"/>
      <c r="D840" s="234" t="n"/>
      <c r="J840" s="234" t="n"/>
      <c r="K840" s="234" t="n"/>
      <c r="L840" s="234" t="n"/>
      <c r="M840" s="234" t="n"/>
      <c r="N840" s="234" t="n"/>
      <c r="O840" s="235" t="n"/>
    </row>
    <row r="841" ht="18" customHeight="1" s="145">
      <c r="A841" s="233" t="n"/>
      <c r="B841" s="233" t="n"/>
      <c r="C841" s="233" t="n"/>
      <c r="D841" s="234" t="n"/>
      <c r="J841" s="234" t="n"/>
      <c r="K841" s="234" t="n"/>
      <c r="L841" s="234" t="n"/>
      <c r="M841" s="234" t="n"/>
      <c r="N841" s="234" t="n"/>
      <c r="O841" s="235" t="n"/>
    </row>
    <row r="842" ht="18" customHeight="1" s="145">
      <c r="A842" s="233" t="n"/>
      <c r="B842" s="233" t="n"/>
      <c r="C842" s="233" t="n"/>
      <c r="D842" s="234" t="n"/>
      <c r="J842" s="234" t="n"/>
      <c r="K842" s="234" t="n"/>
      <c r="L842" s="234" t="n"/>
      <c r="M842" s="234" t="n"/>
      <c r="N842" s="234" t="n"/>
      <c r="O842" s="235" t="n"/>
    </row>
    <row r="843" ht="18" customHeight="1" s="145">
      <c r="A843" s="233" t="n"/>
      <c r="B843" s="233" t="n"/>
      <c r="C843" s="233" t="n"/>
      <c r="D843" s="234" t="n"/>
      <c r="J843" s="234" t="n"/>
      <c r="K843" s="234" t="n"/>
      <c r="L843" s="234" t="n"/>
      <c r="M843" s="234" t="n"/>
      <c r="N843" s="234" t="n"/>
      <c r="O843" s="235" t="n"/>
    </row>
    <row r="844" ht="18" customHeight="1" s="145">
      <c r="A844" s="233" t="n"/>
      <c r="B844" s="233" t="n"/>
      <c r="C844" s="233" t="n"/>
      <c r="D844" s="234" t="n"/>
      <c r="J844" s="234" t="n"/>
      <c r="K844" s="234" t="n"/>
      <c r="L844" s="234" t="n"/>
      <c r="M844" s="234" t="n"/>
      <c r="N844" s="234" t="n"/>
      <c r="O844" s="235" t="n"/>
    </row>
    <row r="845" ht="18" customHeight="1" s="145">
      <c r="A845" s="233" t="n"/>
      <c r="B845" s="233" t="n"/>
      <c r="C845" s="233" t="n"/>
      <c r="D845" s="234" t="n"/>
      <c r="J845" s="234" t="n"/>
      <c r="K845" s="234" t="n"/>
      <c r="L845" s="234" t="n"/>
      <c r="M845" s="234" t="n"/>
      <c r="N845" s="234" t="n"/>
      <c r="O845" s="235" t="n"/>
    </row>
    <row r="846" ht="18" customHeight="1" s="145">
      <c r="A846" s="233" t="n"/>
      <c r="B846" s="233" t="n"/>
      <c r="C846" s="233" t="n"/>
      <c r="D846" s="234" t="n"/>
      <c r="J846" s="234" t="n"/>
      <c r="K846" s="234" t="n"/>
      <c r="L846" s="234" t="n"/>
      <c r="M846" s="234" t="n"/>
      <c r="N846" s="234" t="n"/>
      <c r="O846" s="235" t="n"/>
    </row>
    <row r="847" ht="18" customHeight="1" s="145">
      <c r="A847" s="233" t="n"/>
      <c r="B847" s="233" t="n"/>
      <c r="C847" s="233" t="n"/>
      <c r="D847" s="234" t="n"/>
      <c r="J847" s="234" t="n"/>
      <c r="K847" s="234" t="n"/>
      <c r="L847" s="234" t="n"/>
      <c r="M847" s="234" t="n"/>
      <c r="N847" s="234" t="n"/>
      <c r="O847" s="235" t="n"/>
    </row>
    <row r="848" ht="18" customHeight="1" s="145">
      <c r="A848" s="233" t="n"/>
      <c r="B848" s="233" t="n"/>
      <c r="C848" s="233" t="n"/>
      <c r="D848" s="234" t="n"/>
      <c r="J848" s="234" t="n"/>
      <c r="K848" s="234" t="n"/>
      <c r="L848" s="234" t="n"/>
      <c r="M848" s="234" t="n"/>
      <c r="N848" s="234" t="n"/>
      <c r="O848" s="235" t="n"/>
    </row>
    <row r="849" ht="18" customHeight="1" s="145">
      <c r="A849" s="233" t="n"/>
      <c r="B849" s="233" t="n"/>
      <c r="C849" s="233" t="n"/>
      <c r="D849" s="234" t="n"/>
      <c r="J849" s="234" t="n"/>
      <c r="K849" s="234" t="n"/>
      <c r="L849" s="234" t="n"/>
      <c r="M849" s="234" t="n"/>
      <c r="N849" s="234" t="n"/>
      <c r="O849" s="235" t="n"/>
    </row>
    <row r="850" ht="18" customHeight="1" s="145">
      <c r="A850" s="233" t="n"/>
      <c r="B850" s="233" t="n"/>
      <c r="C850" s="233" t="n"/>
      <c r="D850" s="234" t="n"/>
      <c r="J850" s="234" t="n"/>
      <c r="K850" s="234" t="n"/>
      <c r="L850" s="234" t="n"/>
      <c r="M850" s="234" t="n"/>
      <c r="N850" s="234" t="n"/>
      <c r="O850" s="235" t="n"/>
    </row>
    <row r="851" ht="18" customHeight="1" s="145">
      <c r="A851" s="233" t="n"/>
      <c r="B851" s="233" t="n"/>
      <c r="C851" s="233" t="n"/>
      <c r="D851" s="234" t="n"/>
      <c r="J851" s="234" t="n"/>
      <c r="K851" s="234" t="n"/>
      <c r="L851" s="234" t="n"/>
      <c r="M851" s="234" t="n"/>
      <c r="N851" s="234" t="n"/>
      <c r="O851" s="235" t="n"/>
    </row>
    <row r="852" ht="18" customHeight="1" s="145">
      <c r="A852" s="233" t="n"/>
      <c r="B852" s="233" t="n"/>
      <c r="C852" s="233" t="n"/>
      <c r="D852" s="234" t="n"/>
      <c r="J852" s="234" t="n"/>
      <c r="K852" s="234" t="n"/>
      <c r="L852" s="234" t="n"/>
      <c r="M852" s="234" t="n"/>
      <c r="N852" s="234" t="n"/>
      <c r="O852" s="235" t="n"/>
    </row>
    <row r="853" ht="18" customHeight="1" s="145">
      <c r="A853" s="233" t="n"/>
      <c r="B853" s="233" t="n"/>
      <c r="C853" s="233" t="n"/>
      <c r="D853" s="234" t="n"/>
      <c r="J853" s="234" t="n"/>
      <c r="K853" s="234" t="n"/>
      <c r="L853" s="234" t="n"/>
      <c r="M853" s="234" t="n"/>
      <c r="N853" s="234" t="n"/>
      <c r="O853" s="235" t="n"/>
    </row>
    <row r="854" ht="18" customHeight="1" s="145">
      <c r="A854" s="233" t="n"/>
      <c r="B854" s="233" t="n"/>
      <c r="C854" s="233" t="n"/>
      <c r="D854" s="234" t="n"/>
      <c r="J854" s="234" t="n"/>
      <c r="K854" s="234" t="n"/>
      <c r="L854" s="234" t="n"/>
      <c r="M854" s="234" t="n"/>
      <c r="N854" s="234" t="n"/>
      <c r="O854" s="235" t="n"/>
    </row>
    <row r="855" ht="18" customHeight="1" s="145">
      <c r="A855" s="233" t="n"/>
      <c r="B855" s="233" t="n"/>
      <c r="C855" s="233" t="n"/>
      <c r="D855" s="234" t="n"/>
      <c r="J855" s="234" t="n"/>
      <c r="K855" s="234" t="n"/>
      <c r="L855" s="234" t="n"/>
      <c r="M855" s="234" t="n"/>
      <c r="N855" s="234" t="n"/>
      <c r="O855" s="235" t="n"/>
    </row>
    <row r="856" ht="18" customHeight="1" s="145">
      <c r="A856" s="233" t="n"/>
      <c r="B856" s="233" t="n"/>
      <c r="C856" s="233" t="n"/>
      <c r="D856" s="234" t="n"/>
      <c r="J856" s="234" t="n"/>
      <c r="K856" s="234" t="n"/>
      <c r="L856" s="234" t="n"/>
      <c r="M856" s="234" t="n"/>
      <c r="N856" s="234" t="n"/>
      <c r="O856" s="235" t="n"/>
    </row>
    <row r="857" ht="18" customHeight="1" s="145">
      <c r="A857" s="233" t="n"/>
      <c r="B857" s="233" t="n"/>
      <c r="C857" s="233" t="n"/>
      <c r="D857" s="234" t="n"/>
      <c r="J857" s="234" t="n"/>
      <c r="K857" s="234" t="n"/>
      <c r="L857" s="234" t="n"/>
      <c r="M857" s="234" t="n"/>
      <c r="N857" s="234" t="n"/>
      <c r="O857" s="235" t="n"/>
    </row>
    <row r="858" ht="18" customHeight="1" s="145">
      <c r="A858" s="233" t="n"/>
      <c r="B858" s="233" t="n"/>
      <c r="C858" s="233" t="n"/>
      <c r="D858" s="234" t="n"/>
      <c r="J858" s="234" t="n"/>
      <c r="K858" s="234" t="n"/>
      <c r="L858" s="234" t="n"/>
      <c r="M858" s="234" t="n"/>
      <c r="N858" s="234" t="n"/>
      <c r="O858" s="235" t="n"/>
    </row>
    <row r="859" ht="18" customHeight="1" s="145">
      <c r="A859" s="233" t="n"/>
      <c r="B859" s="233" t="n"/>
      <c r="C859" s="233" t="n"/>
      <c r="D859" s="234" t="n"/>
      <c r="J859" s="234" t="n"/>
      <c r="K859" s="234" t="n"/>
      <c r="L859" s="234" t="n"/>
      <c r="M859" s="234" t="n"/>
      <c r="N859" s="234" t="n"/>
      <c r="O859" s="235" t="n"/>
    </row>
    <row r="860" ht="18" customHeight="1" s="145">
      <c r="A860" s="233" t="n"/>
      <c r="B860" s="233" t="n"/>
      <c r="C860" s="233" t="n"/>
      <c r="D860" s="234" t="n"/>
      <c r="J860" s="234" t="n"/>
      <c r="K860" s="234" t="n"/>
      <c r="L860" s="234" t="n"/>
      <c r="M860" s="234" t="n"/>
      <c r="N860" s="234" t="n"/>
      <c r="O860" s="235" t="n"/>
    </row>
    <row r="861" ht="18" customHeight="1" s="145">
      <c r="A861" s="233" t="n"/>
      <c r="B861" s="233" t="n"/>
      <c r="C861" s="233" t="n"/>
      <c r="D861" s="234" t="n"/>
      <c r="J861" s="234" t="n"/>
      <c r="K861" s="234" t="n"/>
      <c r="L861" s="234" t="n"/>
      <c r="M861" s="234" t="n"/>
      <c r="N861" s="234" t="n"/>
      <c r="O861" s="235" t="n"/>
    </row>
    <row r="862" ht="18" customHeight="1" s="145">
      <c r="A862" s="233" t="n"/>
      <c r="B862" s="233" t="n"/>
      <c r="C862" s="233" t="n"/>
      <c r="D862" s="234" t="n"/>
      <c r="J862" s="234" t="n"/>
      <c r="K862" s="234" t="n"/>
      <c r="L862" s="234" t="n"/>
      <c r="M862" s="234" t="n"/>
      <c r="N862" s="234" t="n"/>
      <c r="O862" s="235" t="n"/>
    </row>
    <row r="863" ht="18" customHeight="1" s="145">
      <c r="A863" s="233" t="n"/>
      <c r="B863" s="233" t="n"/>
      <c r="C863" s="233" t="n"/>
      <c r="D863" s="234" t="n"/>
      <c r="J863" s="234" t="n"/>
      <c r="K863" s="234" t="n"/>
      <c r="L863" s="234" t="n"/>
      <c r="M863" s="234" t="n"/>
      <c r="N863" s="234" t="n"/>
      <c r="O863" s="235" t="n"/>
    </row>
    <row r="864" ht="18" customHeight="1" s="145">
      <c r="A864" s="233" t="n"/>
      <c r="B864" s="233" t="n"/>
      <c r="C864" s="233" t="n"/>
      <c r="D864" s="234" t="n"/>
      <c r="J864" s="234" t="n"/>
      <c r="K864" s="234" t="n"/>
      <c r="L864" s="234" t="n"/>
      <c r="M864" s="234" t="n"/>
      <c r="N864" s="234" t="n"/>
      <c r="O864" s="235" t="n"/>
    </row>
    <row r="865" ht="18" customHeight="1" s="145">
      <c r="A865" s="233" t="n"/>
      <c r="B865" s="233" t="n"/>
      <c r="C865" s="233" t="n"/>
      <c r="D865" s="234" t="n"/>
      <c r="J865" s="234" t="n"/>
      <c r="K865" s="234" t="n"/>
      <c r="L865" s="234" t="n"/>
      <c r="M865" s="234" t="n"/>
      <c r="N865" s="234" t="n"/>
      <c r="O865" s="235" t="n"/>
    </row>
    <row r="866" ht="18" customHeight="1" s="145">
      <c r="A866" s="233" t="n"/>
      <c r="B866" s="233" t="n"/>
      <c r="C866" s="233" t="n"/>
      <c r="D866" s="234" t="n"/>
      <c r="J866" s="234" t="n"/>
      <c r="K866" s="234" t="n"/>
      <c r="L866" s="234" t="n"/>
      <c r="M866" s="234" t="n"/>
      <c r="N866" s="234" t="n"/>
      <c r="O866" s="235" t="n"/>
    </row>
    <row r="867" ht="18" customHeight="1" s="145">
      <c r="A867" s="233" t="n"/>
      <c r="B867" s="233" t="n"/>
      <c r="C867" s="233" t="n"/>
      <c r="D867" s="234" t="n"/>
      <c r="J867" s="234" t="n"/>
      <c r="K867" s="234" t="n"/>
      <c r="L867" s="234" t="n"/>
      <c r="M867" s="234" t="n"/>
      <c r="N867" s="234" t="n"/>
      <c r="O867" s="235" t="n"/>
    </row>
    <row r="868" ht="18" customHeight="1" s="145">
      <c r="A868" s="233" t="n"/>
      <c r="B868" s="233" t="n"/>
      <c r="C868" s="233" t="n"/>
      <c r="D868" s="234" t="n"/>
      <c r="J868" s="234" t="n"/>
      <c r="K868" s="234" t="n"/>
      <c r="L868" s="234" t="n"/>
      <c r="M868" s="234" t="n"/>
      <c r="N868" s="234" t="n"/>
      <c r="O868" s="235" t="n"/>
    </row>
    <row r="869" ht="18" customHeight="1" s="145">
      <c r="A869" s="233" t="n"/>
      <c r="B869" s="233" t="n"/>
      <c r="C869" s="233" t="n"/>
      <c r="D869" s="234" t="n"/>
      <c r="J869" s="234" t="n"/>
      <c r="K869" s="234" t="n"/>
      <c r="L869" s="234" t="n"/>
      <c r="M869" s="234" t="n"/>
      <c r="N869" s="234" t="n"/>
      <c r="O869" s="235" t="n"/>
    </row>
    <row r="870" ht="18" customHeight="1" s="145">
      <c r="A870" s="233" t="n"/>
      <c r="B870" s="233" t="n"/>
      <c r="C870" s="233" t="n"/>
      <c r="D870" s="234" t="n"/>
      <c r="J870" s="234" t="n"/>
      <c r="K870" s="234" t="n"/>
      <c r="L870" s="234" t="n"/>
      <c r="M870" s="234" t="n"/>
      <c r="N870" s="234" t="n"/>
      <c r="O870" s="235" t="n"/>
    </row>
    <row r="871" ht="18" customHeight="1" s="145">
      <c r="A871" s="233" t="n"/>
      <c r="B871" s="233" t="n"/>
      <c r="C871" s="233" t="n"/>
      <c r="D871" s="234" t="n"/>
      <c r="J871" s="234" t="n"/>
      <c r="K871" s="234" t="n"/>
      <c r="L871" s="234" t="n"/>
      <c r="M871" s="234" t="n"/>
      <c r="N871" s="234" t="n"/>
      <c r="O871" s="235" t="n"/>
    </row>
    <row r="872" ht="18" customHeight="1" s="145">
      <c r="A872" s="233" t="n"/>
      <c r="B872" s="233" t="n"/>
      <c r="C872" s="233" t="n"/>
      <c r="D872" s="234" t="n"/>
      <c r="J872" s="234" t="n"/>
      <c r="K872" s="234" t="n"/>
      <c r="L872" s="234" t="n"/>
      <c r="M872" s="234" t="n"/>
      <c r="N872" s="234" t="n"/>
      <c r="O872" s="235" t="n"/>
    </row>
    <row r="873" ht="18" customHeight="1" s="145">
      <c r="A873" s="233" t="n"/>
      <c r="B873" s="233" t="n"/>
      <c r="C873" s="233" t="n"/>
      <c r="D873" s="234" t="n"/>
      <c r="J873" s="234" t="n"/>
      <c r="K873" s="234" t="n"/>
      <c r="L873" s="234" t="n"/>
      <c r="M873" s="234" t="n"/>
      <c r="N873" s="234" t="n"/>
      <c r="O873" s="235" t="n"/>
    </row>
    <row r="874" ht="18" customHeight="1" s="145">
      <c r="A874" s="233" t="n"/>
      <c r="B874" s="233" t="n"/>
      <c r="C874" s="233" t="n"/>
      <c r="D874" s="234" t="n"/>
      <c r="J874" s="234" t="n"/>
      <c r="K874" s="234" t="n"/>
      <c r="L874" s="234" t="n"/>
      <c r="M874" s="234" t="n"/>
      <c r="N874" s="234" t="n"/>
      <c r="O874" s="235" t="n"/>
    </row>
    <row r="875" ht="18" customHeight="1" s="145">
      <c r="A875" s="233" t="n"/>
      <c r="B875" s="233" t="n"/>
      <c r="C875" s="233" t="n"/>
      <c r="D875" s="234" t="n"/>
      <c r="J875" s="234" t="n"/>
      <c r="K875" s="234" t="n"/>
      <c r="L875" s="234" t="n"/>
      <c r="M875" s="234" t="n"/>
      <c r="N875" s="234" t="n"/>
      <c r="O875" s="235" t="n"/>
    </row>
    <row r="876" ht="18" customHeight="1" s="145">
      <c r="A876" s="233" t="n"/>
      <c r="B876" s="233" t="n"/>
      <c r="C876" s="233" t="n"/>
      <c r="D876" s="234" t="n"/>
      <c r="J876" s="234" t="n"/>
      <c r="K876" s="234" t="n"/>
      <c r="L876" s="234" t="n"/>
      <c r="M876" s="234" t="n"/>
      <c r="N876" s="234" t="n"/>
      <c r="O876" s="235" t="n"/>
    </row>
    <row r="877" ht="18" customHeight="1" s="145">
      <c r="A877" s="233" t="n"/>
      <c r="B877" s="233" t="n"/>
      <c r="C877" s="233" t="n"/>
      <c r="D877" s="234" t="n"/>
      <c r="J877" s="234" t="n"/>
      <c r="K877" s="234" t="n"/>
      <c r="L877" s="234" t="n"/>
      <c r="M877" s="234" t="n"/>
      <c r="N877" s="234" t="n"/>
      <c r="O877" s="235" t="n"/>
    </row>
    <row r="878" ht="18" customHeight="1" s="145">
      <c r="A878" s="233" t="n"/>
      <c r="B878" s="233" t="n"/>
      <c r="C878" s="233" t="n"/>
      <c r="D878" s="234" t="n"/>
      <c r="J878" s="234" t="n"/>
      <c r="K878" s="234" t="n"/>
      <c r="L878" s="234" t="n"/>
      <c r="M878" s="234" t="n"/>
      <c r="N878" s="234" t="n"/>
      <c r="O878" s="235" t="n"/>
    </row>
    <row r="879" ht="18" customHeight="1" s="145">
      <c r="A879" s="233" t="n"/>
      <c r="B879" s="233" t="n"/>
      <c r="C879" s="233" t="n"/>
      <c r="D879" s="234" t="n"/>
      <c r="J879" s="234" t="n"/>
      <c r="K879" s="234" t="n"/>
      <c r="L879" s="234" t="n"/>
      <c r="M879" s="234" t="n"/>
      <c r="N879" s="234" t="n"/>
      <c r="O879" s="235" t="n"/>
    </row>
    <row r="880" ht="18" customHeight="1" s="145">
      <c r="A880" s="233" t="n"/>
      <c r="B880" s="233" t="n"/>
      <c r="C880" s="233" t="n"/>
      <c r="D880" s="234" t="n"/>
      <c r="J880" s="234" t="n"/>
      <c r="K880" s="234" t="n"/>
      <c r="L880" s="234" t="n"/>
      <c r="M880" s="234" t="n"/>
      <c r="N880" s="234" t="n"/>
      <c r="O880" s="235" t="n"/>
    </row>
    <row r="881" ht="18" customHeight="1" s="145">
      <c r="A881" s="233" t="n"/>
      <c r="B881" s="233" t="n"/>
      <c r="C881" s="233" t="n"/>
      <c r="D881" s="234" t="n"/>
      <c r="J881" s="234" t="n"/>
      <c r="K881" s="234" t="n"/>
      <c r="L881" s="234" t="n"/>
      <c r="M881" s="234" t="n"/>
      <c r="N881" s="234" t="n"/>
      <c r="O881" s="235" t="n"/>
    </row>
    <row r="882" ht="18" customHeight="1" s="145">
      <c r="A882" s="233" t="n"/>
      <c r="B882" s="233" t="n"/>
      <c r="C882" s="233" t="n"/>
      <c r="D882" s="234" t="n"/>
      <c r="J882" s="234" t="n"/>
      <c r="K882" s="234" t="n"/>
      <c r="L882" s="234" t="n"/>
      <c r="M882" s="234" t="n"/>
      <c r="N882" s="234" t="n"/>
      <c r="O882" s="235" t="n"/>
    </row>
    <row r="883" ht="18" customHeight="1" s="145">
      <c r="A883" s="233" t="n"/>
      <c r="B883" s="233" t="n"/>
      <c r="C883" s="233" t="n"/>
      <c r="D883" s="234" t="n"/>
      <c r="J883" s="234" t="n"/>
      <c r="K883" s="234" t="n"/>
      <c r="L883" s="234" t="n"/>
      <c r="M883" s="234" t="n"/>
      <c r="N883" s="234" t="n"/>
      <c r="O883" s="235" t="n"/>
    </row>
    <row r="884" ht="18" customHeight="1" s="145">
      <c r="A884" s="233" t="n"/>
      <c r="B884" s="233" t="n"/>
      <c r="C884" s="233" t="n"/>
      <c r="D884" s="234" t="n"/>
      <c r="J884" s="234" t="n"/>
      <c r="K884" s="234" t="n"/>
      <c r="L884" s="234" t="n"/>
      <c r="M884" s="234" t="n"/>
      <c r="N884" s="234" t="n"/>
      <c r="O884" s="235" t="n"/>
    </row>
    <row r="885" ht="18" customHeight="1" s="145">
      <c r="A885" s="233" t="n"/>
      <c r="B885" s="233" t="n"/>
      <c r="C885" s="233" t="n"/>
      <c r="D885" s="234" t="n"/>
      <c r="J885" s="234" t="n"/>
      <c r="K885" s="234" t="n"/>
      <c r="L885" s="234" t="n"/>
      <c r="M885" s="234" t="n"/>
      <c r="N885" s="234" t="n"/>
      <c r="O885" s="235" t="n"/>
    </row>
    <row r="886" ht="18" customHeight="1" s="145">
      <c r="A886" s="233" t="n"/>
      <c r="B886" s="233" t="n"/>
      <c r="C886" s="233" t="n"/>
      <c r="D886" s="234" t="n"/>
      <c r="J886" s="234" t="n"/>
      <c r="K886" s="234" t="n"/>
      <c r="L886" s="234" t="n"/>
      <c r="M886" s="234" t="n"/>
      <c r="N886" s="234" t="n"/>
      <c r="O886" s="235" t="n"/>
    </row>
    <row r="887" ht="18" customHeight="1" s="145">
      <c r="A887" s="233" t="n"/>
      <c r="B887" s="233" t="n"/>
      <c r="C887" s="233" t="n"/>
      <c r="D887" s="234" t="n"/>
      <c r="J887" s="234" t="n"/>
      <c r="K887" s="234" t="n"/>
      <c r="L887" s="234" t="n"/>
      <c r="M887" s="234" t="n"/>
      <c r="N887" s="234" t="n"/>
      <c r="O887" s="235" t="n"/>
    </row>
    <row r="888" ht="18" customHeight="1" s="145">
      <c r="A888" s="233" t="n"/>
      <c r="B888" s="233" t="n"/>
      <c r="C888" s="233" t="n"/>
      <c r="D888" s="234" t="n"/>
      <c r="J888" s="234" t="n"/>
      <c r="K888" s="234" t="n"/>
      <c r="L888" s="234" t="n"/>
      <c r="M888" s="234" t="n"/>
      <c r="N888" s="234" t="n"/>
      <c r="O888" s="235" t="n"/>
    </row>
    <row r="889" ht="18" customHeight="1" s="145">
      <c r="A889" s="233" t="n"/>
      <c r="B889" s="233" t="n"/>
      <c r="C889" s="233" t="n"/>
      <c r="D889" s="234" t="n"/>
      <c r="J889" s="234" t="n"/>
      <c r="K889" s="234" t="n"/>
      <c r="L889" s="234" t="n"/>
      <c r="M889" s="234" t="n"/>
      <c r="N889" s="234" t="n"/>
      <c r="O889" s="235" t="n"/>
    </row>
    <row r="890" ht="18" customHeight="1" s="145">
      <c r="A890" s="233" t="n"/>
      <c r="B890" s="233" t="n"/>
      <c r="C890" s="233" t="n"/>
      <c r="D890" s="234" t="n"/>
      <c r="J890" s="234" t="n"/>
      <c r="K890" s="234" t="n"/>
      <c r="L890" s="234" t="n"/>
      <c r="M890" s="234" t="n"/>
      <c r="N890" s="234" t="n"/>
      <c r="O890" s="235" t="n"/>
    </row>
    <row r="891" ht="18" customHeight="1" s="145">
      <c r="A891" s="233" t="n"/>
      <c r="B891" s="233" t="n"/>
      <c r="C891" s="233" t="n"/>
      <c r="D891" s="234" t="n"/>
      <c r="J891" s="234" t="n"/>
      <c r="K891" s="234" t="n"/>
      <c r="L891" s="234" t="n"/>
      <c r="M891" s="234" t="n"/>
      <c r="N891" s="234" t="n"/>
      <c r="O891" s="235" t="n"/>
    </row>
    <row r="892" ht="18" customHeight="1" s="145">
      <c r="A892" s="233" t="n"/>
      <c r="B892" s="233" t="n"/>
      <c r="C892" s="233" t="n"/>
      <c r="D892" s="234" t="n"/>
      <c r="J892" s="234" t="n"/>
      <c r="K892" s="234" t="n"/>
      <c r="L892" s="234" t="n"/>
      <c r="M892" s="234" t="n"/>
      <c r="N892" s="234" t="n"/>
      <c r="O892" s="235" t="n"/>
    </row>
    <row r="893" ht="18" customHeight="1" s="145">
      <c r="A893" s="233" t="n"/>
      <c r="B893" s="233" t="n"/>
      <c r="C893" s="233" t="n"/>
      <c r="D893" s="234" t="n"/>
      <c r="J893" s="234" t="n"/>
      <c r="K893" s="234" t="n"/>
      <c r="L893" s="234" t="n"/>
      <c r="M893" s="234" t="n"/>
      <c r="N893" s="234" t="n"/>
      <c r="O893" s="235" t="n"/>
    </row>
    <row r="894" ht="18" customHeight="1" s="145">
      <c r="A894" s="233" t="n"/>
      <c r="B894" s="233" t="n"/>
      <c r="C894" s="233" t="n"/>
      <c r="D894" s="234" t="n"/>
      <c r="J894" s="234" t="n"/>
      <c r="K894" s="234" t="n"/>
      <c r="L894" s="234" t="n"/>
      <c r="M894" s="234" t="n"/>
      <c r="N894" s="234" t="n"/>
      <c r="O894" s="235" t="n"/>
    </row>
    <row r="895" ht="18" customHeight="1" s="145">
      <c r="A895" s="233" t="n"/>
      <c r="B895" s="233" t="n"/>
      <c r="C895" s="233" t="n"/>
      <c r="D895" s="234" t="n"/>
      <c r="J895" s="234" t="n"/>
      <c r="K895" s="234" t="n"/>
      <c r="L895" s="234" t="n"/>
      <c r="M895" s="234" t="n"/>
      <c r="N895" s="234" t="n"/>
      <c r="O895" s="235" t="n"/>
    </row>
    <row r="896" ht="18" customHeight="1" s="145">
      <c r="A896" s="233" t="n"/>
      <c r="B896" s="233" t="n"/>
      <c r="C896" s="233" t="n"/>
      <c r="D896" s="234" t="n"/>
      <c r="J896" s="234" t="n"/>
      <c r="K896" s="234" t="n"/>
      <c r="L896" s="234" t="n"/>
      <c r="M896" s="234" t="n"/>
      <c r="N896" s="234" t="n"/>
      <c r="O896" s="235" t="n"/>
    </row>
    <row r="897" ht="18" customHeight="1" s="145">
      <c r="A897" s="233" t="n"/>
      <c r="B897" s="233" t="n"/>
      <c r="C897" s="233" t="n"/>
      <c r="D897" s="234" t="n"/>
      <c r="J897" s="234" t="n"/>
      <c r="K897" s="234" t="n"/>
      <c r="L897" s="234" t="n"/>
      <c r="M897" s="234" t="n"/>
      <c r="N897" s="234" t="n"/>
      <c r="O897" s="235" t="n"/>
    </row>
    <row r="898" ht="18" customHeight="1" s="145">
      <c r="A898" s="233" t="n"/>
      <c r="B898" s="233" t="n"/>
      <c r="C898" s="233" t="n"/>
      <c r="D898" s="234" t="n"/>
      <c r="J898" s="234" t="n"/>
      <c r="K898" s="234" t="n"/>
      <c r="L898" s="234" t="n"/>
      <c r="M898" s="234" t="n"/>
      <c r="N898" s="234" t="n"/>
      <c r="O898" s="235" t="n"/>
    </row>
    <row r="899" ht="18" customHeight="1" s="145">
      <c r="A899" s="233" t="n"/>
      <c r="B899" s="233" t="n"/>
      <c r="C899" s="233" t="n"/>
      <c r="D899" s="234" t="n"/>
      <c r="J899" s="234" t="n"/>
      <c r="K899" s="234" t="n"/>
      <c r="L899" s="234" t="n"/>
      <c r="M899" s="234" t="n"/>
      <c r="N899" s="234" t="n"/>
      <c r="O899" s="235" t="n"/>
    </row>
    <row r="900" ht="18" customHeight="1" s="145">
      <c r="A900" s="233" t="n"/>
      <c r="B900" s="233" t="n"/>
      <c r="C900" s="233" t="n"/>
      <c r="D900" s="234" t="n"/>
      <c r="J900" s="234" t="n"/>
      <c r="K900" s="234" t="n"/>
      <c r="L900" s="234" t="n"/>
      <c r="M900" s="234" t="n"/>
      <c r="N900" s="234" t="n"/>
      <c r="O900" s="235" t="n"/>
    </row>
    <row r="901" ht="18" customHeight="1" s="145">
      <c r="A901" s="233" t="n"/>
      <c r="B901" s="233" t="n"/>
      <c r="C901" s="233" t="n"/>
      <c r="D901" s="234" t="n"/>
      <c r="J901" s="234" t="n"/>
      <c r="K901" s="234" t="n"/>
      <c r="L901" s="234" t="n"/>
      <c r="M901" s="234" t="n"/>
      <c r="N901" s="234" t="n"/>
      <c r="O901" s="235" t="n"/>
    </row>
    <row r="902" ht="18" customHeight="1" s="145">
      <c r="A902" s="233" t="n"/>
      <c r="B902" s="233" t="n"/>
      <c r="C902" s="233" t="n"/>
      <c r="D902" s="234" t="n"/>
      <c r="J902" s="234" t="n"/>
      <c r="K902" s="234" t="n"/>
      <c r="L902" s="234" t="n"/>
      <c r="M902" s="234" t="n"/>
      <c r="N902" s="234" t="n"/>
      <c r="O902" s="235" t="n"/>
    </row>
    <row r="903" ht="18" customHeight="1" s="145">
      <c r="A903" s="233" t="n"/>
      <c r="B903" s="233" t="n"/>
      <c r="C903" s="233" t="n"/>
      <c r="D903" s="234" t="n"/>
      <c r="J903" s="234" t="n"/>
      <c r="K903" s="234" t="n"/>
      <c r="L903" s="234" t="n"/>
      <c r="M903" s="234" t="n"/>
      <c r="N903" s="234" t="n"/>
      <c r="O903" s="235" t="n"/>
    </row>
    <row r="904" ht="18" customHeight="1" s="145">
      <c r="A904" s="233" t="n"/>
      <c r="B904" s="233" t="n"/>
      <c r="C904" s="233" t="n"/>
      <c r="D904" s="234" t="n"/>
      <c r="J904" s="234" t="n"/>
      <c r="K904" s="234" t="n"/>
      <c r="L904" s="234" t="n"/>
      <c r="M904" s="234" t="n"/>
      <c r="N904" s="234" t="n"/>
      <c r="O904" s="235" t="n"/>
    </row>
    <row r="905" ht="18" customHeight="1" s="145">
      <c r="A905" s="233" t="n"/>
      <c r="B905" s="233" t="n"/>
      <c r="C905" s="233" t="n"/>
      <c r="D905" s="234" t="n"/>
      <c r="J905" s="234" t="n"/>
      <c r="K905" s="234" t="n"/>
      <c r="L905" s="234" t="n"/>
      <c r="M905" s="234" t="n"/>
      <c r="N905" s="234" t="n"/>
      <c r="O905" s="235" t="n"/>
    </row>
    <row r="906" ht="18" customHeight="1" s="145">
      <c r="A906" s="233" t="n"/>
      <c r="B906" s="233" t="n"/>
      <c r="C906" s="233" t="n"/>
      <c r="D906" s="234" t="n"/>
      <c r="J906" s="234" t="n"/>
      <c r="K906" s="234" t="n"/>
      <c r="L906" s="234" t="n"/>
      <c r="M906" s="234" t="n"/>
      <c r="N906" s="234" t="n"/>
      <c r="O906" s="235" t="n"/>
    </row>
    <row r="907" ht="18" customHeight="1" s="145">
      <c r="A907" s="233" t="n"/>
      <c r="B907" s="233" t="n"/>
      <c r="C907" s="233" t="n"/>
      <c r="D907" s="234" t="n"/>
      <c r="J907" s="234" t="n"/>
      <c r="K907" s="234" t="n"/>
      <c r="L907" s="234" t="n"/>
      <c r="M907" s="234" t="n"/>
      <c r="N907" s="234" t="n"/>
      <c r="O907" s="235" t="n"/>
    </row>
    <row r="908" ht="18" customHeight="1" s="145">
      <c r="A908" s="233" t="n"/>
      <c r="B908" s="233" t="n"/>
      <c r="C908" s="233" t="n"/>
      <c r="D908" s="234" t="n"/>
      <c r="J908" s="234" t="n"/>
      <c r="K908" s="234" t="n"/>
      <c r="L908" s="234" t="n"/>
      <c r="M908" s="234" t="n"/>
      <c r="N908" s="234" t="n"/>
      <c r="O908" s="235" t="n"/>
    </row>
    <row r="909" ht="18" customHeight="1" s="145">
      <c r="A909" s="233" t="n"/>
      <c r="B909" s="233" t="n"/>
      <c r="C909" s="233" t="n"/>
      <c r="D909" s="234" t="n"/>
      <c r="J909" s="234" t="n"/>
      <c r="K909" s="234" t="n"/>
      <c r="L909" s="234" t="n"/>
      <c r="M909" s="234" t="n"/>
      <c r="N909" s="234" t="n"/>
      <c r="O909" s="235" t="n"/>
    </row>
    <row r="910" ht="18" customHeight="1" s="145">
      <c r="A910" s="233" t="n"/>
      <c r="B910" s="233" t="n"/>
      <c r="C910" s="233" t="n"/>
      <c r="D910" s="234" t="n"/>
      <c r="J910" s="234" t="n"/>
      <c r="K910" s="234" t="n"/>
      <c r="L910" s="234" t="n"/>
      <c r="M910" s="234" t="n"/>
      <c r="N910" s="234" t="n"/>
      <c r="O910" s="235" t="n"/>
    </row>
    <row r="911" ht="18" customHeight="1" s="145">
      <c r="A911" s="233" t="n"/>
      <c r="B911" s="233" t="n"/>
      <c r="C911" s="233" t="n"/>
      <c r="D911" s="234" t="n"/>
      <c r="J911" s="234" t="n"/>
      <c r="K911" s="234" t="n"/>
      <c r="L911" s="234" t="n"/>
      <c r="M911" s="234" t="n"/>
      <c r="N911" s="234" t="n"/>
      <c r="O911" s="235" t="n"/>
    </row>
    <row r="912" ht="18" customHeight="1" s="145">
      <c r="A912" s="233" t="n"/>
      <c r="B912" s="233" t="n"/>
      <c r="C912" s="233" t="n"/>
      <c r="D912" s="234" t="n"/>
      <c r="J912" s="234" t="n"/>
      <c r="K912" s="234" t="n"/>
      <c r="L912" s="234" t="n"/>
      <c r="M912" s="234" t="n"/>
      <c r="N912" s="234" t="n"/>
      <c r="O912" s="235" t="n"/>
    </row>
    <row r="913" ht="18" customHeight="1" s="145">
      <c r="A913" s="233" t="n"/>
      <c r="B913" s="233" t="n"/>
      <c r="C913" s="233" t="n"/>
      <c r="D913" s="234" t="n"/>
      <c r="J913" s="234" t="n"/>
      <c r="K913" s="234" t="n"/>
      <c r="L913" s="234" t="n"/>
      <c r="M913" s="234" t="n"/>
      <c r="N913" s="234" t="n"/>
      <c r="O913" s="235" t="n"/>
    </row>
    <row r="914" ht="18" customHeight="1" s="145">
      <c r="A914" s="233" t="n"/>
      <c r="B914" s="233" t="n"/>
      <c r="C914" s="233" t="n"/>
      <c r="D914" s="234" t="n"/>
      <c r="J914" s="234" t="n"/>
      <c r="K914" s="234" t="n"/>
      <c r="L914" s="234" t="n"/>
      <c r="M914" s="234" t="n"/>
      <c r="N914" s="234" t="n"/>
      <c r="O914" s="235" t="n"/>
    </row>
    <row r="915" ht="18" customHeight="1" s="145">
      <c r="A915" s="233" t="n"/>
      <c r="B915" s="233" t="n"/>
      <c r="C915" s="233" t="n"/>
      <c r="D915" s="234" t="n"/>
      <c r="J915" s="234" t="n"/>
      <c r="K915" s="234" t="n"/>
      <c r="L915" s="234" t="n"/>
      <c r="M915" s="234" t="n"/>
      <c r="N915" s="234" t="n"/>
      <c r="O915" s="235" t="n"/>
    </row>
    <row r="916" ht="18" customHeight="1" s="145">
      <c r="A916" s="233" t="n"/>
      <c r="B916" s="233" t="n"/>
      <c r="C916" s="233" t="n"/>
      <c r="D916" s="234" t="n"/>
      <c r="J916" s="234" t="n"/>
      <c r="K916" s="234" t="n"/>
      <c r="L916" s="234" t="n"/>
      <c r="M916" s="234" t="n"/>
      <c r="N916" s="234" t="n"/>
      <c r="O916" s="235" t="n"/>
    </row>
    <row r="917" ht="18" customHeight="1" s="145">
      <c r="A917" s="233" t="n"/>
      <c r="B917" s="233" t="n"/>
      <c r="C917" s="233" t="n"/>
      <c r="D917" s="234" t="n"/>
      <c r="J917" s="234" t="n"/>
      <c r="K917" s="234" t="n"/>
      <c r="L917" s="234" t="n"/>
      <c r="M917" s="234" t="n"/>
      <c r="N917" s="234" t="n"/>
      <c r="O917" s="235" t="n"/>
    </row>
    <row r="918" ht="18" customHeight="1" s="145">
      <c r="A918" s="233" t="n"/>
      <c r="B918" s="233" t="n"/>
      <c r="C918" s="233" t="n"/>
      <c r="D918" s="234" t="n"/>
      <c r="J918" s="234" t="n"/>
      <c r="K918" s="234" t="n"/>
      <c r="L918" s="234" t="n"/>
      <c r="M918" s="234" t="n"/>
      <c r="N918" s="234" t="n"/>
      <c r="O918" s="235" t="n"/>
    </row>
    <row r="919" ht="18" customHeight="1" s="145">
      <c r="A919" s="233" t="n"/>
      <c r="B919" s="233" t="n"/>
      <c r="C919" s="233" t="n"/>
      <c r="D919" s="234" t="n"/>
      <c r="J919" s="234" t="n"/>
      <c r="K919" s="234" t="n"/>
      <c r="L919" s="234" t="n"/>
      <c r="M919" s="234" t="n"/>
      <c r="N919" s="234" t="n"/>
      <c r="O919" s="235" t="n"/>
    </row>
    <row r="920" ht="18" customHeight="1" s="145">
      <c r="A920" s="233" t="n"/>
      <c r="B920" s="233" t="n"/>
      <c r="C920" s="233" t="n"/>
      <c r="D920" s="234" t="n"/>
      <c r="J920" s="234" t="n"/>
      <c r="K920" s="234" t="n"/>
      <c r="L920" s="234" t="n"/>
      <c r="M920" s="234" t="n"/>
      <c r="N920" s="234" t="n"/>
      <c r="O920" s="235" t="n"/>
    </row>
    <row r="921" ht="18" customHeight="1" s="145">
      <c r="A921" s="233" t="n"/>
      <c r="B921" s="233" t="n"/>
      <c r="C921" s="233" t="n"/>
      <c r="D921" s="234" t="n"/>
      <c r="J921" s="234" t="n"/>
      <c r="K921" s="234" t="n"/>
      <c r="L921" s="234" t="n"/>
      <c r="M921" s="234" t="n"/>
      <c r="N921" s="234" t="n"/>
      <c r="O921" s="235" t="n"/>
    </row>
    <row r="922" ht="18" customHeight="1" s="145">
      <c r="A922" s="233" t="n"/>
      <c r="B922" s="233" t="n"/>
      <c r="C922" s="233" t="n"/>
      <c r="D922" s="234" t="n"/>
      <c r="J922" s="234" t="n"/>
      <c r="K922" s="234" t="n"/>
      <c r="L922" s="234" t="n"/>
      <c r="M922" s="234" t="n"/>
      <c r="N922" s="234" t="n"/>
      <c r="O922" s="235" t="n"/>
    </row>
    <row r="923" ht="18" customHeight="1" s="145">
      <c r="A923" s="233" t="n"/>
      <c r="B923" s="233" t="n"/>
      <c r="C923" s="233" t="n"/>
      <c r="D923" s="234" t="n"/>
      <c r="J923" s="234" t="n"/>
      <c r="K923" s="234" t="n"/>
      <c r="L923" s="234" t="n"/>
      <c r="M923" s="234" t="n"/>
      <c r="N923" s="234" t="n"/>
      <c r="O923" s="235" t="n"/>
    </row>
    <row r="924" ht="18" customHeight="1" s="145">
      <c r="A924" s="233" t="n"/>
      <c r="B924" s="233" t="n"/>
      <c r="C924" s="233" t="n"/>
      <c r="D924" s="234" t="n"/>
      <c r="J924" s="234" t="n"/>
      <c r="K924" s="234" t="n"/>
      <c r="L924" s="234" t="n"/>
      <c r="M924" s="234" t="n"/>
      <c r="N924" s="234" t="n"/>
      <c r="O924" s="235" t="n"/>
    </row>
    <row r="925" ht="18" customHeight="1" s="145">
      <c r="A925" s="233" t="n"/>
      <c r="B925" s="233" t="n"/>
      <c r="C925" s="233" t="n"/>
      <c r="D925" s="234" t="n"/>
      <c r="J925" s="234" t="n"/>
      <c r="K925" s="234" t="n"/>
      <c r="L925" s="234" t="n"/>
      <c r="M925" s="234" t="n"/>
      <c r="N925" s="234" t="n"/>
      <c r="O925" s="235" t="n"/>
    </row>
    <row r="926" ht="18" customHeight="1" s="145">
      <c r="A926" s="233" t="n"/>
      <c r="B926" s="233" t="n"/>
      <c r="C926" s="233" t="n"/>
      <c r="D926" s="234" t="n"/>
      <c r="J926" s="234" t="n"/>
      <c r="K926" s="234" t="n"/>
      <c r="L926" s="234" t="n"/>
      <c r="M926" s="234" t="n"/>
      <c r="N926" s="234" t="n"/>
      <c r="O926" s="235" t="n"/>
    </row>
    <row r="927" ht="18" customHeight="1" s="145">
      <c r="A927" s="233" t="n"/>
      <c r="B927" s="233" t="n"/>
      <c r="C927" s="233" t="n"/>
      <c r="D927" s="234" t="n"/>
      <c r="J927" s="234" t="n"/>
      <c r="K927" s="234" t="n"/>
      <c r="L927" s="234" t="n"/>
      <c r="M927" s="234" t="n"/>
      <c r="N927" s="234" t="n"/>
      <c r="O927" s="235" t="n"/>
    </row>
    <row r="928" ht="18" customHeight="1" s="145">
      <c r="A928" s="233" t="n"/>
      <c r="B928" s="233" t="n"/>
      <c r="C928" s="233" t="n"/>
      <c r="D928" s="234" t="n"/>
      <c r="J928" s="234" t="n"/>
      <c r="K928" s="234" t="n"/>
      <c r="L928" s="234" t="n"/>
      <c r="M928" s="234" t="n"/>
      <c r="N928" s="234" t="n"/>
      <c r="O928" s="235" t="n"/>
    </row>
    <row r="929" ht="18" customHeight="1" s="145">
      <c r="A929" s="233" t="n"/>
      <c r="B929" s="233" t="n"/>
      <c r="C929" s="233" t="n"/>
      <c r="D929" s="234" t="n"/>
      <c r="J929" s="234" t="n"/>
      <c r="K929" s="234" t="n"/>
      <c r="L929" s="234" t="n"/>
      <c r="M929" s="234" t="n"/>
      <c r="N929" s="234" t="n"/>
      <c r="O929" s="235" t="n"/>
    </row>
    <row r="930" ht="18" customHeight="1" s="145">
      <c r="A930" s="233" t="n"/>
      <c r="B930" s="233" t="n"/>
      <c r="C930" s="233" t="n"/>
      <c r="D930" s="234" t="n"/>
      <c r="J930" s="234" t="n"/>
      <c r="K930" s="234" t="n"/>
      <c r="L930" s="234" t="n"/>
      <c r="M930" s="234" t="n"/>
      <c r="N930" s="234" t="n"/>
      <c r="O930" s="235" t="n"/>
    </row>
    <row r="931" ht="18" customHeight="1" s="145">
      <c r="A931" s="233" t="n"/>
      <c r="B931" s="233" t="n"/>
      <c r="C931" s="233" t="n"/>
      <c r="D931" s="234" t="n"/>
      <c r="J931" s="234" t="n"/>
      <c r="K931" s="234" t="n"/>
      <c r="L931" s="234" t="n"/>
      <c r="M931" s="234" t="n"/>
      <c r="N931" s="234" t="n"/>
      <c r="O931" s="235" t="n"/>
    </row>
    <row r="932" ht="18" customHeight="1" s="145">
      <c r="A932" s="233" t="n"/>
      <c r="B932" s="233" t="n"/>
      <c r="C932" s="233" t="n"/>
      <c r="D932" s="234" t="n"/>
      <c r="J932" s="234" t="n"/>
      <c r="K932" s="234" t="n"/>
      <c r="L932" s="234" t="n"/>
      <c r="M932" s="234" t="n"/>
      <c r="N932" s="234" t="n"/>
      <c r="O932" s="235" t="n"/>
    </row>
    <row r="933" ht="18" customHeight="1" s="145">
      <c r="A933" s="233" t="n"/>
      <c r="B933" s="233" t="n"/>
      <c r="C933" s="233" t="n"/>
      <c r="D933" s="234" t="n"/>
      <c r="J933" s="234" t="n"/>
      <c r="K933" s="234" t="n"/>
      <c r="L933" s="234" t="n"/>
      <c r="M933" s="234" t="n"/>
      <c r="N933" s="234" t="n"/>
      <c r="O933" s="235" t="n"/>
    </row>
    <row r="934" ht="18" customHeight="1" s="145">
      <c r="A934" s="233" t="n"/>
      <c r="B934" s="233" t="n"/>
      <c r="C934" s="233" t="n"/>
      <c r="D934" s="234" t="n"/>
      <c r="J934" s="234" t="n"/>
      <c r="K934" s="234" t="n"/>
      <c r="L934" s="234" t="n"/>
      <c r="M934" s="234" t="n"/>
      <c r="N934" s="234" t="n"/>
      <c r="O934" s="235" t="n"/>
    </row>
    <row r="935" ht="18" customHeight="1" s="145">
      <c r="A935" s="233" t="n"/>
      <c r="B935" s="233" t="n"/>
      <c r="C935" s="233" t="n"/>
      <c r="D935" s="234" t="n"/>
      <c r="J935" s="234" t="n"/>
      <c r="K935" s="234" t="n"/>
      <c r="L935" s="234" t="n"/>
      <c r="M935" s="234" t="n"/>
      <c r="N935" s="234" t="n"/>
      <c r="O935" s="235" t="n"/>
    </row>
    <row r="936" ht="18" customHeight="1" s="145">
      <c r="A936" s="233" t="n"/>
      <c r="B936" s="233" t="n"/>
      <c r="C936" s="233" t="n"/>
      <c r="D936" s="234" t="n"/>
      <c r="J936" s="234" t="n"/>
      <c r="K936" s="234" t="n"/>
      <c r="L936" s="234" t="n"/>
      <c r="M936" s="234" t="n"/>
      <c r="N936" s="234" t="n"/>
      <c r="O936" s="235" t="n"/>
    </row>
    <row r="937" ht="18" customHeight="1" s="145">
      <c r="A937" s="233" t="n"/>
      <c r="B937" s="233" t="n"/>
      <c r="C937" s="233" t="n"/>
      <c r="D937" s="234" t="n"/>
      <c r="J937" s="234" t="n"/>
      <c r="K937" s="234" t="n"/>
      <c r="L937" s="234" t="n"/>
      <c r="M937" s="234" t="n"/>
      <c r="N937" s="234" t="n"/>
      <c r="O937" s="235" t="n"/>
    </row>
    <row r="938" ht="18" customHeight="1" s="145">
      <c r="A938" s="233" t="n"/>
      <c r="B938" s="233" t="n"/>
      <c r="C938" s="233" t="n"/>
      <c r="D938" s="234" t="n"/>
      <c r="J938" s="234" t="n"/>
      <c r="K938" s="234" t="n"/>
      <c r="L938" s="234" t="n"/>
      <c r="M938" s="234" t="n"/>
      <c r="N938" s="234" t="n"/>
      <c r="O938" s="235" t="n"/>
    </row>
    <row r="939" ht="18" customHeight="1" s="145">
      <c r="A939" s="233" t="n"/>
      <c r="B939" s="233" t="n"/>
      <c r="C939" s="233" t="n"/>
      <c r="D939" s="234" t="n"/>
      <c r="J939" s="234" t="n"/>
      <c r="K939" s="234" t="n"/>
      <c r="L939" s="234" t="n"/>
      <c r="M939" s="234" t="n"/>
      <c r="N939" s="234" t="n"/>
      <c r="O939" s="235" t="n"/>
    </row>
    <row r="940" ht="18" customHeight="1" s="145">
      <c r="A940" s="233" t="n"/>
      <c r="B940" s="233" t="n"/>
      <c r="C940" s="233" t="n"/>
      <c r="D940" s="234" t="n"/>
      <c r="J940" s="234" t="n"/>
      <c r="K940" s="234" t="n"/>
      <c r="L940" s="234" t="n"/>
      <c r="M940" s="234" t="n"/>
      <c r="N940" s="234" t="n"/>
      <c r="O940" s="235" t="n"/>
    </row>
    <row r="941" ht="18" customHeight="1" s="145">
      <c r="A941" s="233" t="n"/>
      <c r="B941" s="233" t="n"/>
      <c r="C941" s="233" t="n"/>
      <c r="D941" s="234" t="n"/>
      <c r="J941" s="234" t="n"/>
      <c r="K941" s="234" t="n"/>
      <c r="L941" s="234" t="n"/>
      <c r="M941" s="234" t="n"/>
      <c r="N941" s="234" t="n"/>
      <c r="O941" s="235" t="n"/>
    </row>
    <row r="942" ht="18" customHeight="1" s="145">
      <c r="A942" s="233" t="n"/>
      <c r="B942" s="233" t="n"/>
      <c r="C942" s="233" t="n"/>
      <c r="D942" s="234" t="n"/>
      <c r="J942" s="234" t="n"/>
      <c r="K942" s="234" t="n"/>
      <c r="L942" s="234" t="n"/>
      <c r="M942" s="234" t="n"/>
      <c r="N942" s="234" t="n"/>
      <c r="O942" s="235" t="n"/>
    </row>
    <row r="943" ht="18" customHeight="1" s="145">
      <c r="A943" s="233" t="n"/>
      <c r="B943" s="233" t="n"/>
      <c r="C943" s="233" t="n"/>
      <c r="D943" s="234" t="n"/>
      <c r="J943" s="234" t="n"/>
      <c r="K943" s="234" t="n"/>
      <c r="L943" s="234" t="n"/>
      <c r="M943" s="234" t="n"/>
      <c r="N943" s="234" t="n"/>
      <c r="O943" s="235" t="n"/>
    </row>
    <row r="944" ht="18" customHeight="1" s="145">
      <c r="A944" s="233" t="n"/>
      <c r="B944" s="233" t="n"/>
      <c r="C944" s="233" t="n"/>
      <c r="D944" s="234" t="n"/>
      <c r="J944" s="234" t="n"/>
      <c r="K944" s="234" t="n"/>
      <c r="L944" s="234" t="n"/>
      <c r="M944" s="234" t="n"/>
      <c r="N944" s="234" t="n"/>
      <c r="O944" s="235" t="n"/>
    </row>
    <row r="945" ht="18" customHeight="1" s="145">
      <c r="A945" s="233" t="n"/>
      <c r="B945" s="233" t="n"/>
      <c r="C945" s="233" t="n"/>
      <c r="D945" s="234" t="n"/>
      <c r="J945" s="234" t="n"/>
      <c r="K945" s="234" t="n"/>
      <c r="L945" s="234" t="n"/>
      <c r="M945" s="234" t="n"/>
      <c r="N945" s="234" t="n"/>
      <c r="O945" s="235" t="n"/>
    </row>
    <row r="946" ht="18" customHeight="1" s="145">
      <c r="A946" s="233" t="n"/>
      <c r="B946" s="233" t="n"/>
      <c r="C946" s="233" t="n"/>
      <c r="D946" s="234" t="n"/>
      <c r="J946" s="234" t="n"/>
      <c r="K946" s="234" t="n"/>
      <c r="L946" s="234" t="n"/>
      <c r="M946" s="234" t="n"/>
      <c r="N946" s="234" t="n"/>
      <c r="O946" s="235" t="n"/>
    </row>
    <row r="947" ht="18" customHeight="1" s="145">
      <c r="A947" s="233" t="n"/>
      <c r="B947" s="233" t="n"/>
      <c r="C947" s="233" t="n"/>
      <c r="D947" s="234" t="n"/>
      <c r="J947" s="234" t="n"/>
      <c r="K947" s="234" t="n"/>
      <c r="L947" s="234" t="n"/>
      <c r="M947" s="234" t="n"/>
      <c r="N947" s="234" t="n"/>
      <c r="O947" s="235" t="n"/>
    </row>
    <row r="948" ht="18" customHeight="1" s="145">
      <c r="A948" s="233" t="n"/>
      <c r="B948" s="233" t="n"/>
      <c r="C948" s="233" t="n"/>
      <c r="D948" s="234" t="n"/>
      <c r="J948" s="234" t="n"/>
      <c r="K948" s="234" t="n"/>
      <c r="L948" s="234" t="n"/>
      <c r="M948" s="234" t="n"/>
      <c r="N948" s="234" t="n"/>
      <c r="O948" s="235" t="n"/>
    </row>
    <row r="949" ht="18" customHeight="1" s="145">
      <c r="A949" s="233" t="n"/>
      <c r="B949" s="233" t="n"/>
      <c r="C949" s="233" t="n"/>
      <c r="D949" s="234" t="n"/>
      <c r="J949" s="234" t="n"/>
      <c r="K949" s="234" t="n"/>
      <c r="L949" s="234" t="n"/>
      <c r="M949" s="234" t="n"/>
      <c r="N949" s="234" t="n"/>
      <c r="O949" s="235" t="n"/>
    </row>
    <row r="950" ht="18" customHeight="1" s="145">
      <c r="A950" s="233" t="n"/>
      <c r="B950" s="233" t="n"/>
      <c r="C950" s="233" t="n"/>
      <c r="D950" s="234" t="n"/>
      <c r="J950" s="234" t="n"/>
      <c r="K950" s="234" t="n"/>
      <c r="L950" s="234" t="n"/>
      <c r="M950" s="234" t="n"/>
      <c r="N950" s="234" t="n"/>
      <c r="O950" s="235" t="n"/>
    </row>
    <row r="951" ht="18" customHeight="1" s="145">
      <c r="A951" s="233" t="n"/>
      <c r="B951" s="233" t="n"/>
      <c r="C951" s="233" t="n"/>
      <c r="D951" s="234" t="n"/>
      <c r="J951" s="234" t="n"/>
      <c r="K951" s="234" t="n"/>
      <c r="L951" s="234" t="n"/>
      <c r="M951" s="234" t="n"/>
      <c r="N951" s="234" t="n"/>
      <c r="O951" s="235" t="n"/>
    </row>
    <row r="952" ht="18" customHeight="1" s="145">
      <c r="A952" s="233" t="n"/>
      <c r="B952" s="233" t="n"/>
      <c r="C952" s="233" t="n"/>
      <c r="D952" s="234" t="n"/>
      <c r="J952" s="234" t="n"/>
      <c r="K952" s="234" t="n"/>
      <c r="L952" s="234" t="n"/>
      <c r="M952" s="234" t="n"/>
      <c r="N952" s="234" t="n"/>
      <c r="O952" s="235" t="n"/>
    </row>
    <row r="953" ht="18" customHeight="1" s="145">
      <c r="A953" s="233" t="n"/>
      <c r="B953" s="233" t="n"/>
      <c r="C953" s="233" t="n"/>
      <c r="D953" s="234" t="n"/>
      <c r="J953" s="234" t="n"/>
      <c r="K953" s="234" t="n"/>
      <c r="L953" s="234" t="n"/>
      <c r="M953" s="234" t="n"/>
      <c r="N953" s="234" t="n"/>
      <c r="O953" s="235" t="n"/>
    </row>
    <row r="954" ht="18" customHeight="1" s="145">
      <c r="A954" s="233" t="n"/>
      <c r="B954" s="233" t="n"/>
      <c r="C954" s="233" t="n"/>
      <c r="D954" s="234" t="n"/>
      <c r="J954" s="234" t="n"/>
      <c r="K954" s="234" t="n"/>
      <c r="L954" s="234" t="n"/>
      <c r="M954" s="234" t="n"/>
      <c r="N954" s="234" t="n"/>
      <c r="O954" s="235" t="n"/>
    </row>
    <row r="955" ht="18" customHeight="1" s="145">
      <c r="A955" s="233" t="n"/>
      <c r="B955" s="233" t="n"/>
      <c r="C955" s="233" t="n"/>
      <c r="D955" s="234" t="n"/>
      <c r="J955" s="234" t="n"/>
      <c r="K955" s="234" t="n"/>
      <c r="L955" s="234" t="n"/>
      <c r="M955" s="234" t="n"/>
      <c r="N955" s="234" t="n"/>
      <c r="O955" s="235" t="n"/>
    </row>
    <row r="956" ht="18" customHeight="1" s="145">
      <c r="A956" s="233" t="n"/>
      <c r="B956" s="233" t="n"/>
      <c r="C956" s="233" t="n"/>
      <c r="D956" s="234" t="n"/>
      <c r="J956" s="234" t="n"/>
      <c r="K956" s="234" t="n"/>
      <c r="L956" s="234" t="n"/>
      <c r="M956" s="234" t="n"/>
      <c r="N956" s="234" t="n"/>
      <c r="O956" s="235" t="n"/>
    </row>
    <row r="957" ht="18" customHeight="1" s="145">
      <c r="A957" s="233" t="n"/>
      <c r="B957" s="233" t="n"/>
      <c r="C957" s="233" t="n"/>
      <c r="D957" s="234" t="n"/>
      <c r="J957" s="234" t="n"/>
      <c r="K957" s="234" t="n"/>
      <c r="L957" s="234" t="n"/>
      <c r="M957" s="234" t="n"/>
      <c r="N957" s="234" t="n"/>
      <c r="O957" s="235" t="n"/>
    </row>
    <row r="958" ht="18" customHeight="1" s="145">
      <c r="A958" s="233" t="n"/>
      <c r="B958" s="233" t="n"/>
      <c r="C958" s="233" t="n"/>
      <c r="D958" s="234" t="n"/>
      <c r="J958" s="234" t="n"/>
      <c r="K958" s="234" t="n"/>
      <c r="L958" s="234" t="n"/>
      <c r="M958" s="234" t="n"/>
      <c r="N958" s="234" t="n"/>
      <c r="O958" s="235" t="n"/>
    </row>
    <row r="959" ht="18" customHeight="1" s="145">
      <c r="A959" s="233" t="n"/>
      <c r="B959" s="233" t="n"/>
      <c r="C959" s="233" t="n"/>
      <c r="D959" s="234" t="n"/>
      <c r="J959" s="234" t="n"/>
      <c r="K959" s="234" t="n"/>
      <c r="L959" s="234" t="n"/>
      <c r="M959" s="234" t="n"/>
      <c r="N959" s="234" t="n"/>
      <c r="O959" s="235" t="n"/>
    </row>
    <row r="960" ht="18" customHeight="1" s="145">
      <c r="A960" s="233" t="n"/>
      <c r="B960" s="233" t="n"/>
      <c r="C960" s="233" t="n"/>
      <c r="D960" s="234" t="n"/>
      <c r="J960" s="234" t="n"/>
      <c r="K960" s="234" t="n"/>
      <c r="L960" s="234" t="n"/>
      <c r="M960" s="234" t="n"/>
      <c r="N960" s="234" t="n"/>
      <c r="O960" s="235" t="n"/>
    </row>
    <row r="961" ht="18" customHeight="1" s="145">
      <c r="A961" s="233" t="n"/>
      <c r="B961" s="233" t="n"/>
      <c r="C961" s="233" t="n"/>
      <c r="D961" s="234" t="n"/>
      <c r="J961" s="234" t="n"/>
      <c r="K961" s="234" t="n"/>
      <c r="L961" s="234" t="n"/>
      <c r="M961" s="234" t="n"/>
      <c r="N961" s="234" t="n"/>
      <c r="O961" s="235" t="n"/>
    </row>
    <row r="962" ht="18" customHeight="1" s="145">
      <c r="A962" s="233" t="n"/>
      <c r="B962" s="233" t="n"/>
      <c r="C962" s="233" t="n"/>
      <c r="D962" s="234" t="n"/>
      <c r="J962" s="234" t="n"/>
      <c r="K962" s="234" t="n"/>
      <c r="L962" s="234" t="n"/>
      <c r="M962" s="234" t="n"/>
      <c r="N962" s="234" t="n"/>
      <c r="O962" s="235" t="n"/>
    </row>
    <row r="963" ht="18" customHeight="1" s="145">
      <c r="A963" s="233" t="n"/>
      <c r="B963" s="233" t="n"/>
      <c r="C963" s="233" t="n"/>
      <c r="D963" s="234" t="n"/>
      <c r="J963" s="234" t="n"/>
      <c r="K963" s="234" t="n"/>
      <c r="L963" s="234" t="n"/>
      <c r="M963" s="234" t="n"/>
      <c r="N963" s="234" t="n"/>
      <c r="O963" s="235" t="n"/>
    </row>
    <row r="964" ht="18" customHeight="1" s="145">
      <c r="A964" s="233" t="n"/>
      <c r="B964" s="233" t="n"/>
      <c r="C964" s="233" t="n"/>
      <c r="D964" s="234" t="n"/>
      <c r="J964" s="234" t="n"/>
      <c r="K964" s="234" t="n"/>
      <c r="L964" s="234" t="n"/>
      <c r="M964" s="234" t="n"/>
      <c r="N964" s="234" t="n"/>
      <c r="O964" s="235" t="n"/>
    </row>
    <row r="965" ht="18" customHeight="1" s="145">
      <c r="A965" s="233" t="n"/>
      <c r="B965" s="233" t="n"/>
      <c r="C965" s="233" t="n"/>
      <c r="D965" s="234" t="n"/>
      <c r="J965" s="234" t="n"/>
      <c r="K965" s="234" t="n"/>
      <c r="L965" s="234" t="n"/>
      <c r="M965" s="234" t="n"/>
      <c r="N965" s="234" t="n"/>
      <c r="O965" s="235" t="n"/>
    </row>
    <row r="966" ht="18" customHeight="1" s="145">
      <c r="A966" s="233" t="n"/>
      <c r="B966" s="233" t="n"/>
      <c r="C966" s="233" t="n"/>
      <c r="D966" s="234" t="n"/>
      <c r="J966" s="234" t="n"/>
      <c r="K966" s="234" t="n"/>
      <c r="L966" s="234" t="n"/>
      <c r="M966" s="234" t="n"/>
      <c r="N966" s="234" t="n"/>
      <c r="O966" s="235" t="n"/>
    </row>
    <row r="967" ht="18" customHeight="1" s="145">
      <c r="A967" s="233" t="n"/>
      <c r="B967" s="233" t="n"/>
      <c r="C967" s="233" t="n"/>
      <c r="D967" s="234" t="n"/>
      <c r="J967" s="234" t="n"/>
      <c r="K967" s="234" t="n"/>
      <c r="L967" s="234" t="n"/>
      <c r="M967" s="234" t="n"/>
      <c r="N967" s="234" t="n"/>
      <c r="O967" s="235" t="n"/>
    </row>
    <row r="968" ht="18" customHeight="1" s="145">
      <c r="A968" s="233" t="n"/>
      <c r="B968" s="233" t="n"/>
      <c r="C968" s="233" t="n"/>
      <c r="D968" s="234" t="n"/>
      <c r="J968" s="234" t="n"/>
      <c r="K968" s="234" t="n"/>
      <c r="L968" s="234" t="n"/>
      <c r="M968" s="234" t="n"/>
      <c r="N968" s="234" t="n"/>
      <c r="O968" s="235" t="n"/>
    </row>
    <row r="969" ht="18" customHeight="1" s="145">
      <c r="A969" s="233" t="n"/>
      <c r="B969" s="233" t="n"/>
      <c r="C969" s="233" t="n"/>
      <c r="D969" s="234" t="n"/>
      <c r="J969" s="234" t="n"/>
      <c r="K969" s="234" t="n"/>
      <c r="L969" s="234" t="n"/>
      <c r="M969" s="234" t="n"/>
      <c r="N969" s="234" t="n"/>
      <c r="O969" s="235" t="n"/>
    </row>
    <row r="970" ht="18" customHeight="1" s="145">
      <c r="A970" s="233" t="n"/>
      <c r="B970" s="233" t="n"/>
      <c r="C970" s="233" t="n"/>
      <c r="D970" s="234" t="n"/>
      <c r="J970" s="234" t="n"/>
      <c r="K970" s="234" t="n"/>
      <c r="L970" s="234" t="n"/>
      <c r="M970" s="234" t="n"/>
      <c r="N970" s="234" t="n"/>
      <c r="O970" s="235" t="n"/>
    </row>
    <row r="971" ht="18" customHeight="1" s="145">
      <c r="A971" s="233" t="n"/>
      <c r="B971" s="233" t="n"/>
      <c r="C971" s="233" t="n"/>
      <c r="D971" s="234" t="n"/>
      <c r="J971" s="234" t="n"/>
      <c r="K971" s="234" t="n"/>
      <c r="L971" s="234" t="n"/>
      <c r="M971" s="234" t="n"/>
      <c r="N971" s="234" t="n"/>
      <c r="O971" s="235" t="n"/>
    </row>
    <row r="972" ht="18" customHeight="1" s="145">
      <c r="A972" s="233" t="n"/>
      <c r="B972" s="233" t="n"/>
      <c r="C972" s="233" t="n"/>
      <c r="D972" s="234" t="n"/>
      <c r="J972" s="234" t="n"/>
      <c r="K972" s="234" t="n"/>
      <c r="L972" s="234" t="n"/>
      <c r="M972" s="234" t="n"/>
      <c r="N972" s="234" t="n"/>
      <c r="O972" s="235" t="n"/>
    </row>
    <row r="973" ht="18" customHeight="1" s="145">
      <c r="A973" s="233" t="n"/>
      <c r="B973" s="233" t="n"/>
      <c r="C973" s="233" t="n"/>
      <c r="D973" s="234" t="n"/>
      <c r="J973" s="234" t="n"/>
      <c r="K973" s="234" t="n"/>
      <c r="L973" s="234" t="n"/>
      <c r="M973" s="234" t="n"/>
      <c r="N973" s="234" t="n"/>
      <c r="O973" s="235" t="n"/>
    </row>
    <row r="974" ht="18" customHeight="1" s="145">
      <c r="A974" s="233" t="n"/>
      <c r="B974" s="233" t="n"/>
      <c r="C974" s="233" t="n"/>
      <c r="D974" s="234" t="n"/>
      <c r="J974" s="234" t="n"/>
      <c r="K974" s="234" t="n"/>
      <c r="L974" s="234" t="n"/>
      <c r="M974" s="234" t="n"/>
      <c r="N974" s="234" t="n"/>
      <c r="O974" s="235" t="n"/>
    </row>
    <row r="975" ht="18" customHeight="1" s="145">
      <c r="A975" s="233" t="n"/>
      <c r="B975" s="233" t="n"/>
      <c r="C975" s="233" t="n"/>
      <c r="D975" s="234" t="n"/>
      <c r="J975" s="234" t="n"/>
      <c r="K975" s="234" t="n"/>
      <c r="L975" s="234" t="n"/>
      <c r="M975" s="234" t="n"/>
      <c r="N975" s="234" t="n"/>
      <c r="O975" s="235" t="n"/>
    </row>
    <row r="976" ht="18" customHeight="1" s="145">
      <c r="A976" s="233" t="n"/>
      <c r="B976" s="233" t="n"/>
      <c r="C976" s="233" t="n"/>
      <c r="D976" s="234" t="n"/>
      <c r="J976" s="234" t="n"/>
      <c r="K976" s="234" t="n"/>
      <c r="L976" s="234" t="n"/>
      <c r="M976" s="234" t="n"/>
      <c r="N976" s="234" t="n"/>
      <c r="O976" s="235" t="n"/>
    </row>
    <row r="977" ht="18" customHeight="1" s="145">
      <c r="A977" s="233" t="n"/>
      <c r="B977" s="233" t="n"/>
      <c r="C977" s="233" t="n"/>
      <c r="D977" s="234" t="n"/>
      <c r="J977" s="234" t="n"/>
      <c r="K977" s="234" t="n"/>
      <c r="L977" s="234" t="n"/>
      <c r="M977" s="234" t="n"/>
      <c r="N977" s="234" t="n"/>
      <c r="O977" s="235" t="n"/>
    </row>
    <row r="978" ht="18" customHeight="1" s="145">
      <c r="A978" s="233" t="n"/>
      <c r="B978" s="233" t="n"/>
      <c r="C978" s="233" t="n"/>
      <c r="D978" s="234" t="n"/>
      <c r="J978" s="234" t="n"/>
      <c r="K978" s="234" t="n"/>
      <c r="L978" s="234" t="n"/>
      <c r="M978" s="234" t="n"/>
      <c r="N978" s="234" t="n"/>
      <c r="O978" s="235" t="n"/>
    </row>
    <row r="979" ht="18" customHeight="1" s="145">
      <c r="A979" s="233" t="n"/>
      <c r="B979" s="233" t="n"/>
      <c r="C979" s="233" t="n"/>
      <c r="D979" s="234" t="n"/>
      <c r="J979" s="234" t="n"/>
      <c r="K979" s="234" t="n"/>
      <c r="L979" s="234" t="n"/>
      <c r="M979" s="234" t="n"/>
      <c r="N979" s="234" t="n"/>
      <c r="O979" s="235" t="n"/>
    </row>
    <row r="980" ht="18" customHeight="1" s="145">
      <c r="A980" s="233" t="n"/>
      <c r="B980" s="233" t="n"/>
      <c r="C980" s="233" t="n"/>
      <c r="D980" s="234" t="n"/>
      <c r="J980" s="234" t="n"/>
      <c r="K980" s="234" t="n"/>
      <c r="L980" s="234" t="n"/>
      <c r="M980" s="234" t="n"/>
      <c r="N980" s="234" t="n"/>
      <c r="O980" s="235" t="n"/>
    </row>
    <row r="981" ht="18" customHeight="1" s="145">
      <c r="A981" s="233" t="n"/>
      <c r="B981" s="233" t="n"/>
      <c r="C981" s="233" t="n"/>
      <c r="D981" s="234" t="n"/>
      <c r="J981" s="234" t="n"/>
      <c r="K981" s="234" t="n"/>
      <c r="L981" s="234" t="n"/>
      <c r="M981" s="234" t="n"/>
      <c r="N981" s="234" t="n"/>
      <c r="O981" s="235" t="n"/>
    </row>
    <row r="982" ht="18" customHeight="1" s="145">
      <c r="A982" s="233" t="n"/>
      <c r="B982" s="233" t="n"/>
      <c r="C982" s="233" t="n"/>
      <c r="D982" s="234" t="n"/>
      <c r="J982" s="234" t="n"/>
      <c r="K982" s="234" t="n"/>
      <c r="L982" s="234" t="n"/>
      <c r="M982" s="234" t="n"/>
      <c r="N982" s="234" t="n"/>
      <c r="O982" s="235" t="n"/>
    </row>
    <row r="983" ht="18" customHeight="1" s="145">
      <c r="A983" s="233" t="n"/>
      <c r="B983" s="233" t="n"/>
      <c r="C983" s="233" t="n"/>
      <c r="D983" s="234" t="n"/>
      <c r="J983" s="234" t="n"/>
      <c r="K983" s="234" t="n"/>
      <c r="L983" s="234" t="n"/>
      <c r="M983" s="234" t="n"/>
      <c r="N983" s="234" t="n"/>
      <c r="O983" s="235" t="n"/>
    </row>
    <row r="984" ht="18" customHeight="1" s="145">
      <c r="A984" s="233" t="n"/>
      <c r="B984" s="233" t="n"/>
      <c r="C984" s="233" t="n"/>
      <c r="D984" s="234" t="n"/>
      <c r="J984" s="234" t="n"/>
      <c r="K984" s="234" t="n"/>
      <c r="L984" s="234" t="n"/>
      <c r="M984" s="234" t="n"/>
      <c r="N984" s="234" t="n"/>
      <c r="O984" s="235" t="n"/>
    </row>
    <row r="985" ht="18" customHeight="1" s="145">
      <c r="A985" s="233" t="n"/>
      <c r="B985" s="233" t="n"/>
      <c r="C985" s="233" t="n"/>
      <c r="D985" s="234" t="n"/>
      <c r="J985" s="234" t="n"/>
      <c r="K985" s="234" t="n"/>
      <c r="L985" s="234" t="n"/>
      <c r="M985" s="234" t="n"/>
      <c r="N985" s="234" t="n"/>
      <c r="O985" s="235" t="n"/>
    </row>
    <row r="986" ht="18" customHeight="1" s="145">
      <c r="A986" s="233" t="n"/>
      <c r="B986" s="233" t="n"/>
      <c r="C986" s="233" t="n"/>
      <c r="D986" s="234" t="n"/>
      <c r="J986" s="234" t="n"/>
      <c r="K986" s="234" t="n"/>
      <c r="L986" s="234" t="n"/>
      <c r="M986" s="234" t="n"/>
      <c r="N986" s="234" t="n"/>
      <c r="O986" s="235" t="n"/>
    </row>
    <row r="987" ht="18" customHeight="1" s="145">
      <c r="A987" s="233" t="n"/>
      <c r="B987" s="233" t="n"/>
      <c r="C987" s="233" t="n"/>
      <c r="D987" s="234" t="n"/>
      <c r="J987" s="234" t="n"/>
      <c r="K987" s="234" t="n"/>
      <c r="L987" s="234" t="n"/>
      <c r="M987" s="234" t="n"/>
      <c r="N987" s="234" t="n"/>
      <c r="O987" s="235" t="n"/>
    </row>
    <row r="988" ht="18" customHeight="1" s="145">
      <c r="A988" s="233" t="n"/>
      <c r="B988" s="233" t="n"/>
      <c r="C988" s="233" t="n"/>
      <c r="D988" s="234" t="n"/>
      <c r="J988" s="234" t="n"/>
      <c r="K988" s="234" t="n"/>
      <c r="L988" s="234" t="n"/>
      <c r="M988" s="234" t="n"/>
      <c r="N988" s="234" t="n"/>
      <c r="O988" s="235" t="n"/>
    </row>
    <row r="989" ht="18" customHeight="1" s="145">
      <c r="A989" s="233" t="n"/>
      <c r="B989" s="233" t="n"/>
      <c r="C989" s="233" t="n"/>
      <c r="D989" s="234" t="n"/>
      <c r="J989" s="234" t="n"/>
      <c r="K989" s="234" t="n"/>
      <c r="L989" s="234" t="n"/>
      <c r="M989" s="234" t="n"/>
      <c r="N989" s="234" t="n"/>
      <c r="O989" s="235" t="n"/>
    </row>
    <row r="990" ht="18" customHeight="1" s="145">
      <c r="A990" s="233" t="n"/>
      <c r="B990" s="233" t="n"/>
      <c r="C990" s="233" t="n"/>
      <c r="D990" s="234" t="n"/>
      <c r="J990" s="234" t="n"/>
      <c r="K990" s="234" t="n"/>
      <c r="L990" s="234" t="n"/>
      <c r="M990" s="234" t="n"/>
      <c r="N990" s="234" t="n"/>
      <c r="O990" s="235" t="n"/>
    </row>
    <row r="991" ht="18" customHeight="1" s="145">
      <c r="A991" s="233" t="n"/>
      <c r="B991" s="233" t="n"/>
      <c r="C991" s="233" t="n"/>
      <c r="D991" s="234" t="n"/>
      <c r="J991" s="234" t="n"/>
      <c r="K991" s="234" t="n"/>
      <c r="L991" s="234" t="n"/>
      <c r="M991" s="234" t="n"/>
      <c r="N991" s="234" t="n"/>
      <c r="O991" s="235" t="n"/>
    </row>
    <row r="992" ht="18" customHeight="1" s="145">
      <c r="A992" s="233" t="n"/>
      <c r="B992" s="233" t="n"/>
      <c r="C992" s="233" t="n"/>
      <c r="D992" s="234" t="n"/>
      <c r="J992" s="234" t="n"/>
      <c r="K992" s="234" t="n"/>
      <c r="L992" s="234" t="n"/>
      <c r="M992" s="234" t="n"/>
      <c r="N992" s="234" t="n"/>
      <c r="O992" s="235" t="n"/>
    </row>
    <row r="993" ht="18" customHeight="1" s="145">
      <c r="A993" s="233" t="n"/>
      <c r="B993" s="233" t="n"/>
      <c r="C993" s="233" t="n"/>
      <c r="D993" s="234" t="n"/>
      <c r="J993" s="234" t="n"/>
      <c r="K993" s="234" t="n"/>
      <c r="L993" s="234" t="n"/>
      <c r="M993" s="234" t="n"/>
      <c r="N993" s="234" t="n"/>
      <c r="O993" s="235" t="n"/>
    </row>
    <row r="994" ht="18" customHeight="1" s="145">
      <c r="A994" s="233" t="n"/>
      <c r="B994" s="233" t="n"/>
      <c r="C994" s="233" t="n"/>
      <c r="D994" s="234" t="n"/>
      <c r="J994" s="234" t="n"/>
      <c r="K994" s="234" t="n"/>
      <c r="L994" s="234" t="n"/>
      <c r="M994" s="234" t="n"/>
      <c r="N994" s="234" t="n"/>
      <c r="O994" s="235" t="n"/>
    </row>
    <row r="995" ht="18" customHeight="1" s="145">
      <c r="A995" s="233" t="n"/>
      <c r="B995" s="233" t="n"/>
      <c r="C995" s="233" t="n"/>
      <c r="D995" s="234" t="n"/>
      <c r="J995" s="234" t="n"/>
      <c r="K995" s="234" t="n"/>
      <c r="L995" s="234" t="n"/>
      <c r="M995" s="234" t="n"/>
      <c r="N995" s="234" t="n"/>
      <c r="O995" s="235" t="n"/>
    </row>
    <row r="996" ht="18" customHeight="1" s="145">
      <c r="A996" s="233" t="n"/>
      <c r="B996" s="233" t="n"/>
      <c r="C996" s="233" t="n"/>
      <c r="D996" s="234" t="n"/>
      <c r="J996" s="234" t="n"/>
      <c r="K996" s="234" t="n"/>
      <c r="L996" s="234" t="n"/>
      <c r="M996" s="234" t="n"/>
      <c r="N996" s="234" t="n"/>
      <c r="O996" s="235" t="n"/>
    </row>
    <row r="997" ht="18" customHeight="1" s="145">
      <c r="A997" s="233" t="n"/>
      <c r="B997" s="233" t="n"/>
      <c r="C997" s="233" t="n"/>
      <c r="D997" s="234" t="n"/>
      <c r="J997" s="234" t="n"/>
      <c r="K997" s="234" t="n"/>
      <c r="L997" s="234" t="n"/>
      <c r="M997" s="234" t="n"/>
      <c r="N997" s="234" t="n"/>
      <c r="O997" s="235" t="n"/>
    </row>
    <row r="998" ht="18" customHeight="1" s="145">
      <c r="A998" s="233" t="n"/>
      <c r="B998" s="233" t="n"/>
      <c r="C998" s="233" t="n"/>
      <c r="D998" s="234" t="n"/>
      <c r="J998" s="234" t="n"/>
      <c r="K998" s="234" t="n"/>
      <c r="L998" s="234" t="n"/>
      <c r="M998" s="234" t="n"/>
      <c r="N998" s="234" t="n"/>
      <c r="O998" s="235" t="n"/>
    </row>
    <row r="999" ht="18" customHeight="1" s="145">
      <c r="A999" s="233" t="n"/>
      <c r="B999" s="233" t="n"/>
      <c r="C999" s="233" t="n"/>
      <c r="D999" s="234" t="n"/>
      <c r="J999" s="234" t="n"/>
      <c r="K999" s="234" t="n"/>
      <c r="L999" s="234" t="n"/>
      <c r="M999" s="234" t="n"/>
      <c r="N999" s="234" t="n"/>
      <c r="O999" s="235" t="n"/>
    </row>
    <row r="1000" ht="18" customHeight="1" s="145">
      <c r="A1000" s="233" t="n"/>
      <c r="B1000" s="233" t="n"/>
      <c r="C1000" s="233" t="n"/>
      <c r="D1000" s="234" t="n"/>
      <c r="J1000" s="234" t="n"/>
      <c r="K1000" s="234" t="n"/>
      <c r="L1000" s="234" t="n"/>
      <c r="M1000" s="234" t="n"/>
      <c r="N1000" s="234" t="n"/>
      <c r="O1000" s="235" t="n"/>
    </row>
    <row r="1001" ht="18" customHeight="1" s="145">
      <c r="A1001" s="233" t="n"/>
      <c r="B1001" s="233" t="n"/>
      <c r="C1001" s="233" t="n"/>
      <c r="D1001" s="234" t="n"/>
      <c r="J1001" s="234" t="n"/>
      <c r="K1001" s="234" t="n"/>
      <c r="L1001" s="234" t="n"/>
      <c r="M1001" s="234" t="n"/>
      <c r="N1001" s="234" t="n"/>
      <c r="O1001" s="235" t="n"/>
    </row>
    <row r="1002" ht="18" customHeight="1" s="145">
      <c r="A1002" s="233" t="n"/>
      <c r="B1002" s="233" t="n"/>
      <c r="C1002" s="233" t="n"/>
      <c r="D1002" s="234" t="n"/>
      <c r="J1002" s="234" t="n"/>
      <c r="K1002" s="234" t="n"/>
      <c r="L1002" s="234" t="n"/>
      <c r="M1002" s="234" t="n"/>
      <c r="N1002" s="234" t="n"/>
      <c r="O1002" s="235" t="n"/>
    </row>
    <row r="1003" ht="18" customHeight="1" s="145">
      <c r="A1003" s="233" t="n"/>
      <c r="B1003" s="233" t="n"/>
      <c r="C1003" s="233" t="n"/>
      <c r="D1003" s="234" t="n"/>
      <c r="J1003" s="234" t="n"/>
      <c r="K1003" s="234" t="n"/>
      <c r="L1003" s="234" t="n"/>
      <c r="M1003" s="234" t="n"/>
      <c r="N1003" s="234" t="n"/>
      <c r="O1003" s="235" t="n"/>
    </row>
    <row r="1004" ht="18" customHeight="1" s="145">
      <c r="A1004" s="233" t="n"/>
      <c r="B1004" s="233" t="n"/>
      <c r="C1004" s="233" t="n"/>
      <c r="D1004" s="234" t="n"/>
      <c r="J1004" s="234" t="n"/>
      <c r="K1004" s="234" t="n"/>
      <c r="L1004" s="234" t="n"/>
      <c r="M1004" s="234" t="n"/>
      <c r="N1004" s="234" t="n"/>
      <c r="O1004" s="23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0"/>
  <sheetViews>
    <sheetView workbookViewId="0">
      <pane xSplit="1" topLeftCell="B1" activePane="topRight" state="frozen"/>
      <selection activeCell="A20" sqref="A20"/>
      <selection pane="topRight" activeCell="J47" sqref="J47"/>
    </sheetView>
  </sheetViews>
  <sheetFormatPr baseColWidth="10" defaultRowHeight="20"/>
  <cols>
    <col width="10.7109375" customWidth="1" style="114" min="1" max="16384"/>
  </cols>
  <sheetData>
    <row r="1"/>
    <row r="2"/>
    <row r="3"/>
    <row r="4">
      <c r="C4" s="192" t="inlineStr">
        <is>
          <t>指標</t>
        </is>
      </c>
      <c r="D4" s="192" t="inlineStr">
        <is>
          <t>メモ</t>
        </is>
      </c>
      <c r="E4" s="192" t="n"/>
      <c r="F4" s="192" t="inlineStr">
        <is>
          <t>M1</t>
        </is>
      </c>
      <c r="G4" s="192" t="inlineStr">
        <is>
          <t>M2</t>
        </is>
      </c>
      <c r="H4" s="192" t="inlineStr">
        <is>
          <t>M3</t>
        </is>
      </c>
      <c r="I4" s="192" t="inlineStr">
        <is>
          <t>M4</t>
        </is>
      </c>
      <c r="J4" s="192" t="inlineStr">
        <is>
          <t>M5</t>
        </is>
      </c>
      <c r="K4" s="192" t="inlineStr">
        <is>
          <t>M6</t>
        </is>
      </c>
      <c r="L4" s="192" t="inlineStr">
        <is>
          <t>M7</t>
        </is>
      </c>
      <c r="M4" s="192" t="inlineStr">
        <is>
          <t>M8</t>
        </is>
      </c>
      <c r="N4" s="192" t="inlineStr">
        <is>
          <t>M9</t>
        </is>
      </c>
      <c r="O4" s="192" t="inlineStr">
        <is>
          <t>M10</t>
        </is>
      </c>
      <c r="P4" s="192" t="inlineStr">
        <is>
          <t>M11</t>
        </is>
      </c>
      <c r="Q4" s="192" t="inlineStr">
        <is>
          <t>M12</t>
        </is>
      </c>
      <c r="R4" s="192" t="inlineStr">
        <is>
          <t>M13</t>
        </is>
      </c>
      <c r="S4" s="192" t="inlineStr">
        <is>
          <t>M1４</t>
        </is>
      </c>
      <c r="T4" s="192" t="inlineStr">
        <is>
          <t>M15</t>
        </is>
      </c>
      <c r="U4" s="192" t="inlineStr">
        <is>
          <t>M16</t>
        </is>
      </c>
      <c r="V4" s="192" t="inlineStr">
        <is>
          <t>M17</t>
        </is>
      </c>
      <c r="W4" s="192" t="inlineStr">
        <is>
          <t>M18</t>
        </is>
      </c>
      <c r="X4" s="192" t="inlineStr">
        <is>
          <t>M19</t>
        </is>
      </c>
      <c r="Y4" s="192" t="inlineStr">
        <is>
          <t>M20</t>
        </is>
      </c>
      <c r="Z4" s="192" t="inlineStr">
        <is>
          <t>M21</t>
        </is>
      </c>
      <c r="AA4" s="192" t="inlineStr">
        <is>
          <t>M22</t>
        </is>
      </c>
      <c r="AB4" s="192" t="inlineStr">
        <is>
          <t>M23</t>
        </is>
      </c>
      <c r="AC4" s="192" t="inlineStr">
        <is>
          <t>M24</t>
        </is>
      </c>
      <c r="AD4" s="192" t="inlineStr">
        <is>
          <t>M25</t>
        </is>
      </c>
      <c r="AE4" s="192" t="inlineStr">
        <is>
          <t>M26</t>
        </is>
      </c>
      <c r="AF4" s="192" t="inlineStr">
        <is>
          <t>M27</t>
        </is>
      </c>
      <c r="AG4" s="192" t="inlineStr">
        <is>
          <t>M28</t>
        </is>
      </c>
      <c r="AH4" s="192" t="inlineStr">
        <is>
          <t>M29</t>
        </is>
      </c>
      <c r="AI4" s="192" t="inlineStr">
        <is>
          <t>M30</t>
        </is>
      </c>
      <c r="AJ4" s="192" t="inlineStr">
        <is>
          <t>M31</t>
        </is>
      </c>
      <c r="AK4" s="192" t="inlineStr">
        <is>
          <t>M32</t>
        </is>
      </c>
      <c r="AL4" s="192" t="inlineStr">
        <is>
          <t>M33</t>
        </is>
      </c>
      <c r="AM4" s="192" t="inlineStr">
        <is>
          <t>M34</t>
        </is>
      </c>
      <c r="AN4" s="192" t="inlineStr">
        <is>
          <t>M35</t>
        </is>
      </c>
      <c r="AO4" s="192" t="inlineStr">
        <is>
          <t>M36</t>
        </is>
      </c>
      <c r="AP4" s="192" t="inlineStr">
        <is>
          <t>M37</t>
        </is>
      </c>
      <c r="AQ4" s="192" t="inlineStr">
        <is>
          <t>M38</t>
        </is>
      </c>
      <c r="AR4" s="192" t="inlineStr">
        <is>
          <t>M39</t>
        </is>
      </c>
      <c r="AS4" s="192" t="inlineStr">
        <is>
          <t>M40</t>
        </is>
      </c>
      <c r="AT4" s="192" t="inlineStr">
        <is>
          <t>M41</t>
        </is>
      </c>
      <c r="AU4" s="192" t="inlineStr">
        <is>
          <t>M42</t>
        </is>
      </c>
      <c r="AV4" s="192" t="inlineStr">
        <is>
          <t>M43</t>
        </is>
      </c>
      <c r="AW4" s="192" t="inlineStr">
        <is>
          <t>M44</t>
        </is>
      </c>
      <c r="AX4" s="192" t="inlineStr">
        <is>
          <t>M45</t>
        </is>
      </c>
      <c r="AY4" s="192" t="inlineStr">
        <is>
          <t>M46</t>
        </is>
      </c>
      <c r="AZ4" s="192" t="inlineStr">
        <is>
          <t>M47</t>
        </is>
      </c>
      <c r="BA4" s="192" t="inlineStr">
        <is>
          <t>M48</t>
        </is>
      </c>
      <c r="BB4" s="192" t="inlineStr">
        <is>
          <t>M49</t>
        </is>
      </c>
      <c r="BC4" s="192" t="inlineStr">
        <is>
          <t>M50</t>
        </is>
      </c>
      <c r="BD4" s="192" t="inlineStr">
        <is>
          <t>M51</t>
        </is>
      </c>
      <c r="BE4" s="192" t="inlineStr">
        <is>
          <t>M52</t>
        </is>
      </c>
      <c r="BF4" s="192" t="inlineStr">
        <is>
          <t>M53</t>
        </is>
      </c>
      <c r="BG4" s="192" t="inlineStr">
        <is>
          <t>M54</t>
        </is>
      </c>
      <c r="BH4" s="192" t="inlineStr">
        <is>
          <t>M55</t>
        </is>
      </c>
      <c r="BI4" s="192" t="inlineStr">
        <is>
          <t>M56</t>
        </is>
      </c>
      <c r="BJ4" s="192" t="inlineStr">
        <is>
          <t>M57</t>
        </is>
      </c>
      <c r="BK4" s="192" t="inlineStr">
        <is>
          <t>M58</t>
        </is>
      </c>
      <c r="BL4" s="192" t="inlineStr">
        <is>
          <t>M59</t>
        </is>
      </c>
      <c r="BM4" s="192" t="inlineStr">
        <is>
          <t>M60</t>
        </is>
      </c>
      <c r="BN4" s="211" t="inlineStr">
        <is>
          <t>Y0</t>
        </is>
      </c>
      <c r="BO4" s="192" t="inlineStr">
        <is>
          <t>Y2</t>
        </is>
      </c>
      <c r="BP4" s="192" t="inlineStr">
        <is>
          <t>Y3</t>
        </is>
      </c>
      <c r="BQ4" s="192" t="inlineStr">
        <is>
          <t>Y4</t>
        </is>
      </c>
      <c r="BR4" s="192" t="inlineStr">
        <is>
          <t>Y5</t>
        </is>
      </c>
    </row>
    <row r="5">
      <c r="C5" s="193" t="inlineStr">
        <is>
          <t>SAAS売上</t>
        </is>
      </c>
      <c r="D5" s="194" t="n"/>
      <c r="E5" s="194" t="n"/>
      <c r="F5" s="195">
        <f>F6+F10</f>
        <v>0.0</v>
      </c>
      <c r="G5" s="195">
        <f>G6+G10</f>
        <v>42876.1461422529</v>
      </c>
      <c r="H5" s="195">
        <f>H6+H10</f>
        <v>256399.353930672</v>
      </c>
      <c r="I5" s="195">
        <f>I6+I10</f>
        <v>465652.097563323</v>
      </c>
      <c r="J5" s="195">
        <f>J6+J10</f>
        <v>670719.786323322</v>
      </c>
      <c r="K5" s="195">
        <f>K6+K10</f>
        <v>914562.267450373</v>
      </c>
      <c r="L5" s="195">
        <f>L6+L10</f>
        <v>1153527.89895488</v>
      </c>
      <c r="M5" s="195">
        <f>M6+M10</f>
        <v>1387714.2178293</v>
      </c>
      <c r="N5" s="195">
        <f>N6+N10</f>
        <v>1660092.95646849</v>
      </c>
      <c r="O5" s="195">
        <f>O6+O10</f>
        <v>1927024.12033489</v>
      </c>
      <c r="P5" s="195">
        <f>P6+P10</f>
        <v>2188616.66092396</v>
      </c>
      <c r="Q5" s="195">
        <f>Q6+Q10</f>
        <v>2487853.4968435</v>
      </c>
      <c r="R5" s="195">
        <f>R6+R10</f>
        <v>2781105.59604466</v>
      </c>
      <c r="S5" s="195">
        <f>S6+S10</f>
        <v>3068492.65326179</v>
      </c>
      <c r="T5" s="195">
        <f>T6+T10</f>
        <v>3393008.11547683</v>
      </c>
      <c r="U5" s="195">
        <f>U6+U10</f>
        <v>3711033.26844757</v>
      </c>
      <c r="V5" s="195">
        <f>V6+V10</f>
        <v>4022697.91835889</v>
      </c>
      <c r="W5" s="195">
        <f>W6+W10</f>
        <v>4371005.42141424</v>
      </c>
      <c r="X5" s="195">
        <f>X6+X10</f>
        <v>4712346.77440849</v>
      </c>
      <c r="Y5" s="195">
        <f>Y6+Y10</f>
        <v>5046861.30034285</v>
      </c>
      <c r="Z5" s="195">
        <f>Z6+Z10</f>
        <v>5417561.68190077</v>
      </c>
      <c r="AA5" s="195">
        <f>AA6+AA10</f>
        <v>5780848.05582754</v>
      </c>
      <c r="AB5" s="195">
        <f>AB6+AB10</f>
        <v>6136868.70227577</v>
      </c>
      <c r="AC5" s="195">
        <f>AC6+AC10</f>
        <v>6528645.08193729</v>
      </c>
      <c r="AD5" s="195">
        <f>AD6+AD10</f>
        <v>6945229.15941526</v>
      </c>
      <c r="AE5" s="195">
        <f>AE6+AE10</f>
        <v>7355564.47573107</v>
      </c>
      <c r="AF5" s="195">
        <f>AF6+AF10</f>
        <v>7802620.90844439</v>
      </c>
      <c r="AG5" s="195">
        <f>AG6+AG10</f>
        <v>8242971.49466701</v>
      </c>
      <c r="AH5" s="195">
        <f>AH6+AH10</f>
        <v>8676716.8220963</v>
      </c>
      <c r="AI5" s="195">
        <f>AI6+AI10</f>
        <v>9146832.11575639</v>
      </c>
      <c r="AJ5" s="195">
        <f>AJ6+AJ10</f>
        <v>9609895.68001159</v>
      </c>
      <c r="AK5" s="195">
        <f>AK6+AK10</f>
        <v>10066013.290803</v>
      </c>
      <c r="AL5" s="195">
        <f>AL6+AL10</f>
        <v>10558165.2835747</v>
      </c>
      <c r="AM5" s="195">
        <f>AM6+AM10</f>
        <v>11042934.9964549</v>
      </c>
      <c r="AN5" s="195">
        <f>AN6+AN10</f>
        <v>11520433.1636418</v>
      </c>
      <c r="AO5" s="195">
        <f>AO6+AO10</f>
        <v>12033645.0044633</v>
      </c>
      <c r="AP5" s="195">
        <f>AP6+AP10</f>
        <v>12539158.6676724</v>
      </c>
      <c r="AQ5" s="195">
        <f>AQ6+AQ10</f>
        <v>13037089.6259333</v>
      </c>
      <c r="AR5" s="195">
        <f>AR6+AR10</f>
        <v>13570427.7659626</v>
      </c>
      <c r="AS5" s="195">
        <f>AS6+AS10</f>
        <v>14095765.8338915</v>
      </c>
      <c r="AT5" s="195">
        <f>AT6+AT10</f>
        <v>14613223.8308014</v>
      </c>
      <c r="AU5" s="195">
        <f>AU6+AU10</f>
        <v>15165796.1038999</v>
      </c>
      <c r="AV5" s="195">
        <f>AV6+AV10</f>
        <v>15710079.792902</v>
      </c>
      <c r="AW5" s="195">
        <f>AW6+AW10</f>
        <v>16246199.226569</v>
      </c>
      <c r="AX5" s="195">
        <f>AX6+AX10</f>
        <v>16817153.0148733</v>
      </c>
      <c r="AY5" s="195">
        <f>AY6+AY10</f>
        <v>17379542.496353</v>
      </c>
      <c r="AZ5" s="195">
        <f>AZ6+AZ10</f>
        <v>17933496.1356105</v>
      </c>
      <c r="BA5" s="195">
        <f>BA6+BA10</f>
        <v>18522016.6164214</v>
      </c>
      <c r="BB5" s="195">
        <f>BB6+BB10</f>
        <v>19194319.3731022</v>
      </c>
      <c r="BC5" s="195">
        <f>BC6+BC10</f>
        <v>19859899.1022163</v>
      </c>
      <c r="BD5" s="195">
        <f>BD6+BD10</f>
        <v>20561699.1801814</v>
      </c>
      <c r="BE5" s="195">
        <f>BE6+BE10</f>
        <v>21256481.2573669</v>
      </c>
      <c r="BF5" s="195">
        <f>BF6+BF10</f>
        <v>21944315.5137806</v>
      </c>
      <c r="BG5" s="195">
        <f>BG6+BG10</f>
        <v>22668147.5737723</v>
      </c>
      <c r="BH5" s="195">
        <f>BH6+BH10</f>
        <v>23384741.3131642</v>
      </c>
      <c r="BI5" s="195">
        <f>BI6+BI10</f>
        <v>24094169.1151621</v>
      </c>
      <c r="BJ5" s="195">
        <f>BJ6+BJ10</f>
        <v>24839378.7852823</v>
      </c>
      <c r="BK5" s="195">
        <f>BK6+BK10</f>
        <v>25577136.3587013</v>
      </c>
      <c r="BL5" s="195">
        <f>BL6+BL10</f>
        <v>26307516.3563861</v>
      </c>
      <c r="BM5" s="195">
        <f>BM6+BM10</f>
        <v>27073468.7002363</v>
      </c>
      <c r="BN5" s="212">
        <f>SUM(F5:Q5)</f>
        <v>13155039.002765</v>
      </c>
      <c r="BO5" s="195">
        <f>SUM(R5:AC5)</f>
        <v>54970474.5696967</v>
      </c>
      <c r="BP5" s="195">
        <f>SUM(AD5:AO5)</f>
        <v>113001022.39506</v>
      </c>
      <c r="BQ5" s="195">
        <f>SUM(AP5:BA5)</f>
        <v>185629949.11089</v>
      </c>
      <c r="BR5" s="195">
        <f>SUM(BB5:BM5)</f>
        <v>276761272.629352</v>
      </c>
    </row>
    <row r="6">
      <c r="C6" s="208" t="inlineStr">
        <is>
          <t>プレミアムプラン売上</t>
        </is>
      </c>
      <c r="D6" s="208" t="n"/>
      <c r="E6" s="208" t="n"/>
      <c r="F6" s="209">
        <f>F7*F8</f>
        <v>0.0</v>
      </c>
      <c r="G6" s="209">
        <f>G7*G8</f>
        <v>7200.0</v>
      </c>
      <c r="H6" s="209">
        <f>H7*H8</f>
        <v>43056.0</v>
      </c>
      <c r="I6" s="209">
        <f>I7*I8</f>
        <v>78194.88</v>
      </c>
      <c r="J6" s="209">
        <f>J7*J8</f>
        <v>112630.9824</v>
      </c>
      <c r="K6" s="209">
        <f>K7*K8</f>
        <v>153578.362752</v>
      </c>
      <c r="L6" s="209">
        <f>L7*L8</f>
        <v>193706.79549696</v>
      </c>
      <c r="M6" s="209">
        <f>M7*M8</f>
        <v>233032.659587021</v>
      </c>
      <c r="N6" s="209">
        <f>N7*N8</f>
        <v>278772.00639528</v>
      </c>
      <c r="O6" s="209">
        <f>O7*O8</f>
        <v>323596.566267375</v>
      </c>
      <c r="P6" s="209">
        <f>P7*P8</f>
        <v>367524.634942027</v>
      </c>
      <c r="Q6" s="209">
        <f>Q7*Q8</f>
        <v>417774.142243187</v>
      </c>
      <c r="R6" s="209">
        <f>R7*R8</f>
        <v>467018.659398323</v>
      </c>
      <c r="S6" s="209">
        <f>S7*S8</f>
        <v>515278.286210357</v>
      </c>
      <c r="T6" s="209">
        <f>T7*T8</f>
        <v>569772.720486149</v>
      </c>
      <c r="U6" s="209">
        <f>U7*U8</f>
        <v>623177.266076427</v>
      </c>
      <c r="V6" s="209">
        <f>V7*V8</f>
        <v>675513.720754898</v>
      </c>
      <c r="W6" s="209">
        <f>W7*W8</f>
        <v>734003.4463398</v>
      </c>
      <c r="X6" s="209">
        <f>X7*X8</f>
        <v>791323.377413004</v>
      </c>
      <c r="Y6" s="209">
        <f>Y7*Y8</f>
        <v>847496.909864744</v>
      </c>
      <c r="Z6" s="209">
        <f>Z7*Z8</f>
        <v>909746.971667449</v>
      </c>
      <c r="AA6" s="209">
        <f>AA7*AA8</f>
        <v>970752.0322341</v>
      </c>
      <c r="AB6" s="209">
        <f>AB7*AB8</f>
        <v>1030536.99158942</v>
      </c>
      <c r="AC6" s="209">
        <f>AC7*AC8</f>
        <v>1096326.25175763</v>
      </c>
      <c r="AD6" s="209">
        <f>AD7*AD8</f>
        <v>1166281.35798126</v>
      </c>
      <c r="AE6" s="209">
        <f>AE7*AE8</f>
        <v>1235187.13761155</v>
      </c>
      <c r="AF6" s="209">
        <f>AF7*AF8</f>
        <v>1310259.33054737</v>
      </c>
      <c r="AG6" s="209">
        <f>AG7*AG8</f>
        <v>1384205.44058916</v>
      </c>
      <c r="AH6" s="209">
        <f>AH7*AH8</f>
        <v>1457042.35898032</v>
      </c>
      <c r="AI6" s="209">
        <f>AI7*AI8</f>
        <v>1535986.72359562</v>
      </c>
      <c r="AJ6" s="209">
        <f>AJ7*AJ8</f>
        <v>1613746.92274169</v>
      </c>
      <c r="AK6" s="209">
        <f>AK7*AK8</f>
        <v>1690340.71890056</v>
      </c>
      <c r="AL6" s="209">
        <f>AL7*AL8</f>
        <v>1772985.60811705</v>
      </c>
      <c r="AM6" s="209">
        <f>AM7*AM8</f>
        <v>1854390.8239953</v>
      </c>
      <c r="AN6" s="209">
        <f>AN7*AN8</f>
        <v>1934574.96163537</v>
      </c>
      <c r="AO6" s="209">
        <f>AO7*AO8</f>
        <v>2020756.33721084</v>
      </c>
      <c r="AP6" s="209">
        <f>AP7*AP8</f>
        <v>2105644.99215267</v>
      </c>
      <c r="AQ6" s="209">
        <f>AQ7*AQ8</f>
        <v>2189260.31727038</v>
      </c>
      <c r="AR6" s="209">
        <f>AR7*AR8</f>
        <v>2278821.41251133</v>
      </c>
      <c r="AS6" s="209">
        <f>AS7*AS8</f>
        <v>2367039.09132366</v>
      </c>
      <c r="AT6" s="209">
        <f>AT7*AT8</f>
        <v>2453933.5049538</v>
      </c>
      <c r="AU6" s="209">
        <f>AU7*AU8</f>
        <v>2546724.5023795</v>
      </c>
      <c r="AV6" s="209">
        <f>AV7*AV8</f>
        <v>2638123.6348438</v>
      </c>
      <c r="AW6" s="209">
        <f>AW7*AW8</f>
        <v>2728151.78032115</v>
      </c>
      <c r="AX6" s="209">
        <f>AX7*AX8</f>
        <v>2824029.50361633</v>
      </c>
      <c r="AY6" s="209">
        <f>AY7*AY8</f>
        <v>2918469.06106208</v>
      </c>
      <c r="AZ6" s="209">
        <f>AZ7*AZ8</f>
        <v>3011492.02514615</v>
      </c>
      <c r="BA6" s="209">
        <f>BA7*BA8</f>
        <v>3110319.64476896</v>
      </c>
      <c r="BB6" s="209">
        <f>BB7*BB8</f>
        <v>3223216.44832127</v>
      </c>
      <c r="BC6" s="209">
        <f>BC7*BC8</f>
        <v>3334984.28383806</v>
      </c>
      <c r="BD6" s="209">
        <f>BD7*BD8</f>
        <v>3452834.44099968</v>
      </c>
      <c r="BE6" s="209">
        <f>BE7*BE8</f>
        <v>3569506.09658968</v>
      </c>
      <c r="BF6" s="209">
        <f>BF7*BF8</f>
        <v>3685011.03562378</v>
      </c>
      <c r="BG6" s="209">
        <f>BG7*BG8</f>
        <v>3806560.92526755</v>
      </c>
      <c r="BH6" s="209">
        <f>BH7*BH8</f>
        <v>3926895.31601487</v>
      </c>
      <c r="BI6" s="209">
        <f>BI7*BI8</f>
        <v>4046026.36285472</v>
      </c>
      <c r="BJ6" s="209">
        <f>BJ7*BJ8</f>
        <v>4171166.09922617</v>
      </c>
      <c r="BK6" s="209">
        <f>BK7*BK8</f>
        <v>4295054.43823391</v>
      </c>
      <c r="BL6" s="209">
        <f>BL7*BL8</f>
        <v>4417703.89385157</v>
      </c>
      <c r="BM6" s="209">
        <f>BM7*BM8</f>
        <v>4546326.85491306</v>
      </c>
      <c r="BN6" s="213">
        <f>SUM(F6:Q6)</f>
        <v>2209067.03008385</v>
      </c>
      <c r="BO6" s="209">
        <f>SUM(R6:AC6)</f>
        <v>9230946.6337923</v>
      </c>
      <c r="BP6" s="209">
        <f>SUM(AD6:AO6)</f>
        <v>18975757.7219061</v>
      </c>
      <c r="BQ6" s="209">
        <f>SUM(AP6:BA6)</f>
        <v>31172009.4703498</v>
      </c>
      <c r="BR6" s="209">
        <f>SUM(BB6:BM6)</f>
        <v>46475286.1957343</v>
      </c>
    </row>
    <row r="7">
      <c r="C7" s="74" t="inlineStr">
        <is>
          <t>プレミアムプラン追加費用</t>
        </is>
      </c>
      <c r="D7" s="74" t="n"/>
      <c r="E7" s="74" t="n"/>
      <c r="F7" s="196" t="n">
        <v>30000</v>
      </c>
      <c r="G7" s="196" t="n">
        <v>30000</v>
      </c>
      <c r="H7" s="196" t="n">
        <v>30000</v>
      </c>
      <c r="I7" s="196" t="n">
        <v>30000</v>
      </c>
      <c r="J7" s="196" t="n">
        <v>30000</v>
      </c>
      <c r="K7" s="196" t="n">
        <v>30000</v>
      </c>
      <c r="L7" s="196" t="n">
        <v>30000</v>
      </c>
      <c r="M7" s="196" t="n">
        <v>30000</v>
      </c>
      <c r="N7" s="196" t="n">
        <v>30000</v>
      </c>
      <c r="O7" s="196" t="n">
        <v>30000</v>
      </c>
      <c r="P7" s="196" t="n">
        <v>30000</v>
      </c>
      <c r="Q7" s="196" t="n">
        <v>30000</v>
      </c>
      <c r="R7" s="196" t="n">
        <v>30000</v>
      </c>
      <c r="S7" s="196" t="n">
        <v>30000</v>
      </c>
      <c r="T7" s="196" t="n">
        <v>30000</v>
      </c>
      <c r="U7" s="196" t="n">
        <v>30000</v>
      </c>
      <c r="V7" s="196" t="n">
        <v>30000</v>
      </c>
      <c r="W7" s="196" t="n">
        <v>30000</v>
      </c>
      <c r="X7" s="196" t="n">
        <v>30000</v>
      </c>
      <c r="Y7" s="196" t="n">
        <v>30000</v>
      </c>
      <c r="Z7" s="196" t="n">
        <v>30000</v>
      </c>
      <c r="AA7" s="196" t="n">
        <v>30000</v>
      </c>
      <c r="AB7" s="196" t="n">
        <v>30000</v>
      </c>
      <c r="AC7" s="196" t="n">
        <v>30000</v>
      </c>
      <c r="AD7" s="196" t="n">
        <v>30000</v>
      </c>
      <c r="AE7" s="196" t="n">
        <v>30000</v>
      </c>
      <c r="AF7" s="196" t="n">
        <v>30000</v>
      </c>
      <c r="AG7" s="196" t="n">
        <v>30000</v>
      </c>
      <c r="AH7" s="196" t="n">
        <v>30000</v>
      </c>
      <c r="AI7" s="196" t="n">
        <v>30000</v>
      </c>
      <c r="AJ7" s="196" t="n">
        <v>30000</v>
      </c>
      <c r="AK7" s="196" t="n">
        <v>30000</v>
      </c>
      <c r="AL7" s="196" t="n">
        <v>30000</v>
      </c>
      <c r="AM7" s="196" t="n">
        <v>30000</v>
      </c>
      <c r="AN7" s="196" t="n">
        <v>30000</v>
      </c>
      <c r="AO7" s="196" t="n">
        <v>30000</v>
      </c>
      <c r="AP7" s="196" t="n">
        <v>30000</v>
      </c>
      <c r="AQ7" s="196" t="n">
        <v>30000</v>
      </c>
      <c r="AR7" s="196" t="n">
        <v>30000</v>
      </c>
      <c r="AS7" s="196" t="n">
        <v>30000</v>
      </c>
      <c r="AT7" s="196" t="n">
        <v>30000</v>
      </c>
      <c r="AU7" s="196" t="n">
        <v>30000</v>
      </c>
      <c r="AV7" s="196" t="n">
        <v>30000</v>
      </c>
      <c r="AW7" s="196" t="n">
        <v>30000</v>
      </c>
      <c r="AX7" s="196" t="n">
        <v>30000</v>
      </c>
      <c r="AY7" s="196" t="n">
        <v>30000</v>
      </c>
      <c r="AZ7" s="196" t="n">
        <v>30000</v>
      </c>
      <c r="BA7" s="196" t="n">
        <v>30000</v>
      </c>
      <c r="BB7" s="196" t="n">
        <v>30000</v>
      </c>
      <c r="BC7" s="196" t="n">
        <v>30000</v>
      </c>
      <c r="BD7" s="196" t="n">
        <v>30000</v>
      </c>
      <c r="BE7" s="196" t="n">
        <v>30000</v>
      </c>
      <c r="BF7" s="196" t="n">
        <v>30000</v>
      </c>
      <c r="BG7" s="196" t="n">
        <v>30000</v>
      </c>
      <c r="BH7" s="196" t="n">
        <v>30000</v>
      </c>
      <c r="BI7" s="196" t="n">
        <v>30000</v>
      </c>
      <c r="BJ7" s="196" t="n">
        <v>30000</v>
      </c>
      <c r="BK7" s="196" t="n">
        <v>30000</v>
      </c>
      <c r="BL7" s="196" t="n">
        <v>30000</v>
      </c>
      <c r="BM7" s="196" t="n">
        <v>30000</v>
      </c>
      <c r="BN7" s="214" t="n">
        <v>30000</v>
      </c>
      <c r="BO7" s="196" t="n">
        <v>30000</v>
      </c>
      <c r="BP7" s="196" t="n">
        <v>30000</v>
      </c>
      <c r="BQ7" s="196" t="n">
        <v>30000</v>
      </c>
      <c r="BR7" s="196" t="n">
        <v>30000</v>
      </c>
    </row>
    <row r="8">
      <c r="C8" s="74" t="inlineStr">
        <is>
          <t>プレミアムプラン加入数</t>
        </is>
      </c>
      <c r="D8" s="64" t="n"/>
      <c r="E8" s="64" t="n"/>
      <c r="F8" s="196">
        <f>F9*F17</f>
        <v>0.0</v>
      </c>
      <c r="G8" s="196">
        <f>G9*G17</f>
        <v>0.24</v>
      </c>
      <c r="H8" s="196">
        <f>H9*H17</f>
        <v>1.4352</v>
      </c>
      <c r="I8" s="196">
        <f>I9*I17</f>
        <v>2.606496</v>
      </c>
      <c r="J8" s="196">
        <f>J9*J17</f>
        <v>3.75436608</v>
      </c>
      <c r="K8" s="196">
        <f>K9*K17</f>
        <v>5.1192787584</v>
      </c>
      <c r="L8" s="196">
        <f>L9*L17</f>
        <v>6.456893183232</v>
      </c>
      <c r="M8" s="196">
        <f>M9*M17</f>
        <v>7.76775531956736</v>
      </c>
      <c r="N8" s="196">
        <f>N9*N17</f>
        <v>9.29240021317601</v>
      </c>
      <c r="O8" s="196">
        <f>O9*O17</f>
        <v>10.7865522089125</v>
      </c>
      <c r="P8" s="196">
        <f>P9*P17</f>
        <v>12.2508211647342</v>
      </c>
      <c r="Q8" s="196">
        <f>Q9*Q17</f>
        <v>13.9258047414396</v>
      </c>
      <c r="R8" s="196">
        <f>R9*R17</f>
        <v>15.5672886466108</v>
      </c>
      <c r="S8" s="196">
        <f>S9*S17</f>
        <v>17.1759428736786</v>
      </c>
      <c r="T8" s="196">
        <f>T9*T17</f>
        <v>18.992424016205</v>
      </c>
      <c r="U8" s="196">
        <f>U9*U17</f>
        <v>20.7725755358809</v>
      </c>
      <c r="V8" s="196">
        <f>V9*V17</f>
        <v>22.5171240251633</v>
      </c>
      <c r="W8" s="196">
        <f>W9*W17</f>
        <v>24.46678154466</v>
      </c>
      <c r="X8" s="196">
        <f>X9*X17</f>
        <v>26.3774459137668</v>
      </c>
      <c r="Y8" s="196">
        <f>Y9*Y17</f>
        <v>28.2498969954915</v>
      </c>
      <c r="Z8" s="196">
        <f>Z9*Z17</f>
        <v>30.3248990555816</v>
      </c>
      <c r="AA8" s="196">
        <f>AA9*AA17</f>
        <v>32.35840107447</v>
      </c>
      <c r="AB8" s="196">
        <f>AB9*AB17</f>
        <v>34.3512330529806</v>
      </c>
      <c r="AC8" s="196">
        <f>AC9*AC17</f>
        <v>36.544208391921</v>
      </c>
      <c r="AD8" s="196">
        <f>AD9*AD17</f>
        <v>38.8760452660422</v>
      </c>
      <c r="AE8" s="196">
        <f>AE9*AE17</f>
        <v>41.1729045870515</v>
      </c>
      <c r="AF8" s="196">
        <f>AF9*AF17</f>
        <v>43.6753110182458</v>
      </c>
      <c r="AG8" s="196">
        <f>AG9*AG17</f>
        <v>46.1401813529721</v>
      </c>
      <c r="AH8" s="196">
        <f>AH9*AH17</f>
        <v>48.5680786326775</v>
      </c>
      <c r="AI8" s="196">
        <f>AI9*AI17</f>
        <v>51.1995574531873</v>
      </c>
      <c r="AJ8" s="196">
        <f>AJ9*AJ17</f>
        <v>53.7915640913895</v>
      </c>
      <c r="AK8" s="196">
        <f>AK9*AK17</f>
        <v>56.3446906300187</v>
      </c>
      <c r="AL8" s="196">
        <f>AL9*AL17</f>
        <v>59.0995202705684</v>
      </c>
      <c r="AM8" s="196">
        <f>AM9*AM17</f>
        <v>61.8130274665099</v>
      </c>
      <c r="AN8" s="196">
        <f>AN9*AN17</f>
        <v>64.4858320545122</v>
      </c>
      <c r="AO8" s="196">
        <f>AO9*AO17</f>
        <v>67.3585445736945</v>
      </c>
      <c r="AP8" s="196">
        <f>AP9*AP17</f>
        <v>70.1881664050891</v>
      </c>
      <c r="AQ8" s="196">
        <f>AQ9*AQ17</f>
        <v>72.9753439090128</v>
      </c>
      <c r="AR8" s="196">
        <f>AR9*AR17</f>
        <v>75.9607137503776</v>
      </c>
      <c r="AS8" s="196">
        <f>AS9*AS17</f>
        <v>78.9013030441219</v>
      </c>
      <c r="AT8" s="196">
        <f>AT9*AT17</f>
        <v>81.7977834984601</v>
      </c>
      <c r="AU8" s="196">
        <f>AU9*AU17</f>
        <v>84.8908167459832</v>
      </c>
      <c r="AV8" s="196">
        <f>AV9*AV17</f>
        <v>87.9374544947934</v>
      </c>
      <c r="AW8" s="196">
        <f>AW9*AW17</f>
        <v>90.9383926773715</v>
      </c>
      <c r="AX8" s="196">
        <f>AX9*AX17</f>
        <v>94.134316787211</v>
      </c>
      <c r="AY8" s="196">
        <f>AY9*AY17</f>
        <v>97.2823020354028</v>
      </c>
      <c r="AZ8" s="196">
        <f>AZ9*AZ17</f>
        <v>100.383067504872</v>
      </c>
      <c r="BA8" s="196">
        <f>BA9*BA17</f>
        <v>103.677321492299</v>
      </c>
      <c r="BB8" s="196">
        <f>BB9*BB17</f>
        <v>107.440548277376</v>
      </c>
      <c r="BC8" s="196">
        <f>BC9*BC17</f>
        <v>111.166142794602</v>
      </c>
      <c r="BD8" s="196">
        <f>BD9*BD17</f>
        <v>115.094481366656</v>
      </c>
      <c r="BE8" s="196">
        <f>BE9*BE17</f>
        <v>118.983536552989</v>
      </c>
      <c r="BF8" s="196">
        <f>BF9*BF17</f>
        <v>122.833701187459</v>
      </c>
      <c r="BG8" s="196">
        <f>BG9*BG17</f>
        <v>126.885364175585</v>
      </c>
      <c r="BH8" s="196">
        <f>BH9*BH17</f>
        <v>130.896510533829</v>
      </c>
      <c r="BI8" s="196">
        <f>BI9*BI17</f>
        <v>134.867545428491</v>
      </c>
      <c r="BJ8" s="196">
        <f>BJ9*BJ17</f>
        <v>139.038869974206</v>
      </c>
      <c r="BK8" s="196">
        <f>BK9*BK17</f>
        <v>143.168481274464</v>
      </c>
      <c r="BL8" s="196">
        <f>BL9*BL17</f>
        <v>147.256796461719</v>
      </c>
      <c r="BM8" s="196">
        <f>BM9*BM17</f>
        <v>151.544228497102</v>
      </c>
      <c r="BN8" s="214">
        <f>BN9*BN17</f>
        <v>13.9258047414396</v>
      </c>
      <c r="BO8" s="196">
        <f>BO9*BO17</f>
        <v>36.544208391921</v>
      </c>
      <c r="BP8" s="196">
        <f>BP9*BP17</f>
        <v>67.3585445736945</v>
      </c>
      <c r="BQ8" s="196">
        <f>BQ9*BQ17</f>
        <v>103.677321492299</v>
      </c>
      <c r="BR8" s="196">
        <f>BR9*BR17</f>
        <v>151.544228497102</v>
      </c>
    </row>
    <row r="9">
      <c r="C9" s="74" t="inlineStr">
        <is>
          <t>プレミアムプラン加入率</t>
        </is>
      </c>
      <c r="D9" s="502" t="inlineStr">
        <is>
          <t>税理士ドットコム実働率24%</t>
        </is>
      </c>
      <c r="E9" s="74" t="n"/>
      <c r="F9" s="198" t="n">
        <v>0.24</v>
      </c>
      <c r="G9" s="198" t="n">
        <v>0.24</v>
      </c>
      <c r="H9" s="198" t="n">
        <v>0.24</v>
      </c>
      <c r="I9" s="198" t="n">
        <v>0.24</v>
      </c>
      <c r="J9" s="198" t="n">
        <v>0.24</v>
      </c>
      <c r="K9" s="198" t="n">
        <v>0.24</v>
      </c>
      <c r="L9" s="198" t="n">
        <v>0.24</v>
      </c>
      <c r="M9" s="198" t="n">
        <v>0.24</v>
      </c>
      <c r="N9" s="198" t="n">
        <v>0.24</v>
      </c>
      <c r="O9" s="198" t="n">
        <v>0.24</v>
      </c>
      <c r="P9" s="198" t="n">
        <v>0.24</v>
      </c>
      <c r="Q9" s="198" t="n">
        <v>0.24</v>
      </c>
      <c r="R9" s="198" t="n">
        <v>0.24</v>
      </c>
      <c r="S9" s="198" t="n">
        <v>0.24</v>
      </c>
      <c r="T9" s="198" t="n">
        <v>0.24</v>
      </c>
      <c r="U9" s="198" t="n">
        <v>0.24</v>
      </c>
      <c r="V9" s="198" t="n">
        <v>0.24</v>
      </c>
      <c r="W9" s="198" t="n">
        <v>0.24</v>
      </c>
      <c r="X9" s="198" t="n">
        <v>0.24</v>
      </c>
      <c r="Y9" s="198" t="n">
        <v>0.24</v>
      </c>
      <c r="Z9" s="198" t="n">
        <v>0.24</v>
      </c>
      <c r="AA9" s="198" t="n">
        <v>0.24</v>
      </c>
      <c r="AB9" s="198" t="n">
        <v>0.24</v>
      </c>
      <c r="AC9" s="198" t="n">
        <v>0.24</v>
      </c>
      <c r="AD9" s="198" t="n">
        <v>0.24</v>
      </c>
      <c r="AE9" s="198" t="n">
        <v>0.24</v>
      </c>
      <c r="AF9" s="198" t="n">
        <v>0.24</v>
      </c>
      <c r="AG9" s="198" t="n">
        <v>0.24</v>
      </c>
      <c r="AH9" s="198" t="n">
        <v>0.24</v>
      </c>
      <c r="AI9" s="198" t="n">
        <v>0.24</v>
      </c>
      <c r="AJ9" s="198" t="n">
        <v>0.24</v>
      </c>
      <c r="AK9" s="198" t="n">
        <v>0.24</v>
      </c>
      <c r="AL9" s="198" t="n">
        <v>0.24</v>
      </c>
      <c r="AM9" s="198" t="n">
        <v>0.24</v>
      </c>
      <c r="AN9" s="198" t="n">
        <v>0.24</v>
      </c>
      <c r="AO9" s="198" t="n">
        <v>0.24</v>
      </c>
      <c r="AP9" s="198" t="n">
        <v>0.24</v>
      </c>
      <c r="AQ9" s="198" t="n">
        <v>0.24</v>
      </c>
      <c r="AR9" s="198" t="n">
        <v>0.24</v>
      </c>
      <c r="AS9" s="198" t="n">
        <v>0.24</v>
      </c>
      <c r="AT9" s="198" t="n">
        <v>0.24</v>
      </c>
      <c r="AU9" s="198" t="n">
        <v>0.24</v>
      </c>
      <c r="AV9" s="198" t="n">
        <v>0.24</v>
      </c>
      <c r="AW9" s="198" t="n">
        <v>0.24</v>
      </c>
      <c r="AX9" s="198" t="n">
        <v>0.24</v>
      </c>
      <c r="AY9" s="198" t="n">
        <v>0.24</v>
      </c>
      <c r="AZ9" s="198" t="n">
        <v>0.24</v>
      </c>
      <c r="BA9" s="198" t="n">
        <v>0.24</v>
      </c>
      <c r="BB9" s="198" t="n">
        <v>0.24</v>
      </c>
      <c r="BC9" s="198" t="n">
        <v>0.24</v>
      </c>
      <c r="BD9" s="198" t="n">
        <v>0.24</v>
      </c>
      <c r="BE9" s="198" t="n">
        <v>0.24</v>
      </c>
      <c r="BF9" s="198" t="n">
        <v>0.24</v>
      </c>
      <c r="BG9" s="198" t="n">
        <v>0.24</v>
      </c>
      <c r="BH9" s="198" t="n">
        <v>0.24</v>
      </c>
      <c r="BI9" s="198" t="n">
        <v>0.24</v>
      </c>
      <c r="BJ9" s="198" t="n">
        <v>0.24</v>
      </c>
      <c r="BK9" s="198" t="n">
        <v>0.24</v>
      </c>
      <c r="BL9" s="198" t="n">
        <v>0.24</v>
      </c>
      <c r="BM9" s="198" t="n">
        <v>0.24</v>
      </c>
      <c r="BN9" s="215" t="n">
        <v>0.24</v>
      </c>
      <c r="BO9" s="198" t="n">
        <v>0.24</v>
      </c>
      <c r="BP9" s="198" t="n">
        <v>0.24</v>
      </c>
      <c r="BQ9" s="198" t="n">
        <v>0.24</v>
      </c>
      <c r="BR9" s="198" t="n">
        <v>0.24</v>
      </c>
    </row>
    <row r="10">
      <c r="C10" s="208" t="inlineStr">
        <is>
          <t>通常プラン売上</t>
        </is>
      </c>
      <c r="D10" s="208" t="n"/>
      <c r="E10" s="208" t="n"/>
      <c r="F10" s="209">
        <f>F11*F12</f>
        <v>0.0</v>
      </c>
      <c r="G10" s="209">
        <f>G11*G12</f>
        <v>35676.1461422529</v>
      </c>
      <c r="H10" s="209">
        <f>H11*H12</f>
        <v>213343.353930672</v>
      </c>
      <c r="I10" s="209">
        <f>I11*I12</f>
        <v>387457.217563323</v>
      </c>
      <c r="J10" s="209">
        <f>J11*J12</f>
        <v>558088.803923322</v>
      </c>
      <c r="K10" s="209">
        <f>K11*K12</f>
        <v>760983.904698373</v>
      </c>
      <c r="L10" s="209">
        <f>L11*L12</f>
        <v>959821.103457923</v>
      </c>
      <c r="M10" s="209">
        <f>M11*M12</f>
        <v>1154681.55824228</v>
      </c>
      <c r="N10" s="209">
        <f>N11*N12</f>
        <v>1381320.95007321</v>
      </c>
      <c r="O10" s="209">
        <f>O11*O12</f>
        <v>1603427.55406751</v>
      </c>
      <c r="P10" s="209">
        <f>P11*P12</f>
        <v>1821092.02598193</v>
      </c>
      <c r="Q10" s="209">
        <f>Q11*Q12</f>
        <v>2070079.35460032</v>
      </c>
      <c r="R10" s="209">
        <f>R11*R12</f>
        <v>2314086.93664633</v>
      </c>
      <c r="S10" s="209">
        <f>S11*S12</f>
        <v>2553214.36705143</v>
      </c>
      <c r="T10" s="209">
        <f>T11*T12</f>
        <v>2823235.39499068</v>
      </c>
      <c r="U10" s="209">
        <f>U11*U12</f>
        <v>3087856.00237114</v>
      </c>
      <c r="V10" s="209">
        <f>V11*V12</f>
        <v>3347184.19760399</v>
      </c>
      <c r="W10" s="209">
        <f>W11*W12</f>
        <v>3637001.97507444</v>
      </c>
      <c r="X10" s="209">
        <f>X11*X12</f>
        <v>3921023.39699548</v>
      </c>
      <c r="Y10" s="209">
        <f>Y11*Y12</f>
        <v>4199364.3904781</v>
      </c>
      <c r="Z10" s="209">
        <f>Z11*Z12</f>
        <v>4507814.71023332</v>
      </c>
      <c r="AA10" s="209">
        <f>AA11*AA12</f>
        <v>4810096.02359344</v>
      </c>
      <c r="AB10" s="209">
        <f>AB11*AB12</f>
        <v>5106331.71068635</v>
      </c>
      <c r="AC10" s="209">
        <f>AC11*AC12</f>
        <v>5432318.83017966</v>
      </c>
      <c r="AD10" s="209">
        <f>AD11*AD12</f>
        <v>5778947.801434</v>
      </c>
      <c r="AE10" s="209">
        <f>AE11*AE12</f>
        <v>6120377.33811952</v>
      </c>
      <c r="AF10" s="209">
        <f>AF11*AF12</f>
        <v>6492361.57789702</v>
      </c>
      <c r="AG10" s="209">
        <f>AG11*AG12</f>
        <v>6858766.05407785</v>
      </c>
      <c r="AH10" s="209">
        <f>AH11*AH12</f>
        <v>7219674.46311597</v>
      </c>
      <c r="AI10" s="209">
        <f>AI11*AI12</f>
        <v>7610845.39216077</v>
      </c>
      <c r="AJ10" s="209">
        <f>AJ11*AJ12</f>
        <v>7996148.7572699</v>
      </c>
      <c r="AK10" s="209">
        <f>AK11*AK12</f>
        <v>8375672.57190239</v>
      </c>
      <c r="AL10" s="209">
        <f>AL11*AL12</f>
        <v>8785179.67545765</v>
      </c>
      <c r="AM10" s="209">
        <f>AM11*AM12</f>
        <v>9188544.17245958</v>
      </c>
      <c r="AN10" s="209">
        <f>AN11*AN12</f>
        <v>9585858.20200648</v>
      </c>
      <c r="AO10" s="209">
        <f>AO11*AO12</f>
        <v>10012888.6672524</v>
      </c>
      <c r="AP10" s="209">
        <f>AP11*AP12</f>
        <v>10433513.6755197</v>
      </c>
      <c r="AQ10" s="209">
        <f>AQ11*AQ12</f>
        <v>10847829.3086629</v>
      </c>
      <c r="AR10" s="209">
        <f>AR11*AR12</f>
        <v>11291606.3534513</v>
      </c>
      <c r="AS10" s="209">
        <f>AS11*AS12</f>
        <v>11728726.7425678</v>
      </c>
      <c r="AT10" s="209">
        <f>AT11*AT12</f>
        <v>12159290.3258476</v>
      </c>
      <c r="AU10" s="209">
        <f>AU11*AU12</f>
        <v>12619071.6015204</v>
      </c>
      <c r="AV10" s="209">
        <f>AV11*AV12</f>
        <v>13071956.1580582</v>
      </c>
      <c r="AW10" s="209">
        <f>AW11*AW12</f>
        <v>13518047.4462479</v>
      </c>
      <c r="AX10" s="209">
        <f>AX11*AX12</f>
        <v>13993123.511257</v>
      </c>
      <c r="AY10" s="209">
        <f>AY11*AY12</f>
        <v>14461073.4352909</v>
      </c>
      <c r="AZ10" s="209">
        <f>AZ11*AZ12</f>
        <v>14922004.1104643</v>
      </c>
      <c r="BA10" s="209">
        <f>BA11*BA12</f>
        <v>15411696.9716524</v>
      </c>
      <c r="BB10" s="209">
        <f>BB11*BB12</f>
        <v>15971102.924781</v>
      </c>
      <c r="BC10" s="209">
        <f>BC11*BC12</f>
        <v>16524914.8183782</v>
      </c>
      <c r="BD10" s="209">
        <f>BD11*BD12</f>
        <v>17108864.7391818</v>
      </c>
      <c r="BE10" s="209">
        <f>BE11*BE12</f>
        <v>17686975.1607772</v>
      </c>
      <c r="BF10" s="209">
        <f>BF11*BF12</f>
        <v>18259304.4781568</v>
      </c>
      <c r="BG10" s="209">
        <f>BG11*BG12</f>
        <v>18861586.6485048</v>
      </c>
      <c r="BH10" s="209">
        <f>BH11*BH12</f>
        <v>19457845.9971493</v>
      </c>
      <c r="BI10" s="209">
        <f>BI11*BI12</f>
        <v>20048142.7523074</v>
      </c>
      <c r="BJ10" s="209">
        <f>BJ11*BJ12</f>
        <v>20668212.6860561</v>
      </c>
      <c r="BK10" s="209">
        <f>BK11*BK12</f>
        <v>21282081.9204674</v>
      </c>
      <c r="BL10" s="209">
        <f>BL11*BL12</f>
        <v>21889812.4625345</v>
      </c>
      <c r="BM10" s="209">
        <f>BM11*BM12</f>
        <v>22527141.8453232</v>
      </c>
      <c r="BN10" s="213">
        <f>SUM(F10:Q10)</f>
        <v>10945971.9726811</v>
      </c>
      <c r="BO10" s="209">
        <f>SUM(R10:AC10)</f>
        <v>45739527.9359044</v>
      </c>
      <c r="BP10" s="209">
        <f>SUM(AD10:AO10)</f>
        <v>94025264.6731536</v>
      </c>
      <c r="BQ10" s="209">
        <f>SUM(AP10:BA10)</f>
        <v>154457939.64054</v>
      </c>
      <c r="BR10" s="209">
        <f>SUM(BB10:BM10)</f>
        <v>230285986.433618</v>
      </c>
    </row>
    <row r="11">
      <c r="C11" s="74" t="inlineStr">
        <is>
          <t>システム利用料アカウント単価</t>
        </is>
      </c>
      <c r="D11" s="64" t="n"/>
      <c r="E11" s="64" t="n"/>
      <c r="F11" s="196" t="n">
        <v>19800</v>
      </c>
      <c r="G11" s="196" t="n">
        <v>19800</v>
      </c>
      <c r="H11" s="196" t="n">
        <v>19800</v>
      </c>
      <c r="I11" s="196" t="n">
        <v>19800</v>
      </c>
      <c r="J11" s="196" t="n">
        <v>19800</v>
      </c>
      <c r="K11" s="196" t="n">
        <v>19800</v>
      </c>
      <c r="L11" s="196" t="n">
        <v>19800</v>
      </c>
      <c r="M11" s="196" t="n">
        <v>19800</v>
      </c>
      <c r="N11" s="196" t="n">
        <v>19800</v>
      </c>
      <c r="O11" s="196" t="n">
        <v>19800</v>
      </c>
      <c r="P11" s="196" t="n">
        <v>19800</v>
      </c>
      <c r="Q11" s="196" t="n">
        <v>19800</v>
      </c>
      <c r="R11" s="196" t="n">
        <v>19800</v>
      </c>
      <c r="S11" s="196" t="n">
        <v>19800</v>
      </c>
      <c r="T11" s="196" t="n">
        <v>19800</v>
      </c>
      <c r="U11" s="196" t="n">
        <v>19800</v>
      </c>
      <c r="V11" s="196" t="n">
        <v>19800</v>
      </c>
      <c r="W11" s="196" t="n">
        <v>19800</v>
      </c>
      <c r="X11" s="196" t="n">
        <v>19800</v>
      </c>
      <c r="Y11" s="196" t="n">
        <v>19800</v>
      </c>
      <c r="Z11" s="196" t="n">
        <v>19800</v>
      </c>
      <c r="AA11" s="196" t="n">
        <v>19800</v>
      </c>
      <c r="AB11" s="196" t="n">
        <v>19800</v>
      </c>
      <c r="AC11" s="196" t="n">
        <v>19800</v>
      </c>
      <c r="AD11" s="196" t="n">
        <v>19800</v>
      </c>
      <c r="AE11" s="196" t="n">
        <v>19800</v>
      </c>
      <c r="AF11" s="196" t="n">
        <v>19800</v>
      </c>
      <c r="AG11" s="196" t="n">
        <v>19800</v>
      </c>
      <c r="AH11" s="196" t="n">
        <v>19800</v>
      </c>
      <c r="AI11" s="196" t="n">
        <v>19800</v>
      </c>
      <c r="AJ11" s="196" t="n">
        <v>19800</v>
      </c>
      <c r="AK11" s="196" t="n">
        <v>19800</v>
      </c>
      <c r="AL11" s="196" t="n">
        <v>19800</v>
      </c>
      <c r="AM11" s="196" t="n">
        <v>19800</v>
      </c>
      <c r="AN11" s="196" t="n">
        <v>19800</v>
      </c>
      <c r="AO11" s="196" t="n">
        <v>19800</v>
      </c>
      <c r="AP11" s="196" t="n">
        <v>19800</v>
      </c>
      <c r="AQ11" s="196" t="n">
        <v>19800</v>
      </c>
      <c r="AR11" s="196" t="n">
        <v>19800</v>
      </c>
      <c r="AS11" s="196" t="n">
        <v>19800</v>
      </c>
      <c r="AT11" s="196" t="n">
        <v>19800</v>
      </c>
      <c r="AU11" s="196" t="n">
        <v>19800</v>
      </c>
      <c r="AV11" s="196" t="n">
        <v>19800</v>
      </c>
      <c r="AW11" s="196" t="n">
        <v>19800</v>
      </c>
      <c r="AX11" s="196" t="n">
        <v>19800</v>
      </c>
      <c r="AY11" s="196" t="n">
        <v>19800</v>
      </c>
      <c r="AZ11" s="196" t="n">
        <v>19800</v>
      </c>
      <c r="BA11" s="196" t="n">
        <v>19800</v>
      </c>
      <c r="BB11" s="196" t="n">
        <v>19800</v>
      </c>
      <c r="BC11" s="196" t="n">
        <v>19800</v>
      </c>
      <c r="BD11" s="196" t="n">
        <v>19800</v>
      </c>
      <c r="BE11" s="196" t="n">
        <v>19800</v>
      </c>
      <c r="BF11" s="196" t="n">
        <v>19800</v>
      </c>
      <c r="BG11" s="196" t="n">
        <v>19800</v>
      </c>
      <c r="BH11" s="196" t="n">
        <v>19800</v>
      </c>
      <c r="BI11" s="196" t="n">
        <v>19800</v>
      </c>
      <c r="BJ11" s="196" t="n">
        <v>19800</v>
      </c>
      <c r="BK11" s="196" t="n">
        <v>19800</v>
      </c>
      <c r="BL11" s="196" t="n">
        <v>19800</v>
      </c>
      <c r="BM11" s="196" t="n">
        <v>19800</v>
      </c>
      <c r="BN11" s="214" t="n">
        <v>19800</v>
      </c>
      <c r="BO11" s="196" t="n">
        <v>19800</v>
      </c>
      <c r="BP11" s="196" t="n">
        <v>19800</v>
      </c>
      <c r="BQ11" s="196" t="n">
        <v>19800</v>
      </c>
      <c r="BR11" s="196" t="n">
        <v>19800</v>
      </c>
    </row>
    <row r="12">
      <c r="C12" s="208" t="inlineStr">
        <is>
          <t>アカウント数</t>
        </is>
      </c>
      <c r="D12" s="210" t="n"/>
      <c r="E12" s="210" t="n"/>
      <c r="F12" s="209">
        <f>F14*F17+F15*F17*F16</f>
        <v>0.0</v>
      </c>
      <c r="G12" s="209">
        <f>G14*G17+G15*G17*G16</f>
        <v>1.80182556274005</v>
      </c>
      <c r="H12" s="209">
        <f>H14*H17+H15*H17*H16</f>
        <v>10.7749168651855</v>
      </c>
      <c r="I12" s="209">
        <f>I14*I17+I15*I17*I16</f>
        <v>19.568546341582</v>
      </c>
      <c r="J12" s="209">
        <f>J14*J17+J15*J17*J16</f>
        <v>28.1863032284506</v>
      </c>
      <c r="K12" s="209">
        <f>K14*K17+K15*K17*K16</f>
        <v>38.4335305403219</v>
      </c>
      <c r="L12" s="209">
        <f>L14*L17+L15*L17*L16</f>
        <v>48.4758133059557</v>
      </c>
      <c r="M12" s="209">
        <f>M14*M17+M15*M17*M16</f>
        <v>58.3172504162769</v>
      </c>
      <c r="N12" s="209">
        <f>N14*N17+N15*N17*N16</f>
        <v>69.7636843471316</v>
      </c>
      <c r="O12" s="209">
        <f>O14*O17+O15*O17*O16</f>
        <v>80.9811895993693</v>
      </c>
      <c r="P12" s="209">
        <f>P14*P17+P15*P17*P16</f>
        <v>91.9743447465623</v>
      </c>
      <c r="Q12" s="209">
        <f>Q14*Q17+Q15*Q17*Q16</f>
        <v>104.549462353551</v>
      </c>
      <c r="R12" s="209">
        <f>R14*R17+R15*R17*R16</f>
        <v>116.873077608401</v>
      </c>
      <c r="S12" s="209">
        <f>S14*S17+S15*S17*S16</f>
        <v>128.950220558153</v>
      </c>
      <c r="T12" s="209">
        <f>T14*T17+T15*T17*T16</f>
        <v>142.58764621165</v>
      </c>
      <c r="U12" s="209">
        <f>U14*U17+U15*U17*U16</f>
        <v>155.952323352078</v>
      </c>
      <c r="V12" s="209">
        <f>V14*V17+V15*V17*V16</f>
        <v>169.049706949697</v>
      </c>
      <c r="W12" s="209">
        <f>W14*W17+W15*W17*W16</f>
        <v>183.686968438103</v>
      </c>
      <c r="X12" s="209">
        <f>X14*X17+X15*X17*X16</f>
        <v>198.031484696742</v>
      </c>
      <c r="Y12" s="209">
        <f>Y14*Y17+Y15*Y17*Y16</f>
        <v>212.089110630207</v>
      </c>
      <c r="Z12" s="209">
        <f>Z14*Z17+Z15*Z17*Z16</f>
        <v>227.667409607744</v>
      </c>
      <c r="AA12" s="209">
        <f>AA14*AA17+AA15*AA17*AA16</f>
        <v>242.934142605729</v>
      </c>
      <c r="AB12" s="209">
        <f>AB14*AB17+AB15*AB17*AB16</f>
        <v>257.895540943755</v>
      </c>
      <c r="AC12" s="209">
        <f>AC14*AC17+AC15*AC17*AC16</f>
        <v>274.359536877761</v>
      </c>
      <c r="AD12" s="209">
        <f>AD14*AD17+AD15*AD17*AD16</f>
        <v>291.866050577475</v>
      </c>
      <c r="AE12" s="209">
        <f>AE14*AE17+AE15*AE17*AE16</f>
        <v>309.109966571693</v>
      </c>
      <c r="AF12" s="209">
        <f>AF14*AF17+AF15*AF17*AF16</f>
        <v>327.897049388738</v>
      </c>
      <c r="AG12" s="209">
        <f>AG14*AG17+AG15*AG17*AG16</f>
        <v>346.402325963528</v>
      </c>
      <c r="AH12" s="209">
        <f>AH14*AH17+AH15*AH17*AH16</f>
        <v>364.630023389696</v>
      </c>
      <c r="AI12" s="209">
        <f>AI14*AI17+AI15*AI17*AI16</f>
        <v>384.386130917211</v>
      </c>
      <c r="AJ12" s="209">
        <f>AJ14*AJ17+AJ15*AJ17*AJ16</f>
        <v>403.845896831813</v>
      </c>
      <c r="AK12" s="209">
        <f>AK14*AK17+AK15*AK17*AK16</f>
        <v>423.013766257697</v>
      </c>
      <c r="AL12" s="209">
        <f>AL14*AL17+AL15*AL17*AL16</f>
        <v>443.695943204932</v>
      </c>
      <c r="AM12" s="209">
        <f>AM14*AM17+AM15*AM17*AM16</f>
        <v>464.067887497959</v>
      </c>
      <c r="AN12" s="209">
        <f>AN14*AN17+AN15*AN17*AN16</f>
        <v>484.13425262659</v>
      </c>
      <c r="AO12" s="209">
        <f>AO14*AO17+AO15*AO17*AO16</f>
        <v>505.701447841032</v>
      </c>
      <c r="AP12" s="209">
        <f>AP14*AP17+AP15*AP17*AP16</f>
        <v>526.945135127257</v>
      </c>
      <c r="AQ12" s="209">
        <f>AQ14*AQ17+AQ15*AQ17*AQ16</f>
        <v>547.870167104189</v>
      </c>
      <c r="AR12" s="209">
        <f>AR14*AR17+AR15*AR17*AR16</f>
        <v>570.283149164207</v>
      </c>
      <c r="AS12" s="209">
        <f>AS14*AS17+AS15*AS17*AS16</f>
        <v>592.359936493324</v>
      </c>
      <c r="AT12" s="209">
        <f>AT14*AT17+AT15*AT17*AT16</f>
        <v>614.105572012505</v>
      </c>
      <c r="AU12" s="209">
        <f>AU14*AU17+AU15*AU17*AU16</f>
        <v>637.326848561639</v>
      </c>
      <c r="AV12" s="209">
        <f>AV14*AV17+AV15*AV17*AV16</f>
        <v>660.199805962535</v>
      </c>
      <c r="AW12" s="209">
        <f>AW14*AW17+AW15*AW17*AW16</f>
        <v>682.729669002418</v>
      </c>
      <c r="AX12" s="209">
        <f>AX14*AX17+AX15*AX17*AX16</f>
        <v>706.723409659442</v>
      </c>
      <c r="AY12" s="209">
        <f>AY14*AY17+AY15*AY17*AY16</f>
        <v>730.357244206611</v>
      </c>
      <c r="AZ12" s="209">
        <f>AZ14*AZ17+AZ15*AZ17*AZ16</f>
        <v>753.636571235573</v>
      </c>
      <c r="BA12" s="209">
        <f>BA14*BA17+BA15*BA17*BA16</f>
        <v>778.36853392184</v>
      </c>
      <c r="BB12" s="209">
        <f>BB14*BB17+BB15*BB17*BB16</f>
        <v>806.621359837423</v>
      </c>
      <c r="BC12" s="209">
        <f>BC14*BC17+BC15*BC17*BC16</f>
        <v>834.59165749385</v>
      </c>
      <c r="BD12" s="209">
        <f>BD14*BD17+BD15*BD17*BD16</f>
        <v>864.084077736452</v>
      </c>
      <c r="BE12" s="209">
        <f>BE14*BE17+BE15*BE17*BE16</f>
        <v>893.281573776628</v>
      </c>
      <c r="BF12" s="209">
        <f>BF14*BF17+BF15*BF17*BF16</f>
        <v>922.187094856403</v>
      </c>
      <c r="BG12" s="209">
        <f>BG14*BG17+BG15*BG17*BG16</f>
        <v>952.60538628812</v>
      </c>
      <c r="BH12" s="209">
        <f>BH14*BH17+BH15*BH17*BH16</f>
        <v>982.71949480552</v>
      </c>
      <c r="BI12" s="209">
        <f>BI14*BI17+BI15*BI17*BI16</f>
        <v>1012.53246223775</v>
      </c>
      <c r="BJ12" s="209">
        <f>BJ14*BJ17+BJ15*BJ17*BJ16</f>
        <v>1043.84912555839</v>
      </c>
      <c r="BK12" s="209">
        <f>BK14*BK17+BK15*BK17*BK16</f>
        <v>1074.85262224583</v>
      </c>
      <c r="BL12" s="209">
        <f>BL14*BL17+BL15*BL17*BL16</f>
        <v>1105.54608396639</v>
      </c>
      <c r="BM12" s="209">
        <f>BM14*BM17+BM15*BM17*BM16</f>
        <v>1137.73443663249</v>
      </c>
      <c r="BN12" s="213">
        <f>Q12</f>
        <v>104.549462353551</v>
      </c>
      <c r="BO12" s="209">
        <f>AC12</f>
        <v>274.359536877761</v>
      </c>
      <c r="BP12" s="209">
        <f>AO12</f>
        <v>505.701447841032</v>
      </c>
      <c r="BQ12" s="209">
        <f>BQ14*BQ17+BQ15*BQ17*BQ16</f>
        <v>778.36853392184</v>
      </c>
      <c r="BR12" s="209">
        <f>BR14*BR17+BR15*BR17*BR16</f>
        <v>1137.73443663249</v>
      </c>
    </row>
    <row r="13">
      <c r="C13" s="74" t="inlineStr">
        <is>
          <t>税理士登録者</t>
        </is>
      </c>
      <c r="D13" s="502" t="n">
        <v>82276</v>
      </c>
      <c r="E13" s="502" t="n"/>
      <c r="F13" s="198" t="n">
        <v>0.9996475278331469</v>
      </c>
      <c r="G13" s="198" t="n">
        <v>0.9996475278331469</v>
      </c>
      <c r="H13" s="198" t="n">
        <v>0.9996475278331469</v>
      </c>
      <c r="I13" s="198" t="n">
        <v>0.9996475278331469</v>
      </c>
      <c r="J13" s="198" t="n">
        <v>0.9996475278331469</v>
      </c>
      <c r="K13" s="198" t="n">
        <v>0.9996475278331469</v>
      </c>
      <c r="L13" s="198" t="n">
        <v>0.9996475278331469</v>
      </c>
      <c r="M13" s="198" t="n">
        <v>0.9996475278331469</v>
      </c>
      <c r="N13" s="198" t="n">
        <v>0.9996475278331469</v>
      </c>
      <c r="O13" s="198" t="n">
        <v>0.9996475278331469</v>
      </c>
      <c r="P13" s="198" t="n">
        <v>0.9996475278331469</v>
      </c>
      <c r="Q13" s="198" t="n">
        <v>0.9996475278331469</v>
      </c>
      <c r="R13" s="198" t="n">
        <v>0.9996475278331469</v>
      </c>
      <c r="S13" s="198" t="n">
        <v>0.9996475278331469</v>
      </c>
      <c r="T13" s="198" t="n">
        <v>0.9996475278331469</v>
      </c>
      <c r="U13" s="198" t="n">
        <v>0.9996475278331469</v>
      </c>
      <c r="V13" s="198" t="n">
        <v>0.9996475278331469</v>
      </c>
      <c r="W13" s="198" t="n">
        <v>0.9996475278331469</v>
      </c>
      <c r="X13" s="198" t="n">
        <v>0.9996475278331469</v>
      </c>
      <c r="Y13" s="198" t="n">
        <v>0.9996475278331469</v>
      </c>
      <c r="Z13" s="198" t="n">
        <v>0.9996475278331469</v>
      </c>
      <c r="AA13" s="198" t="n">
        <v>0.9996475278331469</v>
      </c>
      <c r="AB13" s="198" t="n">
        <v>0.9996475278331469</v>
      </c>
      <c r="AC13" s="198" t="n">
        <v>0.9996475278331469</v>
      </c>
      <c r="AD13" s="198" t="n">
        <v>0.9996475278331469</v>
      </c>
      <c r="AE13" s="198" t="n">
        <v>0.9996475278331469</v>
      </c>
      <c r="AF13" s="198" t="n">
        <v>0.9996475278331469</v>
      </c>
      <c r="AG13" s="198" t="n">
        <v>0.9996475278331469</v>
      </c>
      <c r="AH13" s="198" t="n">
        <v>0.9996475278331469</v>
      </c>
      <c r="AI13" s="198" t="n">
        <v>0.9996475278331469</v>
      </c>
      <c r="AJ13" s="198" t="n">
        <v>0.9996475278331469</v>
      </c>
      <c r="AK13" s="198" t="n">
        <v>0.9996475278331469</v>
      </c>
      <c r="AL13" s="198" t="n">
        <v>0.9996475278331469</v>
      </c>
      <c r="AM13" s="198" t="n">
        <v>0.9996475278331469</v>
      </c>
      <c r="AN13" s="198" t="n">
        <v>0.9996475278331469</v>
      </c>
      <c r="AO13" s="198" t="n">
        <v>0.9996475278331469</v>
      </c>
      <c r="AP13" s="198" t="n">
        <v>0.9996475278331469</v>
      </c>
      <c r="AQ13" s="198" t="n">
        <v>0.9996475278331469</v>
      </c>
      <c r="AR13" s="198" t="n">
        <v>0.9996475278331469</v>
      </c>
      <c r="AS13" s="198" t="n">
        <v>0.9996475278331469</v>
      </c>
      <c r="AT13" s="198" t="n">
        <v>0.9996475278331469</v>
      </c>
      <c r="AU13" s="198" t="n">
        <v>0.9996475278331469</v>
      </c>
      <c r="AV13" s="198" t="n">
        <v>0.9996475278331469</v>
      </c>
      <c r="AW13" s="198" t="n">
        <v>0.9996475278331469</v>
      </c>
      <c r="AX13" s="198" t="n">
        <v>0.9996475278331469</v>
      </c>
      <c r="AY13" s="198" t="n">
        <v>0.9996475278331469</v>
      </c>
      <c r="AZ13" s="198" t="n">
        <v>0.9996475278331469</v>
      </c>
      <c r="BA13" s="198" t="n">
        <v>0.9996475278331469</v>
      </c>
      <c r="BB13" s="198" t="n">
        <v>0.9996475278331469</v>
      </c>
      <c r="BC13" s="198" t="n">
        <v>0.9996475278331469</v>
      </c>
      <c r="BD13" s="198" t="n">
        <v>0.9996475278331469</v>
      </c>
      <c r="BE13" s="198" t="n">
        <v>0.9996475278331469</v>
      </c>
      <c r="BF13" s="198" t="n">
        <v>0.9996475278331469</v>
      </c>
      <c r="BG13" s="198" t="n">
        <v>0.9996475278331469</v>
      </c>
      <c r="BH13" s="198" t="n">
        <v>0.9996475278331469</v>
      </c>
      <c r="BI13" s="198" t="n">
        <v>0.9996475278331469</v>
      </c>
      <c r="BJ13" s="198" t="n">
        <v>0.9996475278331469</v>
      </c>
      <c r="BK13" s="198" t="n">
        <v>0.9996475278331469</v>
      </c>
      <c r="BL13" s="198" t="n">
        <v>0.9996475278331469</v>
      </c>
      <c r="BM13" s="198" t="n">
        <v>0.9996475278331469</v>
      </c>
      <c r="BN13" s="215" t="n">
        <v>0.9996475278331469</v>
      </c>
      <c r="BO13" s="198" t="n">
        <v>0.9996475278331469</v>
      </c>
      <c r="BP13" s="198" t="n">
        <v>0.9996475278331469</v>
      </c>
      <c r="BQ13" s="198" t="n">
        <v>0.9996475278331469</v>
      </c>
      <c r="BR13" s="198" t="n">
        <v>0.9996475278331469</v>
      </c>
    </row>
    <row r="14">
      <c r="C14" s="74" t="inlineStr">
        <is>
          <t>├ 開業税理士（個人事務所の所長）</t>
        </is>
      </c>
      <c r="D14" s="502" t="n">
        <v>55847</v>
      </c>
      <c r="E14" s="502" t="n"/>
      <c r="F14" s="198" t="n">
        <v>0.6787763138703875</v>
      </c>
      <c r="G14" s="198" t="n">
        <v>0.6787763138703875</v>
      </c>
      <c r="H14" s="198" t="n">
        <v>0.6787763138703875</v>
      </c>
      <c r="I14" s="198" t="n">
        <v>0.6787763138703875</v>
      </c>
      <c r="J14" s="198" t="n">
        <v>0.6787763138703875</v>
      </c>
      <c r="K14" s="198" t="n">
        <v>0.6787763138703875</v>
      </c>
      <c r="L14" s="198" t="n">
        <v>0.6787763138703875</v>
      </c>
      <c r="M14" s="198" t="n">
        <v>0.6787763138703875</v>
      </c>
      <c r="N14" s="198" t="n">
        <v>0.6787763138703875</v>
      </c>
      <c r="O14" s="198" t="n">
        <v>0.6787763138703875</v>
      </c>
      <c r="P14" s="198" t="n">
        <v>0.6787763138703875</v>
      </c>
      <c r="Q14" s="198" t="n">
        <v>0.6787763138703875</v>
      </c>
      <c r="R14" s="198" t="n">
        <v>0.6787763138703875</v>
      </c>
      <c r="S14" s="198" t="n">
        <v>0.6787763138703875</v>
      </c>
      <c r="T14" s="198" t="n">
        <v>0.6787763138703875</v>
      </c>
      <c r="U14" s="198" t="n">
        <v>0.6787763138703875</v>
      </c>
      <c r="V14" s="198" t="n">
        <v>0.6787763138703875</v>
      </c>
      <c r="W14" s="198" t="n">
        <v>0.6787763138703875</v>
      </c>
      <c r="X14" s="198" t="n">
        <v>0.6787763138703875</v>
      </c>
      <c r="Y14" s="198" t="n">
        <v>0.6787763138703875</v>
      </c>
      <c r="Z14" s="198" t="n">
        <v>0.6787763138703875</v>
      </c>
      <c r="AA14" s="198" t="n">
        <v>0.6787763138703875</v>
      </c>
      <c r="AB14" s="198" t="n">
        <v>0.6787763138703875</v>
      </c>
      <c r="AC14" s="198" t="n">
        <v>0.6787763138703875</v>
      </c>
      <c r="AD14" s="198" t="n">
        <v>0.6787763138703875</v>
      </c>
      <c r="AE14" s="198" t="n">
        <v>0.6787763138703875</v>
      </c>
      <c r="AF14" s="198" t="n">
        <v>0.6787763138703875</v>
      </c>
      <c r="AG14" s="198" t="n">
        <v>0.6787763138703875</v>
      </c>
      <c r="AH14" s="198" t="n">
        <v>0.6787763138703875</v>
      </c>
      <c r="AI14" s="198" t="n">
        <v>0.6787763138703875</v>
      </c>
      <c r="AJ14" s="198" t="n">
        <v>0.6787763138703875</v>
      </c>
      <c r="AK14" s="198" t="n">
        <v>0.6787763138703875</v>
      </c>
      <c r="AL14" s="198" t="n">
        <v>0.6787763138703875</v>
      </c>
      <c r="AM14" s="198" t="n">
        <v>0.6787763138703875</v>
      </c>
      <c r="AN14" s="198" t="n">
        <v>0.6787763138703875</v>
      </c>
      <c r="AO14" s="198" t="n">
        <v>0.6787763138703875</v>
      </c>
      <c r="AP14" s="198" t="n">
        <v>0.6787763138703875</v>
      </c>
      <c r="AQ14" s="198" t="n">
        <v>0.6787763138703875</v>
      </c>
      <c r="AR14" s="198" t="n">
        <v>0.6787763138703875</v>
      </c>
      <c r="AS14" s="198" t="n">
        <v>0.6787763138703875</v>
      </c>
      <c r="AT14" s="198" t="n">
        <v>0.6787763138703875</v>
      </c>
      <c r="AU14" s="198" t="n">
        <v>0.6787763138703875</v>
      </c>
      <c r="AV14" s="198" t="n">
        <v>0.6787763138703875</v>
      </c>
      <c r="AW14" s="198" t="n">
        <v>0.6787763138703875</v>
      </c>
      <c r="AX14" s="198" t="n">
        <v>0.6787763138703875</v>
      </c>
      <c r="AY14" s="198" t="n">
        <v>0.6787763138703875</v>
      </c>
      <c r="AZ14" s="198" t="n">
        <v>0.6787763138703875</v>
      </c>
      <c r="BA14" s="198" t="n">
        <v>0.6787763138703875</v>
      </c>
      <c r="BB14" s="198" t="n">
        <v>0.6787763138703875</v>
      </c>
      <c r="BC14" s="198" t="n">
        <v>0.6787763138703875</v>
      </c>
      <c r="BD14" s="198" t="n">
        <v>0.6787763138703875</v>
      </c>
      <c r="BE14" s="198" t="n">
        <v>0.6787763138703875</v>
      </c>
      <c r="BF14" s="198" t="n">
        <v>0.6787763138703875</v>
      </c>
      <c r="BG14" s="198" t="n">
        <v>0.6787763138703875</v>
      </c>
      <c r="BH14" s="198" t="n">
        <v>0.6787763138703875</v>
      </c>
      <c r="BI14" s="198" t="n">
        <v>0.6787763138703875</v>
      </c>
      <c r="BJ14" s="198" t="n">
        <v>0.6787763138703875</v>
      </c>
      <c r="BK14" s="198" t="n">
        <v>0.6787763138703875</v>
      </c>
      <c r="BL14" s="198" t="n">
        <v>0.6787763138703875</v>
      </c>
      <c r="BM14" s="198" t="n">
        <v>0.6787763138703875</v>
      </c>
      <c r="BN14" s="215" t="n">
        <v>0.6787763138703875</v>
      </c>
      <c r="BO14" s="198" t="n">
        <v>0.6787763138703875</v>
      </c>
      <c r="BP14" s="198" t="n">
        <v>0.6787763138703875</v>
      </c>
      <c r="BQ14" s="198" t="n">
        <v>0.6787763138703875</v>
      </c>
      <c r="BR14" s="198" t="n">
        <v>0.6787763138703875</v>
      </c>
    </row>
    <row r="15">
      <c r="C15" s="74" t="inlineStr">
        <is>
          <t>├ うち法人・勤務系</t>
        </is>
      </c>
      <c r="D15" s="502" t="n">
        <v>26400</v>
      </c>
      <c r="E15" s="502" t="n"/>
      <c r="F15" s="198" t="n">
        <v>0.3208712139627595</v>
      </c>
      <c r="G15" s="198" t="n">
        <v>0.3208712139627595</v>
      </c>
      <c r="H15" s="198" t="n">
        <v>0.3208712139627595</v>
      </c>
      <c r="I15" s="198" t="n">
        <v>0.3208712139627595</v>
      </c>
      <c r="J15" s="198" t="n">
        <v>0.3208712139627595</v>
      </c>
      <c r="K15" s="198" t="n">
        <v>0.3208712139627595</v>
      </c>
      <c r="L15" s="198" t="n">
        <v>0.3208712139627595</v>
      </c>
      <c r="M15" s="198" t="n">
        <v>0.3208712139627595</v>
      </c>
      <c r="N15" s="198" t="n">
        <v>0.3208712139627595</v>
      </c>
      <c r="O15" s="198" t="n">
        <v>0.3208712139627595</v>
      </c>
      <c r="P15" s="198" t="n">
        <v>0.3208712139627595</v>
      </c>
      <c r="Q15" s="198" t="n">
        <v>0.3208712139627595</v>
      </c>
      <c r="R15" s="198" t="n">
        <v>0.3208712139627595</v>
      </c>
      <c r="S15" s="198" t="n">
        <v>0.3208712139627595</v>
      </c>
      <c r="T15" s="198" t="n">
        <v>0.3208712139627595</v>
      </c>
      <c r="U15" s="198" t="n">
        <v>0.3208712139627595</v>
      </c>
      <c r="V15" s="198" t="n">
        <v>0.3208712139627595</v>
      </c>
      <c r="W15" s="198" t="n">
        <v>0.3208712139627595</v>
      </c>
      <c r="X15" s="198" t="n">
        <v>0.3208712139627595</v>
      </c>
      <c r="Y15" s="198" t="n">
        <v>0.3208712139627595</v>
      </c>
      <c r="Z15" s="198" t="n">
        <v>0.3208712139627595</v>
      </c>
      <c r="AA15" s="198" t="n">
        <v>0.3208712139627595</v>
      </c>
      <c r="AB15" s="198" t="n">
        <v>0.3208712139627595</v>
      </c>
      <c r="AC15" s="198" t="n">
        <v>0.3208712139627595</v>
      </c>
      <c r="AD15" s="198" t="n">
        <v>0.3208712139627595</v>
      </c>
      <c r="AE15" s="198" t="n">
        <v>0.3208712139627595</v>
      </c>
      <c r="AF15" s="198" t="n">
        <v>0.3208712139627595</v>
      </c>
      <c r="AG15" s="198" t="n">
        <v>0.3208712139627595</v>
      </c>
      <c r="AH15" s="198" t="n">
        <v>0.3208712139627595</v>
      </c>
      <c r="AI15" s="198" t="n">
        <v>0.3208712139627595</v>
      </c>
      <c r="AJ15" s="198" t="n">
        <v>0.3208712139627595</v>
      </c>
      <c r="AK15" s="198" t="n">
        <v>0.3208712139627595</v>
      </c>
      <c r="AL15" s="198" t="n">
        <v>0.3208712139627595</v>
      </c>
      <c r="AM15" s="198" t="n">
        <v>0.3208712139627595</v>
      </c>
      <c r="AN15" s="198" t="n">
        <v>0.3208712139627595</v>
      </c>
      <c r="AO15" s="198" t="n">
        <v>0.3208712139627595</v>
      </c>
      <c r="AP15" s="198" t="n">
        <v>0.3208712139627595</v>
      </c>
      <c r="AQ15" s="198" t="n">
        <v>0.3208712139627595</v>
      </c>
      <c r="AR15" s="198" t="n">
        <v>0.3208712139627595</v>
      </c>
      <c r="AS15" s="198" t="n">
        <v>0.3208712139627595</v>
      </c>
      <c r="AT15" s="198" t="n">
        <v>0.3208712139627595</v>
      </c>
      <c r="AU15" s="198" t="n">
        <v>0.3208712139627595</v>
      </c>
      <c r="AV15" s="198" t="n">
        <v>0.3208712139627595</v>
      </c>
      <c r="AW15" s="198" t="n">
        <v>0.3208712139627595</v>
      </c>
      <c r="AX15" s="198" t="n">
        <v>0.3208712139627595</v>
      </c>
      <c r="AY15" s="198" t="n">
        <v>0.3208712139627595</v>
      </c>
      <c r="AZ15" s="198" t="n">
        <v>0.3208712139627595</v>
      </c>
      <c r="BA15" s="198" t="n">
        <v>0.3208712139627595</v>
      </c>
      <c r="BB15" s="198" t="n">
        <v>0.3208712139627595</v>
      </c>
      <c r="BC15" s="198" t="n">
        <v>0.3208712139627595</v>
      </c>
      <c r="BD15" s="198" t="n">
        <v>0.3208712139627595</v>
      </c>
      <c r="BE15" s="198" t="n">
        <v>0.3208712139627595</v>
      </c>
      <c r="BF15" s="198" t="n">
        <v>0.3208712139627595</v>
      </c>
      <c r="BG15" s="198" t="n">
        <v>0.3208712139627595</v>
      </c>
      <c r="BH15" s="198" t="n">
        <v>0.3208712139627595</v>
      </c>
      <c r="BI15" s="198" t="n">
        <v>0.3208712139627595</v>
      </c>
      <c r="BJ15" s="198" t="n">
        <v>0.3208712139627595</v>
      </c>
      <c r="BK15" s="198" t="n">
        <v>0.3208712139627595</v>
      </c>
      <c r="BL15" s="198" t="n">
        <v>0.3208712139627595</v>
      </c>
      <c r="BM15" s="198" t="n">
        <v>0.3208712139627595</v>
      </c>
      <c r="BN15" s="215" t="n">
        <v>0.3208712139627595</v>
      </c>
      <c r="BO15" s="198" t="n">
        <v>0.3208712139627595</v>
      </c>
      <c r="BP15" s="198" t="n">
        <v>0.3208712139627595</v>
      </c>
      <c r="BQ15" s="198" t="n">
        <v>0.3208712139627595</v>
      </c>
      <c r="BR15" s="198" t="n">
        <v>0.3208712139627595</v>
      </c>
    </row>
    <row r="16">
      <c r="C16" s="74" t="inlineStr">
        <is>
          <t>└ 法人拠点あたり税理士</t>
        </is>
      </c>
      <c r="D16" s="503" t="n">
        <v>3.5</v>
      </c>
      <c r="E16" s="503" t="n"/>
      <c r="F16" s="504" t="n">
        <v>3.5</v>
      </c>
      <c r="G16" s="504" t="n">
        <v>3.5</v>
      </c>
      <c r="H16" s="504" t="n">
        <v>3.5</v>
      </c>
      <c r="I16" s="504" t="n">
        <v>3.5</v>
      </c>
      <c r="J16" s="504" t="n">
        <v>3.5</v>
      </c>
      <c r="K16" s="504" t="n">
        <v>3.5</v>
      </c>
      <c r="L16" s="504" t="n">
        <v>3.5</v>
      </c>
      <c r="M16" s="504" t="n">
        <v>3.5</v>
      </c>
      <c r="N16" s="504" t="n">
        <v>3.5</v>
      </c>
      <c r="O16" s="504" t="n">
        <v>3.5</v>
      </c>
      <c r="P16" s="504" t="n">
        <v>3.5</v>
      </c>
      <c r="Q16" s="504" t="n">
        <v>3.5</v>
      </c>
      <c r="R16" s="504" t="n">
        <v>3.5</v>
      </c>
      <c r="S16" s="504" t="n">
        <v>3.5</v>
      </c>
      <c r="T16" s="504" t="n">
        <v>3.5</v>
      </c>
      <c r="U16" s="504" t="n">
        <v>3.5</v>
      </c>
      <c r="V16" s="504" t="n">
        <v>3.5</v>
      </c>
      <c r="W16" s="504" t="n">
        <v>3.5</v>
      </c>
      <c r="X16" s="504" t="n">
        <v>3.5</v>
      </c>
      <c r="Y16" s="504" t="n">
        <v>3.5</v>
      </c>
      <c r="Z16" s="504" t="n">
        <v>3.5</v>
      </c>
      <c r="AA16" s="504" t="n">
        <v>3.5</v>
      </c>
      <c r="AB16" s="504" t="n">
        <v>3.5</v>
      </c>
      <c r="AC16" s="504" t="n">
        <v>3.5</v>
      </c>
      <c r="AD16" s="504" t="n">
        <v>3.5</v>
      </c>
      <c r="AE16" s="504" t="n">
        <v>3.5</v>
      </c>
      <c r="AF16" s="504" t="n">
        <v>3.5</v>
      </c>
      <c r="AG16" s="504" t="n">
        <v>3.5</v>
      </c>
      <c r="AH16" s="504" t="n">
        <v>3.5</v>
      </c>
      <c r="AI16" s="504" t="n">
        <v>3.5</v>
      </c>
      <c r="AJ16" s="504" t="n">
        <v>3.5</v>
      </c>
      <c r="AK16" s="504" t="n">
        <v>3.5</v>
      </c>
      <c r="AL16" s="504" t="n">
        <v>3.5</v>
      </c>
      <c r="AM16" s="504" t="n">
        <v>3.5</v>
      </c>
      <c r="AN16" s="504" t="n">
        <v>3.5</v>
      </c>
      <c r="AO16" s="504" t="n">
        <v>3.5</v>
      </c>
      <c r="AP16" s="504" t="n">
        <v>3.5</v>
      </c>
      <c r="AQ16" s="504" t="n">
        <v>3.5</v>
      </c>
      <c r="AR16" s="504" t="n">
        <v>3.5</v>
      </c>
      <c r="AS16" s="504" t="n">
        <v>3.5</v>
      </c>
      <c r="AT16" s="504" t="n">
        <v>3.5</v>
      </c>
      <c r="AU16" s="504" t="n">
        <v>3.5</v>
      </c>
      <c r="AV16" s="504" t="n">
        <v>3.5</v>
      </c>
      <c r="AW16" s="504" t="n">
        <v>3.5</v>
      </c>
      <c r="AX16" s="504" t="n">
        <v>3.5</v>
      </c>
      <c r="AY16" s="504" t="n">
        <v>3.5</v>
      </c>
      <c r="AZ16" s="504" t="n">
        <v>3.5</v>
      </c>
      <c r="BA16" s="504" t="n">
        <v>3.5</v>
      </c>
      <c r="BB16" s="504" t="n">
        <v>3.5</v>
      </c>
      <c r="BC16" s="504" t="n">
        <v>3.5</v>
      </c>
      <c r="BD16" s="504" t="n">
        <v>3.5</v>
      </c>
      <c r="BE16" s="504" t="n">
        <v>3.5</v>
      </c>
      <c r="BF16" s="504" t="n">
        <v>3.5</v>
      </c>
      <c r="BG16" s="504" t="n">
        <v>3.5</v>
      </c>
      <c r="BH16" s="504" t="n">
        <v>3.5</v>
      </c>
      <c r="BI16" s="504" t="n">
        <v>3.5</v>
      </c>
      <c r="BJ16" s="504" t="n">
        <v>3.5</v>
      </c>
      <c r="BK16" s="504" t="n">
        <v>3.5</v>
      </c>
      <c r="BL16" s="504" t="n">
        <v>3.5</v>
      </c>
      <c r="BM16" s="504" t="n">
        <v>3.5</v>
      </c>
      <c r="BN16" s="505" t="n">
        <v>3.5</v>
      </c>
      <c r="BO16" s="504" t="n">
        <v>3.5</v>
      </c>
      <c r="BP16" s="504" t="n">
        <v>3.5</v>
      </c>
      <c r="BQ16" s="504" t="n">
        <v>3.5</v>
      </c>
      <c r="BR16" s="504" t="n">
        <v>3.5</v>
      </c>
    </row>
    <row r="17">
      <c r="C17" s="74" t="inlineStr">
        <is>
          <t>契約事務所</t>
        </is>
      </c>
      <c r="D17" s="64" t="n"/>
      <c r="E17" s="64" t="n"/>
      <c r="F17" s="196">
        <f>(E17*(1-F20))+F18</f>
        <v>0.0</v>
      </c>
      <c r="G17" s="196">
        <f>(F17*(1-G20))+G18</f>
        <v>1.0</v>
      </c>
      <c r="H17" s="196">
        <f>(G17*(1-H20))+H18</f>
        <v>5.98</v>
      </c>
      <c r="I17" s="196">
        <f>(H17*(1-I20))+I18</f>
        <v>10.8604</v>
      </c>
      <c r="J17" s="196">
        <f>(I17*(1-J20))+J18</f>
        <v>15.643192</v>
      </c>
      <c r="K17" s="196">
        <f>(J17*(1-K20))+K18</f>
        <v>21.33032816</v>
      </c>
      <c r="L17" s="196">
        <f>(K17*(1-L20))+L18</f>
        <v>26.9037215968</v>
      </c>
      <c r="M17" s="196">
        <f>(L17*(1-M20))+M18</f>
        <v>32.365647164864</v>
      </c>
      <c r="N17" s="196">
        <f>(M17*(1-N20))+N18</f>
        <v>38.7183342215667</v>
      </c>
      <c r="O17" s="196">
        <f>(N17*(1-O20))+O18</f>
        <v>44.9439675371354</v>
      </c>
      <c r="P17" s="196">
        <f>(O17*(1-P20))+P18</f>
        <v>51.0450881863927</v>
      </c>
      <c r="Q17" s="196">
        <f>(P17*(1-Q20))+Q18</f>
        <v>58.0241864226648</v>
      </c>
      <c r="R17" s="196">
        <f>(Q17*(1-R20))+R18</f>
        <v>64.8637026942115</v>
      </c>
      <c r="S17" s="196">
        <f>(R17*(1-S20))+S18</f>
        <v>71.5664286403273</v>
      </c>
      <c r="T17" s="196">
        <f>(S17*(1-T20))+T18</f>
        <v>79.1351000675208</v>
      </c>
      <c r="U17" s="196">
        <f>(T17*(1-U20))+U18</f>
        <v>86.5523980661703</v>
      </c>
      <c r="V17" s="196">
        <f>(U17*(1-V20))+V18</f>
        <v>93.8213501048469</v>
      </c>
      <c r="W17" s="196">
        <f>(V17*(1-W20))+W18</f>
        <v>101.94492310275</v>
      </c>
      <c r="X17" s="196">
        <f>(W17*(1-X20))+X18</f>
        <v>109.906024640695</v>
      </c>
      <c r="Y17" s="196">
        <f>(X17*(1-Y20))+Y18</f>
        <v>117.707904147881</v>
      </c>
      <c r="Z17" s="196">
        <f>(Y17*(1-Z20))+Z18</f>
        <v>126.353746064923</v>
      </c>
      <c r="AA17" s="196">
        <f>(Z17*(1-AA20))+AA18</f>
        <v>134.826671143625</v>
      </c>
      <c r="AB17" s="196">
        <f>(AA17*(1-AB20))+AB18</f>
        <v>143.130137720753</v>
      </c>
      <c r="AC17" s="196">
        <f>(AB17*(1-AC20))+AC18</f>
        <v>152.267534966337</v>
      </c>
      <c r="AD17" s="196">
        <f>(AC17*(1-AD20))+AD18</f>
        <v>161.983521941842</v>
      </c>
      <c r="AE17" s="196">
        <f>(AD17*(1-AE20))+AE18</f>
        <v>171.553769112715</v>
      </c>
      <c r="AF17" s="196">
        <f>(AE17*(1-AF20))+AF18</f>
        <v>181.980462576024</v>
      </c>
      <c r="AG17" s="196">
        <f>(AF17*(1-AG20))+AG18</f>
        <v>192.250755637384</v>
      </c>
      <c r="AH17" s="196">
        <f>(AG17*(1-AH20))+AH18</f>
        <v>202.366994302823</v>
      </c>
      <c r="AI17" s="196">
        <f>(AH17*(1-AI20))+AI18</f>
        <v>213.331489388281</v>
      </c>
      <c r="AJ17" s="196">
        <f>(AI17*(1-AJ20))+AJ18</f>
        <v>224.131517047456</v>
      </c>
      <c r="AK17" s="196">
        <f>(AJ17*(1-AK20))+AK18</f>
        <v>234.769544291744</v>
      </c>
      <c r="AL17" s="196">
        <f>(AK17*(1-AL20))+AL18</f>
        <v>246.248001127368</v>
      </c>
      <c r="AM17" s="196">
        <f>(AL17*(1-AM20))+AM18</f>
        <v>257.554281110458</v>
      </c>
      <c r="AN17" s="196">
        <f>(AM17*(1-AN20))+AN18</f>
        <v>268.690966893801</v>
      </c>
      <c r="AO17" s="196">
        <f>(AN17*(1-AO20))+AO18</f>
        <v>280.660602390394</v>
      </c>
      <c r="AP17" s="196">
        <f>(AO17*(1-AP20))+AP18</f>
        <v>292.450693354538</v>
      </c>
      <c r="AQ17" s="196">
        <f>(AP17*(1-AQ20))+AQ18</f>
        <v>304.06393295422</v>
      </c>
      <c r="AR17" s="196">
        <f>(AQ17*(1-AR20))+AR18</f>
        <v>316.502973959907</v>
      </c>
      <c r="AS17" s="196">
        <f>(AR17*(1-AS20))+AS18</f>
        <v>328.755429350508</v>
      </c>
      <c r="AT17" s="196">
        <f>(AS17*(1-AT20))+AT18</f>
        <v>340.82409791025</v>
      </c>
      <c r="AU17" s="196">
        <f>(AT17*(1-AU20))+AU18</f>
        <v>353.711736441597</v>
      </c>
      <c r="AV17" s="196">
        <f>(AU17*(1-AV20))+AV18</f>
        <v>366.406060394973</v>
      </c>
      <c r="AW17" s="196">
        <f>(AV17*(1-AW20))+AW18</f>
        <v>378.909969489048</v>
      </c>
      <c r="AX17" s="196">
        <f>(AW17*(1-AX20))+AX18</f>
        <v>392.226319946712</v>
      </c>
      <c r="AY17" s="196">
        <f>(AX17*(1-AY20))+AY18</f>
        <v>405.342925147512</v>
      </c>
      <c r="AZ17" s="196">
        <f>(AY17*(1-AZ20))+AZ18</f>
        <v>418.262781270299</v>
      </c>
      <c r="BA17" s="196">
        <f>(AZ17*(1-BA20))+BA18</f>
        <v>431.988839551244</v>
      </c>
      <c r="BB17" s="196">
        <f>(BA17*(1-BB20))+BB18</f>
        <v>447.668951155732</v>
      </c>
      <c r="BC17" s="196">
        <f>(BB17*(1-BC20))+BC18</f>
        <v>463.192261644175</v>
      </c>
      <c r="BD17" s="196">
        <f>(BC17*(1-BD20))+BD18</f>
        <v>479.560339027733</v>
      </c>
      <c r="BE17" s="196">
        <f>(BD17*(1-BE20))+BE18</f>
        <v>495.764735637456</v>
      </c>
      <c r="BF17" s="196">
        <f>(BE17*(1-BF20))+BF18</f>
        <v>511.807088281081</v>
      </c>
      <c r="BG17" s="196">
        <f>(BF17*(1-BG20))+BG18</f>
        <v>528.68901739827</v>
      </c>
      <c r="BH17" s="196">
        <f>(BG17*(1-BH20))+BH18</f>
        <v>545.402127224288</v>
      </c>
      <c r="BI17" s="196">
        <f>(BH17*(1-BI20))+BI18</f>
        <v>561.948105952045</v>
      </c>
      <c r="BJ17" s="196">
        <f>(BI17*(1-BJ20))+BJ18</f>
        <v>579.328624892524</v>
      </c>
      <c r="BK17" s="196">
        <f>(BJ17*(1-BK20))+BK18</f>
        <v>596.535338643599</v>
      </c>
      <c r="BL17" s="196">
        <f>(BK17*(1-BL20))+BL18</f>
        <v>613.569985257163</v>
      </c>
      <c r="BM17" s="196">
        <f>(BL17*(1-BM20))+BM18</f>
        <v>631.434285404591</v>
      </c>
      <c r="BN17" s="214">
        <f>Q17</f>
        <v>58.0241864226648</v>
      </c>
      <c r="BO17" s="196">
        <f>AC17</f>
        <v>152.267534966337</v>
      </c>
      <c r="BP17" s="196">
        <f>AO17</f>
        <v>280.660602390394</v>
      </c>
      <c r="BQ17" s="196">
        <f>BA17</f>
        <v>431.988839551244</v>
      </c>
      <c r="BR17" s="196">
        <f>BM17</f>
        <v>631.434285404591</v>
      </c>
    </row>
    <row r="18">
      <c r="C18" s="74" t="inlineStr">
        <is>
          <t>新規</t>
        </is>
      </c>
      <c r="D18" s="64" t="n"/>
      <c r="E18" s="64" t="n"/>
      <c r="F18" s="74" t="n">
        <v>0</v>
      </c>
      <c r="G18" s="196" t="n">
        <v>1</v>
      </c>
      <c r="H18" s="196" t="n">
        <v>5</v>
      </c>
      <c r="I18" s="196" t="n">
        <v>5</v>
      </c>
      <c r="J18" s="196" t="n">
        <v>5</v>
      </c>
      <c r="K18" s="196">
        <f>H18+1</f>
        <v>6.0</v>
      </c>
      <c r="L18" s="196">
        <f>I18+1</f>
        <v>6.0</v>
      </c>
      <c r="M18" s="196">
        <f>J18+1</f>
        <v>6.0</v>
      </c>
      <c r="N18" s="196">
        <f>K18+1</f>
        <v>7.0</v>
      </c>
      <c r="O18" s="196">
        <f>L18+1</f>
        <v>7.0</v>
      </c>
      <c r="P18" s="196">
        <f>M18+1</f>
        <v>7.0</v>
      </c>
      <c r="Q18" s="196">
        <f>N18+1</f>
        <v>8.0</v>
      </c>
      <c r="R18" s="196">
        <f>O18+1</f>
        <v>8.0</v>
      </c>
      <c r="S18" s="196">
        <f>P18+1</f>
        <v>8.0</v>
      </c>
      <c r="T18" s="196">
        <f>Q18+1</f>
        <v>9.0</v>
      </c>
      <c r="U18" s="196">
        <f>R18+1</f>
        <v>9.0</v>
      </c>
      <c r="V18" s="196">
        <f>S18+1</f>
        <v>9.0</v>
      </c>
      <c r="W18" s="196">
        <f>T18+1</f>
        <v>10.0</v>
      </c>
      <c r="X18" s="196">
        <f>U18+1</f>
        <v>10.0</v>
      </c>
      <c r="Y18" s="196">
        <f>V18+1</f>
        <v>10.0</v>
      </c>
      <c r="Z18" s="196">
        <f>W18+1</f>
        <v>11.0</v>
      </c>
      <c r="AA18" s="196">
        <f>X18+1</f>
        <v>11.0</v>
      </c>
      <c r="AB18" s="196">
        <f>Y18+1</f>
        <v>11.0</v>
      </c>
      <c r="AC18" s="196">
        <f>Z18+1</f>
        <v>12.0</v>
      </c>
      <c r="AD18" s="196">
        <f>AA18+1</f>
        <v>12.0</v>
      </c>
      <c r="AE18" s="196">
        <f>AB18+1</f>
        <v>12.0</v>
      </c>
      <c r="AF18" s="196">
        <f>AC18+1</f>
        <v>13.0</v>
      </c>
      <c r="AG18" s="196">
        <f>AD18+1</f>
        <v>13.0</v>
      </c>
      <c r="AH18" s="196">
        <f>AE18+1</f>
        <v>13.0</v>
      </c>
      <c r="AI18" s="196">
        <f>AF18+1</f>
        <v>14.0</v>
      </c>
      <c r="AJ18" s="196">
        <f>AG18+1</f>
        <v>14.0</v>
      </c>
      <c r="AK18" s="196">
        <f>AH18+1</f>
        <v>14.0</v>
      </c>
      <c r="AL18" s="196">
        <f>AI18+1</f>
        <v>15.0</v>
      </c>
      <c r="AM18" s="196">
        <f>AJ18+1</f>
        <v>15.0</v>
      </c>
      <c r="AN18" s="196">
        <f>AK18+1</f>
        <v>15.0</v>
      </c>
      <c r="AO18" s="196">
        <f>AL18+1</f>
        <v>16.0</v>
      </c>
      <c r="AP18" s="196">
        <f>AM18+1</f>
        <v>16.0</v>
      </c>
      <c r="AQ18" s="196">
        <f>AN18+1</f>
        <v>16.0</v>
      </c>
      <c r="AR18" s="196">
        <f>AO18+1</f>
        <v>17.0</v>
      </c>
      <c r="AS18" s="196">
        <f>AP18+1</f>
        <v>17.0</v>
      </c>
      <c r="AT18" s="196">
        <f>AQ18+1</f>
        <v>17.0</v>
      </c>
      <c r="AU18" s="196">
        <f>AR18+1</f>
        <v>18.0</v>
      </c>
      <c r="AV18" s="196">
        <f>AS18+1</f>
        <v>18.0</v>
      </c>
      <c r="AW18" s="196">
        <f>AT18+1</f>
        <v>18.0</v>
      </c>
      <c r="AX18" s="196">
        <f>AU18+1</f>
        <v>19.0</v>
      </c>
      <c r="AY18" s="196">
        <f>AV18+1</f>
        <v>19.0</v>
      </c>
      <c r="AZ18" s="196">
        <f>AW18+1</f>
        <v>19.0</v>
      </c>
      <c r="BA18" s="196">
        <f>AX18+1</f>
        <v>20.0</v>
      </c>
      <c r="BB18" s="196">
        <f>AY18+1</f>
        <v>20.0</v>
      </c>
      <c r="BC18" s="196">
        <f>AZ18+1</f>
        <v>20.0</v>
      </c>
      <c r="BD18" s="196">
        <f>BA18+1</f>
        <v>21.0</v>
      </c>
      <c r="BE18" s="196">
        <f>BB18+1</f>
        <v>21.0</v>
      </c>
      <c r="BF18" s="196">
        <f>BC18+1</f>
        <v>21.0</v>
      </c>
      <c r="BG18" s="196">
        <f>BD18+1</f>
        <v>22.0</v>
      </c>
      <c r="BH18" s="196">
        <f>BE18+1</f>
        <v>22.0</v>
      </c>
      <c r="BI18" s="196">
        <f>BF18+1</f>
        <v>22.0</v>
      </c>
      <c r="BJ18" s="196">
        <f>BG18+1</f>
        <v>23.0</v>
      </c>
      <c r="BK18" s="196">
        <f>BH18+1</f>
        <v>23.0</v>
      </c>
      <c r="BL18" s="196">
        <f>BI18+1</f>
        <v>23.0</v>
      </c>
      <c r="BM18" s="196">
        <f>BJ18+1</f>
        <v>24.0</v>
      </c>
      <c r="BN18" s="214">
        <f>SUM(F18:Q18)</f>
        <v>63.0</v>
      </c>
      <c r="BO18" s="196">
        <f>SUM(R18:AC18)</f>
        <v>118.0</v>
      </c>
      <c r="BP18" s="196">
        <f>SUM(AD18:AO18)</f>
        <v>166.0</v>
      </c>
      <c r="BQ18" s="196">
        <f>SUM(AP18:BA18)</f>
        <v>214.0</v>
      </c>
      <c r="BR18" s="196">
        <f>SUM(BB18:BM18)</f>
        <v>262.0</v>
      </c>
    </row>
    <row r="19">
      <c r="C19" s="74" t="inlineStr">
        <is>
          <t>解約</t>
        </is>
      </c>
      <c r="D19" s="64" t="n"/>
      <c r="E19" s="64" t="n"/>
      <c r="F19" s="201">
        <f>F17*F20</f>
        <v>0.0</v>
      </c>
      <c r="G19" s="201">
        <f>G17*G20</f>
        <v>0.02</v>
      </c>
      <c r="H19" s="201">
        <f>H17*H20</f>
        <v>0.1196</v>
      </c>
      <c r="I19" s="201">
        <f>I17*I20</f>
        <v>0.217208</v>
      </c>
      <c r="J19" s="201">
        <f>J17*J20</f>
        <v>0.31286384</v>
      </c>
      <c r="K19" s="201">
        <f>K17*K20</f>
        <v>0.4266065632</v>
      </c>
      <c r="L19" s="201">
        <f>L17*L20</f>
        <v>0.538074431936</v>
      </c>
      <c r="M19" s="201">
        <f>M17*M20</f>
        <v>0.64731294329728</v>
      </c>
      <c r="N19" s="201">
        <f>N17*N20</f>
        <v>0.774366684431334</v>
      </c>
      <c r="O19" s="201">
        <f>O17*O20</f>
        <v>0.898879350742708</v>
      </c>
      <c r="P19" s="201">
        <f>P17*P20</f>
        <v>1.02090176372785</v>
      </c>
      <c r="Q19" s="201">
        <f>Q17*Q20</f>
        <v>1.1604837284533</v>
      </c>
      <c r="R19" s="201">
        <f>R17*R20</f>
        <v>1.29727405388423</v>
      </c>
      <c r="S19" s="201">
        <f>S17*S20</f>
        <v>1.43132857280655</v>
      </c>
      <c r="T19" s="201">
        <f>T17*T20</f>
        <v>1.58270200135042</v>
      </c>
      <c r="U19" s="201">
        <f>U17*U20</f>
        <v>1.73104796132341</v>
      </c>
      <c r="V19" s="201">
        <f>V17*V20</f>
        <v>1.87642700209694</v>
      </c>
      <c r="W19" s="201">
        <f>W17*W20</f>
        <v>2.038898462055</v>
      </c>
      <c r="X19" s="201">
        <f>X17*X20</f>
        <v>2.1981204928139</v>
      </c>
      <c r="Y19" s="201">
        <f>Y17*Y20</f>
        <v>2.35415808295762</v>
      </c>
      <c r="Z19" s="201">
        <f>Z17*Z20</f>
        <v>2.52707492129847</v>
      </c>
      <c r="AA19" s="201">
        <f>AA17*AA20</f>
        <v>2.6965334228725</v>
      </c>
      <c r="AB19" s="201">
        <f>AB17*AB20</f>
        <v>2.86260275441505</v>
      </c>
      <c r="AC19" s="201">
        <f>AC17*AC20</f>
        <v>3.04535069932675</v>
      </c>
      <c r="AD19" s="201">
        <f>AD17*AD20</f>
        <v>2.42975282912764</v>
      </c>
      <c r="AE19" s="201">
        <f>AE17*AE20</f>
        <v>2.57330653669072</v>
      </c>
      <c r="AF19" s="201">
        <f>AF17*AF20</f>
        <v>2.72970693864036</v>
      </c>
      <c r="AG19" s="201">
        <f>AG17*AG20</f>
        <v>2.88376133456075</v>
      </c>
      <c r="AH19" s="201">
        <f>AH17*AH20</f>
        <v>3.03550491454234</v>
      </c>
      <c r="AI19" s="201">
        <f>AI17*AI20</f>
        <v>3.19997234082421</v>
      </c>
      <c r="AJ19" s="201">
        <f>AJ17*AJ20</f>
        <v>3.36197275571185</v>
      </c>
      <c r="AK19" s="201">
        <f>AK17*AK20</f>
        <v>3.52154316437617</v>
      </c>
      <c r="AL19" s="201">
        <f>AL17*AL20</f>
        <v>3.69372001691052</v>
      </c>
      <c r="AM19" s="201">
        <f>AM17*AM20</f>
        <v>3.86331421665687</v>
      </c>
      <c r="AN19" s="201">
        <f>AN17*AN20</f>
        <v>4.03036450340701</v>
      </c>
      <c r="AO19" s="201">
        <f>AO17*AO20</f>
        <v>4.20990903585591</v>
      </c>
      <c r="AP19" s="201">
        <f>AP17*AP20</f>
        <v>4.38676040031807</v>
      </c>
      <c r="AQ19" s="201">
        <f>AQ17*AQ20</f>
        <v>4.5609589943133</v>
      </c>
      <c r="AR19" s="201">
        <f>AR17*AR20</f>
        <v>4.7475446093986</v>
      </c>
      <c r="AS19" s="201">
        <f>AS17*AS20</f>
        <v>4.93133144025762</v>
      </c>
      <c r="AT19" s="201">
        <f>AT17*AT20</f>
        <v>5.11236146865376</v>
      </c>
      <c r="AU19" s="201">
        <f>AU17*AU20</f>
        <v>5.30567604662395</v>
      </c>
      <c r="AV19" s="201">
        <f>AV17*AV20</f>
        <v>5.49609090592459</v>
      </c>
      <c r="AW19" s="201">
        <f>AW17*AW20</f>
        <v>5.68364954233572</v>
      </c>
      <c r="AX19" s="201">
        <f>AX17*AX20</f>
        <v>5.88339479920068</v>
      </c>
      <c r="AY19" s="201">
        <f>AY17*AY20</f>
        <v>6.08014387721267</v>
      </c>
      <c r="AZ19" s="201">
        <f>AZ17*AZ20</f>
        <v>6.27394171905448</v>
      </c>
      <c r="BA19" s="201">
        <f>BA17*BA20</f>
        <v>6.47983259326867</v>
      </c>
      <c r="BB19" s="201">
        <f>BB17*BB20</f>
        <v>4.47668951155732</v>
      </c>
      <c r="BC19" s="201">
        <f>BC17*BC20</f>
        <v>4.63192261644175</v>
      </c>
      <c r="BD19" s="201">
        <f>BD17*BD20</f>
        <v>4.79560339027733</v>
      </c>
      <c r="BE19" s="201">
        <f>BE17*BE20</f>
        <v>4.95764735637456</v>
      </c>
      <c r="BF19" s="201">
        <f>BF17*BF20</f>
        <v>5.11807088281081</v>
      </c>
      <c r="BG19" s="201">
        <f>BG17*BG20</f>
        <v>5.2868901739827</v>
      </c>
      <c r="BH19" s="201">
        <f>BH17*BH20</f>
        <v>5.45402127224288</v>
      </c>
      <c r="BI19" s="201">
        <f>BI17*BI20</f>
        <v>5.61948105952045</v>
      </c>
      <c r="BJ19" s="201">
        <f>BJ17*BJ20</f>
        <v>5.79328624892524</v>
      </c>
      <c r="BK19" s="201">
        <f>BK17*BK20</f>
        <v>5.96535338643599</v>
      </c>
      <c r="BL19" s="201">
        <f>BL17*BL20</f>
        <v>6.13569985257163</v>
      </c>
      <c r="BM19" s="201">
        <f>BM17*BM20</f>
        <v>6.31434285404591</v>
      </c>
      <c r="BN19" s="214">
        <f>SUM(F19:Q19)</f>
        <v>6.13629730578847</v>
      </c>
      <c r="BO19" s="201">
        <f>SUM(R19:AC19)</f>
        <v>25.6415184272008</v>
      </c>
      <c r="BP19" s="201">
        <f>SUM(AD19:AO19)</f>
        <v>39.5328285873043</v>
      </c>
      <c r="BQ19" s="201">
        <f>SUM(AP19:BA19)</f>
        <v>64.9416863965621</v>
      </c>
      <c r="BR19" s="201">
        <f>SUM(BB19:BM19)</f>
        <v>64.5490086051866</v>
      </c>
    </row>
    <row r="20">
      <c r="C20" s="74" t="inlineStr">
        <is>
          <t>解約率</t>
        </is>
      </c>
      <c r="D20" s="64" t="inlineStr">
        <is>
          <t>F&amp;M オフィスステーション1.01%</t>
        </is>
      </c>
      <c r="E20" s="64" t="n"/>
      <c r="F20" s="202" t="n">
        <v>0.02</v>
      </c>
      <c r="G20" s="202" t="n">
        <v>0.02</v>
      </c>
      <c r="H20" s="202" t="n">
        <v>0.02</v>
      </c>
      <c r="I20" s="202" t="n">
        <v>0.02</v>
      </c>
      <c r="J20" s="202" t="n">
        <v>0.02</v>
      </c>
      <c r="K20" s="202" t="n">
        <v>0.02</v>
      </c>
      <c r="L20" s="202" t="n">
        <v>0.02</v>
      </c>
      <c r="M20" s="202" t="n">
        <v>0.02</v>
      </c>
      <c r="N20" s="202" t="n">
        <v>0.02</v>
      </c>
      <c r="O20" s="202" t="n">
        <v>0.02</v>
      </c>
      <c r="P20" s="202" t="n">
        <v>0.02</v>
      </c>
      <c r="Q20" s="202" t="n">
        <v>0.02</v>
      </c>
      <c r="R20" s="202" t="n">
        <v>0.02</v>
      </c>
      <c r="S20" s="202" t="n">
        <v>0.02</v>
      </c>
      <c r="T20" s="202" t="n">
        <v>0.02</v>
      </c>
      <c r="U20" s="202" t="n">
        <v>0.02</v>
      </c>
      <c r="V20" s="202" t="n">
        <v>0.02</v>
      </c>
      <c r="W20" s="202" t="n">
        <v>0.02</v>
      </c>
      <c r="X20" s="202" t="n">
        <v>0.02</v>
      </c>
      <c r="Y20" s="202" t="n">
        <v>0.02</v>
      </c>
      <c r="Z20" s="202" t="n">
        <v>0.02</v>
      </c>
      <c r="AA20" s="202" t="n">
        <v>0.02</v>
      </c>
      <c r="AB20" s="202" t="n">
        <v>0.02</v>
      </c>
      <c r="AC20" s="202" t="n">
        <v>0.02</v>
      </c>
      <c r="AD20" s="506" t="n">
        <v>0.015</v>
      </c>
      <c r="AE20" s="506" t="n">
        <v>0.015</v>
      </c>
      <c r="AF20" s="506" t="n">
        <v>0.015</v>
      </c>
      <c r="AG20" s="506" t="n">
        <v>0.015</v>
      </c>
      <c r="AH20" s="506" t="n">
        <v>0.015</v>
      </c>
      <c r="AI20" s="506" t="n">
        <v>0.015</v>
      </c>
      <c r="AJ20" s="506" t="n">
        <v>0.015</v>
      </c>
      <c r="AK20" s="506" t="n">
        <v>0.015</v>
      </c>
      <c r="AL20" s="506" t="n">
        <v>0.015</v>
      </c>
      <c r="AM20" s="506" t="n">
        <v>0.015</v>
      </c>
      <c r="AN20" s="506" t="n">
        <v>0.015</v>
      </c>
      <c r="AO20" s="506" t="n">
        <v>0.015</v>
      </c>
      <c r="AP20" s="506" t="n">
        <v>0.015</v>
      </c>
      <c r="AQ20" s="506" t="n">
        <v>0.015</v>
      </c>
      <c r="AR20" s="506" t="n">
        <v>0.015</v>
      </c>
      <c r="AS20" s="506" t="n">
        <v>0.015</v>
      </c>
      <c r="AT20" s="506" t="n">
        <v>0.015</v>
      </c>
      <c r="AU20" s="506" t="n">
        <v>0.015</v>
      </c>
      <c r="AV20" s="506" t="n">
        <v>0.015</v>
      </c>
      <c r="AW20" s="506" t="n">
        <v>0.015</v>
      </c>
      <c r="AX20" s="506" t="n">
        <v>0.015</v>
      </c>
      <c r="AY20" s="506" t="n">
        <v>0.015</v>
      </c>
      <c r="AZ20" s="506" t="n">
        <v>0.015</v>
      </c>
      <c r="BA20" s="506" t="n">
        <v>0.015</v>
      </c>
      <c r="BB20" s="202" t="n">
        <v>0.01</v>
      </c>
      <c r="BC20" s="202" t="n">
        <v>0.01</v>
      </c>
      <c r="BD20" s="202" t="n">
        <v>0.01</v>
      </c>
      <c r="BE20" s="202" t="n">
        <v>0.01</v>
      </c>
      <c r="BF20" s="202" t="n">
        <v>0.01</v>
      </c>
      <c r="BG20" s="202" t="n">
        <v>0.01</v>
      </c>
      <c r="BH20" s="202" t="n">
        <v>0.01</v>
      </c>
      <c r="BI20" s="202" t="n">
        <v>0.01</v>
      </c>
      <c r="BJ20" s="202" t="n">
        <v>0.01</v>
      </c>
      <c r="BK20" s="202" t="n">
        <v>0.01</v>
      </c>
      <c r="BL20" s="202" t="n">
        <v>0.01</v>
      </c>
      <c r="BM20" s="202" t="n">
        <v>0.01</v>
      </c>
      <c r="BN20" s="217">
        <f>BN19/(BN19+BN17)</f>
        <v>0.0956398229751377</v>
      </c>
      <c r="BO20" s="202">
        <f>BO19/(BO19+BO17)</f>
        <v>0.144127114040011</v>
      </c>
      <c r="BP20" s="202">
        <f>BP19/(BP19+BP17)</f>
        <v>0.123465457947068</v>
      </c>
      <c r="BQ20" s="202">
        <f>BQ19/(BQ19+BQ17)</f>
        <v>0.130685645186915</v>
      </c>
      <c r="BR20" s="202">
        <f>BR19/(BR19+BR17)</f>
        <v>0.0927450546022441</v>
      </c>
    </row>
    <row r="21"/>
    <row r="22"/>
    <row r="23"/>
    <row r="24">
      <c r="C24" s="114" t="inlineStr">
        <is>
          <t>原価</t>
        </is>
      </c>
    </row>
    <row r="25">
      <c r="C25" s="76" t="inlineStr">
        <is>
          <t>サーバー・DB費</t>
        </is>
      </c>
      <c r="D25" s="76" t="inlineStr">
        <is>
          <t>Railway/Supabase→スケールで段階増。推定</t>
        </is>
      </c>
      <c r="E25" s="76" t="n"/>
      <c r="F25" s="181" t="n">
        <v>50000</v>
      </c>
      <c r="G25" s="181" t="n">
        <v>50000</v>
      </c>
      <c r="H25" s="181" t="n">
        <v>50000</v>
      </c>
      <c r="I25" s="181" t="n">
        <v>50000</v>
      </c>
      <c r="J25" s="181" t="n">
        <v>50000</v>
      </c>
      <c r="K25" s="181" t="n">
        <v>50000</v>
      </c>
      <c r="L25" s="181" t="n">
        <v>50000</v>
      </c>
      <c r="M25" s="181" t="n">
        <v>50000</v>
      </c>
      <c r="N25" s="181" t="n">
        <v>50000</v>
      </c>
      <c r="O25" s="181" t="n">
        <v>50000</v>
      </c>
      <c r="P25" s="181" t="n">
        <v>50000</v>
      </c>
      <c r="Q25" s="181" t="n">
        <v>50000</v>
      </c>
      <c r="R25" s="181" t="n">
        <v>150000</v>
      </c>
      <c r="S25" s="181" t="n">
        <v>150000</v>
      </c>
      <c r="T25" s="181" t="n">
        <v>150000</v>
      </c>
      <c r="U25" s="181" t="n">
        <v>150000</v>
      </c>
      <c r="V25" s="181" t="n">
        <v>150000</v>
      </c>
      <c r="W25" s="181" t="n">
        <v>150000</v>
      </c>
      <c r="X25" s="181" t="n">
        <v>150000</v>
      </c>
      <c r="Y25" s="181" t="n">
        <v>150000</v>
      </c>
      <c r="Z25" s="181" t="n">
        <v>150000</v>
      </c>
      <c r="AA25" s="181" t="n">
        <v>150000</v>
      </c>
      <c r="AB25" s="181" t="n">
        <v>150000</v>
      </c>
      <c r="AC25" s="181" t="n">
        <v>150000</v>
      </c>
      <c r="AD25" s="181" t="n">
        <v>300000</v>
      </c>
      <c r="AE25" s="181" t="n">
        <v>300000</v>
      </c>
      <c r="AF25" s="181" t="n">
        <v>300000</v>
      </c>
      <c r="AG25" s="181" t="n">
        <v>300000</v>
      </c>
      <c r="AH25" s="181" t="n">
        <v>300000</v>
      </c>
      <c r="AI25" s="181" t="n">
        <v>300000</v>
      </c>
      <c r="AJ25" s="181" t="n">
        <v>300000</v>
      </c>
      <c r="AK25" s="181" t="n">
        <v>300000</v>
      </c>
      <c r="AL25" s="181" t="n">
        <v>300000</v>
      </c>
      <c r="AM25" s="181" t="n">
        <v>300000</v>
      </c>
      <c r="AN25" s="181" t="n">
        <v>300000</v>
      </c>
      <c r="AO25" s="181" t="n">
        <v>300000</v>
      </c>
      <c r="AP25" s="181" t="n">
        <v>500000</v>
      </c>
      <c r="AQ25" s="181" t="n">
        <v>500000</v>
      </c>
      <c r="AR25" s="181" t="n">
        <v>500000</v>
      </c>
      <c r="AS25" s="181" t="n">
        <v>500000</v>
      </c>
      <c r="AT25" s="181" t="n">
        <v>500000</v>
      </c>
      <c r="AU25" s="181" t="n">
        <v>500000</v>
      </c>
      <c r="AV25" s="181" t="n">
        <v>500000</v>
      </c>
      <c r="AW25" s="181" t="n">
        <v>500000</v>
      </c>
      <c r="AX25" s="181" t="n">
        <v>500000</v>
      </c>
      <c r="AY25" s="181" t="n">
        <v>500000</v>
      </c>
      <c r="AZ25" s="181" t="n">
        <v>500000</v>
      </c>
      <c r="BA25" s="181" t="n">
        <v>500000</v>
      </c>
      <c r="BB25" s="181" t="n">
        <v>800000</v>
      </c>
      <c r="BC25" s="181" t="n">
        <v>800000</v>
      </c>
      <c r="BD25" s="181" t="n">
        <v>800000</v>
      </c>
      <c r="BE25" s="181" t="n">
        <v>800000</v>
      </c>
      <c r="BF25" s="181" t="n">
        <v>800000</v>
      </c>
      <c r="BG25" s="181" t="n">
        <v>800000</v>
      </c>
      <c r="BH25" s="181" t="n">
        <v>800000</v>
      </c>
      <c r="BI25" s="181" t="n">
        <v>800000</v>
      </c>
      <c r="BJ25" s="181" t="n">
        <v>800000</v>
      </c>
      <c r="BK25" s="181" t="n">
        <v>800000</v>
      </c>
      <c r="BL25" s="181" t="n">
        <v>800000</v>
      </c>
      <c r="BM25" s="181" t="n">
        <v>800000</v>
      </c>
      <c r="BN25" s="181">
        <f>SUM(F25:Q25)</f>
        <v>600000.0</v>
      </c>
      <c r="BO25" s="181">
        <f>SUM(R25:AC25)</f>
        <v>1800000.0</v>
      </c>
      <c r="BP25" s="181">
        <f>SUM(AD25:AO25)</f>
        <v>3600000.0</v>
      </c>
      <c r="BQ25" s="181">
        <f>SUM(AP25:BA25)</f>
        <v>6000000.0</v>
      </c>
      <c r="BR25" s="181">
        <f>SUM(BB25:BM25)</f>
        <v>9600000.0</v>
      </c>
    </row>
    <row r="26">
      <c r="C26" s="76" t="inlineStr">
        <is>
          <t>決済手数料</t>
        </is>
      </c>
      <c r="D26" s="76" t="inlineStr">
        <is>
          <t>Stripe 3.6%×SaaS売上</t>
        </is>
      </c>
      <c r="E26" s="76" t="n"/>
      <c r="F26" s="181">
        <f>F5*0.036</f>
        <v>0.0</v>
      </c>
      <c r="G26" s="181">
        <f>G5*0.036</f>
        <v>1543.5412611211</v>
      </c>
      <c r="H26" s="181">
        <f>H5*0.036</f>
        <v>9230.37674150421</v>
      </c>
      <c r="I26" s="181">
        <f>I5*0.036</f>
        <v>16763.4755122796</v>
      </c>
      <c r="J26" s="181">
        <f>J5*0.036</f>
        <v>24145.9123076396</v>
      </c>
      <c r="K26" s="181">
        <f>K5*0.036</f>
        <v>32924.2416282134</v>
      </c>
      <c r="L26" s="181">
        <f>L5*0.036</f>
        <v>41527.0043623758</v>
      </c>
      <c r="M26" s="181">
        <f>M5*0.036</f>
        <v>49957.7118418549</v>
      </c>
      <c r="N26" s="181">
        <f>N5*0.036</f>
        <v>59763.3464328655</v>
      </c>
      <c r="O26" s="181">
        <f>O5*0.036</f>
        <v>69372.8683320559</v>
      </c>
      <c r="P26" s="181">
        <f>P5*0.036</f>
        <v>78790.1997932625</v>
      </c>
      <c r="Q26" s="181">
        <f>Q5*0.036</f>
        <v>89562.7258863661</v>
      </c>
      <c r="R26" s="181">
        <f>R5*0.036</f>
        <v>100119.801457608</v>
      </c>
      <c r="S26" s="181">
        <f>S5*0.036</f>
        <v>110465.735517424</v>
      </c>
      <c r="T26" s="181">
        <f>T5*0.036</f>
        <v>122148.292157166</v>
      </c>
      <c r="U26" s="181">
        <f>U5*0.036</f>
        <v>133597.197664112</v>
      </c>
      <c r="V26" s="181">
        <f>V5*0.036</f>
        <v>144817.12506092</v>
      </c>
      <c r="W26" s="181">
        <f>W5*0.036</f>
        <v>157356.195170913</v>
      </c>
      <c r="X26" s="181">
        <f>X5*0.036</f>
        <v>169644.483878706</v>
      </c>
      <c r="Y26" s="181">
        <f>Y5*0.036</f>
        <v>181687.006812342</v>
      </c>
      <c r="Z26" s="181">
        <f>Z5*0.036</f>
        <v>195032.220548428</v>
      </c>
      <c r="AA26" s="181">
        <f>AA5*0.036</f>
        <v>208110.530009791</v>
      </c>
      <c r="AB26" s="181">
        <f>AB5*0.036</f>
        <v>220927.273281928</v>
      </c>
      <c r="AC26" s="181">
        <f>AC5*0.036</f>
        <v>235031.222949742</v>
      </c>
      <c r="AD26" s="181">
        <f>AD5*0.036</f>
        <v>250028.249738949</v>
      </c>
      <c r="AE26" s="181">
        <f>AE5*0.036</f>
        <v>264800.321126319</v>
      </c>
      <c r="AF26" s="181">
        <f>AF5*0.036</f>
        <v>280894.352703998</v>
      </c>
      <c r="AG26" s="181">
        <f>AG5*0.036</f>
        <v>296746.973808012</v>
      </c>
      <c r="AH26" s="181">
        <f>AH5*0.036</f>
        <v>312361.805595467</v>
      </c>
      <c r="AI26" s="181">
        <f>AI5*0.036</f>
        <v>329285.95616723</v>
      </c>
      <c r="AJ26" s="181">
        <f>AJ5*0.036</f>
        <v>345956.244480417</v>
      </c>
      <c r="AK26" s="181">
        <f>AK5*0.036</f>
        <v>362376.478468906</v>
      </c>
      <c r="AL26" s="181">
        <f>AL5*0.036</f>
        <v>380093.950208689</v>
      </c>
      <c r="AM26" s="181">
        <f>AM5*0.036</f>
        <v>397545.659872375</v>
      </c>
      <c r="AN26" s="181">
        <f>AN5*0.036</f>
        <v>414735.593891106</v>
      </c>
      <c r="AO26" s="181">
        <f>AO5*0.036</f>
        <v>433211.220160677</v>
      </c>
      <c r="AP26" s="181">
        <f>AP5*0.036</f>
        <v>451409.712036205</v>
      </c>
      <c r="AQ26" s="181">
        <f>AQ5*0.036</f>
        <v>469335.2265336</v>
      </c>
      <c r="AR26" s="181">
        <f>AR5*0.036</f>
        <v>488535.399574654</v>
      </c>
      <c r="AS26" s="181">
        <f>AS5*0.036</f>
        <v>507447.570020093</v>
      </c>
      <c r="AT26" s="181">
        <f>AT5*0.036</f>
        <v>526076.057908851</v>
      </c>
      <c r="AU26" s="181">
        <f>AU5*0.036</f>
        <v>545968.659740398</v>
      </c>
      <c r="AV26" s="181">
        <f>AV5*0.036</f>
        <v>565562.872544472</v>
      </c>
      <c r="AW26" s="181">
        <f>AW5*0.036</f>
        <v>584863.172156484</v>
      </c>
      <c r="AX26" s="181">
        <f>AX5*0.036</f>
        <v>605417.508535438</v>
      </c>
      <c r="AY26" s="181">
        <f>AY5*0.036</f>
        <v>625663.529868708</v>
      </c>
      <c r="AZ26" s="181">
        <f>AZ5*0.036</f>
        <v>645605.860881978</v>
      </c>
      <c r="BA26" s="181">
        <f>BA5*0.036</f>
        <v>666792.59819117</v>
      </c>
      <c r="BB26" s="181">
        <f>BB5*0.036</f>
        <v>690995.497431681</v>
      </c>
      <c r="BC26" s="181">
        <f>BC5*0.036</f>
        <v>714956.367679786</v>
      </c>
      <c r="BD26" s="181">
        <f>BD5*0.036</f>
        <v>740221.170486531</v>
      </c>
      <c r="BE26" s="181">
        <f>BE5*0.036</f>
        <v>765233.325265209</v>
      </c>
      <c r="BF26" s="181">
        <f>BF5*0.036</f>
        <v>789995.3584961</v>
      </c>
      <c r="BG26" s="181">
        <f>BG5*0.036</f>
        <v>816053.312655804</v>
      </c>
      <c r="BH26" s="181">
        <f>BH5*0.036</f>
        <v>841850.68727391</v>
      </c>
      <c r="BI26" s="181">
        <f>BI5*0.036</f>
        <v>867390.088145835</v>
      </c>
      <c r="BJ26" s="181">
        <f>BJ5*0.036</f>
        <v>894217.636270162</v>
      </c>
      <c r="BK26" s="181">
        <f>BK5*0.036</f>
        <v>920776.908913246</v>
      </c>
      <c r="BL26" s="181">
        <f>BL5*0.036</f>
        <v>947070.588829899</v>
      </c>
      <c r="BM26" s="181">
        <f>BM5*0.036</f>
        <v>974644.873208506</v>
      </c>
      <c r="BN26" s="181">
        <f>SUM(F26:Q26)</f>
        <v>473581.404099539</v>
      </c>
      <c r="BO26" s="181">
        <f>SUM(R26:AC26)</f>
        <v>1978937.08450908</v>
      </c>
      <c r="BP26" s="181">
        <f>SUM(AD26:AO26)</f>
        <v>4068036.80622215</v>
      </c>
      <c r="BQ26" s="181">
        <f>SUM(AP26:BA26)</f>
        <v>6682678.16799205</v>
      </c>
      <c r="BR26" s="181">
        <f>SUM(BB26:BM26)</f>
        <v>9963405.81465667</v>
      </c>
    </row>
    <row r="27">
      <c r="C27" s="76" t="inlineStr">
        <is>
          <t>コンサル直接経費</t>
        </is>
      </c>
      <c r="D27" s="76" t="inlineStr">
        <is>
          <t>交通費・資料等 コンサル売上の5%。推定</t>
        </is>
      </c>
      <c r="E27" s="76" t="n"/>
      <c r="F27" s="181">
        <f>'事業・組織再生コンサル'!F4*0.05</f>
        <v>0.0</v>
      </c>
      <c r="G27" s="181">
        <f>'事業・組織再生コンサル'!G4*0.05</f>
        <v>0.0</v>
      </c>
      <c r="H27" s="181">
        <f>'事業・組織再生コンサル'!H4*0.05</f>
        <v>0.0</v>
      </c>
      <c r="I27" s="181">
        <f>'事業・組織再生コンサル'!I4*0.05</f>
        <v>0.0</v>
      </c>
      <c r="J27" s="181">
        <f>'事業・組織再生コンサル'!J4*0.05</f>
        <v>0.0</v>
      </c>
      <c r="K27" s="181">
        <f>'事業・組織再生コンサル'!K4*0.05</f>
        <v>0.0</v>
      </c>
      <c r="L27" s="181">
        <f>'事業・組織再生コンサル'!L4*0.05</f>
        <v>16500.0</v>
      </c>
      <c r="M27" s="181">
        <f>'事業・組織再生コンサル'!M4*0.05</f>
        <v>33000.0</v>
      </c>
      <c r="N27" s="181">
        <f>'事業・組織再生コンサル'!N4*0.05</f>
        <v>49500.0</v>
      </c>
      <c r="O27" s="181">
        <f>'事業・組織再生コンサル'!O4*0.05</f>
        <v>66000.0</v>
      </c>
      <c r="P27" s="181">
        <f>'事業・組織再生コンサル'!P4*0.05</f>
        <v>66000.0</v>
      </c>
      <c r="Q27" s="181">
        <f>'事業・組織再生コンサル'!Q4*0.05</f>
        <v>82500.0</v>
      </c>
      <c r="R27" s="181">
        <f>'事業・組織再生コンサル'!R4*0.05</f>
        <v>82500.0</v>
      </c>
      <c r="S27" s="181">
        <f>'事業・組織再生コンサル'!S4*0.05</f>
        <v>99000.0</v>
      </c>
      <c r="T27" s="181">
        <f>'事業・組織再生コンサル'!T4*0.05</f>
        <v>115500.0</v>
      </c>
      <c r="U27" s="181">
        <f>'事業・組織再生コンサル'!U4*0.05</f>
        <v>132000.0</v>
      </c>
      <c r="V27" s="181">
        <f>'事業・組織再生コンサル'!V4*0.05</f>
        <v>132000.0</v>
      </c>
      <c r="W27" s="181">
        <f>'事業・組織再生コンサル'!W4*0.05</f>
        <v>148500.0</v>
      </c>
      <c r="X27" s="181">
        <f>'事業・組織再生コンサル'!X4*0.05</f>
        <v>165000.0</v>
      </c>
      <c r="Y27" s="181">
        <f>'事業・組織再生コンサル'!Y4*0.05</f>
        <v>181500.0</v>
      </c>
      <c r="Z27" s="181">
        <f>'事業・組織再生コンサル'!Z4*0.05</f>
        <v>198000.0</v>
      </c>
      <c r="AA27" s="181">
        <f>'事業・組織再生コンサル'!AA4*0.05</f>
        <v>198000.0</v>
      </c>
      <c r="AB27" s="181">
        <f>'事業・組織再生コンサル'!AB4*0.05</f>
        <v>214500.0</v>
      </c>
      <c r="AC27" s="181">
        <f>'事業・組織再生コンサル'!AC4*0.05</f>
        <v>231000.0</v>
      </c>
      <c r="AD27" s="181">
        <f>'事業・組織再生コンサル'!AD4*0.05</f>
        <v>247500.0</v>
      </c>
      <c r="AE27" s="181">
        <f>'事業・組織再生コンサル'!AE4*0.05</f>
        <v>247500.0</v>
      </c>
      <c r="AF27" s="181">
        <f>'事業・組織再生コンサル'!AF4*0.05</f>
        <v>264000.0</v>
      </c>
      <c r="AG27" s="181">
        <f>'事業・組織再生コンサル'!AG4*0.05</f>
        <v>280500.0</v>
      </c>
      <c r="AH27" s="181">
        <f>'事業・組織再生コンサル'!AH4*0.05</f>
        <v>297000.0</v>
      </c>
      <c r="AI27" s="181">
        <f>'事業・組織再生コンサル'!AI4*0.05</f>
        <v>313500.0</v>
      </c>
      <c r="AJ27" s="181">
        <f>'事業・組織再生コンサル'!AJ4*0.05</f>
        <v>330000.0</v>
      </c>
      <c r="AK27" s="181">
        <f>'事業・組織再生コンサル'!AK4*0.05</f>
        <v>330000.0</v>
      </c>
      <c r="AL27" s="181">
        <f>'事業・組織再生コンサル'!AL4*0.05</f>
        <v>346500.0</v>
      </c>
      <c r="AM27" s="181">
        <f>'事業・組織再生コンサル'!AM4*0.05</f>
        <v>363000.0</v>
      </c>
      <c r="AN27" s="181">
        <f>'事業・組織再生コンサル'!AN4*0.05</f>
        <v>379500.0</v>
      </c>
      <c r="AO27" s="181">
        <f>'事業・組織再生コンサル'!AO4*0.05</f>
        <v>396000.0</v>
      </c>
      <c r="AP27" s="181">
        <f>'事業・組織再生コンサル'!AP4*0.05</f>
        <v>396000.0</v>
      </c>
      <c r="AQ27" s="181">
        <f>'事業・組織再生コンサル'!AQ4*0.05</f>
        <v>412500.0</v>
      </c>
      <c r="AR27" s="181">
        <f>'事業・組織再生コンサル'!AR4*0.05</f>
        <v>429000.0</v>
      </c>
      <c r="AS27" s="181">
        <f>'事業・組織再生コンサル'!AS4*0.05</f>
        <v>445500.0</v>
      </c>
      <c r="AT27" s="181">
        <f>'事業・組織再生コンサル'!AT4*0.05</f>
        <v>462000.0</v>
      </c>
      <c r="AU27" s="181">
        <f>'事業・組織再生コンサル'!AU4*0.05</f>
        <v>478500.0</v>
      </c>
      <c r="AV27" s="181">
        <f>'事業・組織再生コンサル'!AV4*0.05</f>
        <v>495000.0</v>
      </c>
      <c r="AW27" s="181">
        <f>'事業・組織再生コンサル'!AW4*0.05</f>
        <v>495000.0</v>
      </c>
      <c r="AX27" s="181">
        <f>'事業・組織再生コンサル'!AX4*0.05</f>
        <v>511500.0</v>
      </c>
      <c r="AY27" s="181">
        <f>'事業・組織再生コンサル'!AY4*0.05</f>
        <v>528000.0</v>
      </c>
      <c r="AZ27" s="181">
        <f>'事業・組織再生コンサル'!AZ4*0.05</f>
        <v>544500.0</v>
      </c>
      <c r="BA27" s="181">
        <f>'事業・組織再生コンサル'!BA4*0.05</f>
        <v>561000.0</v>
      </c>
      <c r="BB27" s="181">
        <f>'事業・組織再生コンサル'!BB4*0.05</f>
        <v>577500.0</v>
      </c>
      <c r="BC27" s="181">
        <f>'事業・組織再生コンサル'!BC4*0.05</f>
        <v>594000.0</v>
      </c>
      <c r="BD27" s="181">
        <f>'事業・組織再生コンサル'!BD4*0.05</f>
        <v>610500.0</v>
      </c>
      <c r="BE27" s="181">
        <f>'事業・組織再生コンサル'!BE4*0.05</f>
        <v>627000.0</v>
      </c>
      <c r="BF27" s="181">
        <f>'事業・組織再生コンサル'!BF4*0.05</f>
        <v>627000.0</v>
      </c>
      <c r="BG27" s="181">
        <f>'事業・組織再生コンサル'!BG4*0.05</f>
        <v>643500.0</v>
      </c>
      <c r="BH27" s="181">
        <f>'事業・組織再生コンサル'!BH4*0.05</f>
        <v>660000.0</v>
      </c>
      <c r="BI27" s="181">
        <f>'事業・組織再生コンサル'!BI4*0.05</f>
        <v>676500.0</v>
      </c>
      <c r="BJ27" s="181">
        <f>'事業・組織再生コンサル'!BJ4*0.05</f>
        <v>693000.0</v>
      </c>
      <c r="BK27" s="181">
        <f>'事業・組織再生コンサル'!BK4*0.05</f>
        <v>709500.0</v>
      </c>
      <c r="BL27" s="181">
        <f>'事業・組織再生コンサル'!BL4*0.05</f>
        <v>726000.0</v>
      </c>
      <c r="BM27" s="181">
        <f>'事業・組織再生コンサル'!BM4*0.05</f>
        <v>742500.0</v>
      </c>
      <c r="BN27" s="181">
        <f>SUM(F27:Q27)</f>
        <v>313500.0</v>
      </c>
      <c r="BO27" s="181">
        <f>SUM(R27:AC27)</f>
        <v>1897500.0</v>
      </c>
      <c r="BP27" s="181">
        <f>SUM(AD27:AO27)</f>
        <v>3795000.0</v>
      </c>
      <c r="BQ27" s="181">
        <f>SUM(AP27:BA27)</f>
        <v>5758500.0</v>
      </c>
      <c r="BR27" s="181">
        <f>SUM(BB27:BM27)</f>
        <v>7887000.0</v>
      </c>
    </row>
    <row r="28">
      <c r="C28" s="76" t="inlineStr">
        <is>
          <t>COGS合計</t>
        </is>
      </c>
      <c r="D28" s="76" t="n"/>
      <c r="E28" s="76" t="n"/>
      <c r="F28" s="181">
        <f>SUM(F24:F27)</f>
        <v>50000.0</v>
      </c>
      <c r="G28" s="181">
        <f>SUM(G24:G27)</f>
        <v>51543.5412611211</v>
      </c>
      <c r="H28" s="181">
        <f>SUM(H24:H27)</f>
        <v>59230.3767415042</v>
      </c>
      <c r="I28" s="181">
        <f>SUM(I24:I27)</f>
        <v>66763.4755122796</v>
      </c>
      <c r="J28" s="181">
        <f>SUM(J24:J27)</f>
        <v>74145.9123076396</v>
      </c>
      <c r="K28" s="181">
        <f>SUM(K24:K27)</f>
        <v>82924.2416282134</v>
      </c>
      <c r="L28" s="181">
        <f>SUM(L24:L27)</f>
        <v>108027.004362376</v>
      </c>
      <c r="M28" s="181">
        <f>SUM(M24:M27)</f>
        <v>132957.711841855</v>
      </c>
      <c r="N28" s="181">
        <f>SUM(N24:N27)</f>
        <v>159263.346432866</v>
      </c>
      <c r="O28" s="181">
        <f>SUM(O24:O27)</f>
        <v>185372.868332056</v>
      </c>
      <c r="P28" s="181">
        <f>SUM(P24:P27)</f>
        <v>194790.199793263</v>
      </c>
      <c r="Q28" s="181">
        <f>SUM(Q24:Q27)</f>
        <v>222062.725886366</v>
      </c>
      <c r="R28" s="181">
        <f>SUM(R24:R27)</f>
        <v>332619.801457608</v>
      </c>
      <c r="S28" s="181">
        <f>SUM(S24:S27)</f>
        <v>359465.735517424</v>
      </c>
      <c r="T28" s="181">
        <f>SUM(T24:T27)</f>
        <v>387648.292157166</v>
      </c>
      <c r="U28" s="181">
        <f>SUM(U24:U27)</f>
        <v>415597.197664112</v>
      </c>
      <c r="V28" s="181">
        <f>SUM(V24:V27)</f>
        <v>426817.12506092</v>
      </c>
      <c r="W28" s="181">
        <f>SUM(W24:W27)</f>
        <v>455856.195170913</v>
      </c>
      <c r="X28" s="181">
        <f>SUM(X24:X27)</f>
        <v>484644.483878706</v>
      </c>
      <c r="Y28" s="181">
        <f>SUM(Y24:Y27)</f>
        <v>513187.006812342</v>
      </c>
      <c r="Z28" s="181">
        <f>SUM(Z24:Z27)</f>
        <v>543032.220548428</v>
      </c>
      <c r="AA28" s="181">
        <f>SUM(AA24:AA27)</f>
        <v>556110.530009791</v>
      </c>
      <c r="AB28" s="181">
        <f>SUM(AB24:AB27)</f>
        <v>585427.273281928</v>
      </c>
      <c r="AC28" s="181">
        <f>SUM(AC24:AC27)</f>
        <v>616031.222949742</v>
      </c>
      <c r="AD28" s="181">
        <f>SUM(AD24:AD27)</f>
        <v>797528.24973895</v>
      </c>
      <c r="AE28" s="181">
        <f>SUM(AE24:AE27)</f>
        <v>812300.321126319</v>
      </c>
      <c r="AF28" s="181">
        <f>SUM(AF24:AF27)</f>
        <v>844894.352703998</v>
      </c>
      <c r="AG28" s="181">
        <f>SUM(AG24:AG27)</f>
        <v>877246.973808012</v>
      </c>
      <c r="AH28" s="181">
        <f>SUM(AH24:AH27)</f>
        <v>909361.805595467</v>
      </c>
      <c r="AI28" s="181">
        <f>SUM(AI24:AI27)</f>
        <v>942785.95616723</v>
      </c>
      <c r="AJ28" s="181">
        <f>SUM(AJ24:AJ27)</f>
        <v>975956.244480417</v>
      </c>
      <c r="AK28" s="181">
        <f>SUM(AK24:AK27)</f>
        <v>992376.478468906</v>
      </c>
      <c r="AL28" s="181">
        <f>SUM(AL24:AL27)</f>
        <v>1026593.95020869</v>
      </c>
      <c r="AM28" s="181">
        <f>SUM(AM24:AM27)</f>
        <v>1060545.65987238</v>
      </c>
      <c r="AN28" s="181">
        <f>SUM(AN24:AN27)</f>
        <v>1094235.59389111</v>
      </c>
      <c r="AO28" s="181">
        <f>SUM(AO24:AO27)</f>
        <v>1129211.22016068</v>
      </c>
      <c r="AP28" s="181">
        <f>SUM(AP24:AP27)</f>
        <v>1347409.71203621</v>
      </c>
      <c r="AQ28" s="181">
        <f>SUM(AQ24:AQ27)</f>
        <v>1381835.2265336</v>
      </c>
      <c r="AR28" s="181">
        <f>SUM(AR24:AR27)</f>
        <v>1417535.39957465</v>
      </c>
      <c r="AS28" s="181">
        <f>SUM(AS24:AS27)</f>
        <v>1452947.57002009</v>
      </c>
      <c r="AT28" s="181">
        <f>SUM(AT24:AT27)</f>
        <v>1488076.05790885</v>
      </c>
      <c r="AU28" s="181">
        <f>SUM(AU24:AU27)</f>
        <v>1524468.6597404</v>
      </c>
      <c r="AV28" s="181">
        <f>SUM(AV24:AV27)</f>
        <v>1560562.87254447</v>
      </c>
      <c r="AW28" s="181">
        <f>SUM(AW24:AW27)</f>
        <v>1579863.17215648</v>
      </c>
      <c r="AX28" s="181">
        <f>SUM(AX24:AX27)</f>
        <v>1616917.50853544</v>
      </c>
      <c r="AY28" s="181">
        <f>SUM(AY24:AY27)</f>
        <v>1653663.52986871</v>
      </c>
      <c r="AZ28" s="181">
        <f>SUM(AZ24:AZ27)</f>
        <v>1690105.86088198</v>
      </c>
      <c r="BA28" s="181">
        <f>SUM(BA24:BA27)</f>
        <v>1727792.59819117</v>
      </c>
      <c r="BB28" s="181">
        <f>SUM(BB24:BB27)</f>
        <v>2068495.49743168</v>
      </c>
      <c r="BC28" s="181">
        <f>SUM(BC24:BC27)</f>
        <v>2108956.36767979</v>
      </c>
      <c r="BD28" s="181">
        <f>SUM(BD24:BD27)</f>
        <v>2150721.17048653</v>
      </c>
      <c r="BE28" s="181">
        <f>SUM(BE24:BE27)</f>
        <v>2192233.32526521</v>
      </c>
      <c r="BF28" s="181">
        <f>SUM(BF24:BF27)</f>
        <v>2216995.3584961</v>
      </c>
      <c r="BG28" s="181">
        <f>SUM(BG24:BG27)</f>
        <v>2259553.3126558</v>
      </c>
      <c r="BH28" s="181">
        <f>SUM(BH24:BH27)</f>
        <v>2301850.68727391</v>
      </c>
      <c r="BI28" s="181">
        <f>SUM(BI24:BI27)</f>
        <v>2343890.08814584</v>
      </c>
      <c r="BJ28" s="181">
        <f>SUM(BJ24:BJ27)</f>
        <v>2387217.63627016</v>
      </c>
      <c r="BK28" s="181">
        <f>SUM(BK24:BK27)</f>
        <v>2430276.90891325</v>
      </c>
      <c r="BL28" s="181">
        <f>SUM(BL24:BL27)</f>
        <v>2473070.5888299</v>
      </c>
      <c r="BM28" s="181">
        <f>SUM(BM24:BM27)</f>
        <v>2517144.87320851</v>
      </c>
      <c r="BN28" s="181">
        <f>SUM(F28:Q28)</f>
        <v>1387081.40409954</v>
      </c>
      <c r="BO28" s="181">
        <f>SUM(R28:AC28)</f>
        <v>5676437.08450908</v>
      </c>
      <c r="BP28" s="181">
        <f>SUM(AD28:AO28)</f>
        <v>11463036.8062221</v>
      </c>
      <c r="BQ28" s="181">
        <f>SUM(AP28:BA28)</f>
        <v>18441178.1679921</v>
      </c>
      <c r="BR28" s="181">
        <f>SUM(BB28:BM28)</f>
        <v>27450405.8146567</v>
      </c>
    </row>
    <row r="29"/>
    <row r="30"/>
    <row r="31"/>
    <row r="32"/>
    <row r="33">
      <c r="C33" s="233" t="inlineStr">
        <is>
          <t>役員報酬</t>
        </is>
      </c>
    </row>
    <row r="34">
      <c r="C34" s="325" t="inlineStr">
        <is>
          <t>給与手当</t>
        </is>
      </c>
    </row>
    <row r="35">
      <c r="C35" s="325" t="inlineStr">
        <is>
          <t>賞与手当</t>
        </is>
      </c>
    </row>
    <row r="36">
      <c r="C36" s="325" t="inlineStr">
        <is>
          <t>法定福利費</t>
        </is>
      </c>
    </row>
    <row r="37">
      <c r="C37" s="325" t="inlineStr">
        <is>
          <t>福利厚生費</t>
        </is>
      </c>
    </row>
    <row r="38">
      <c r="C38" s="325" t="inlineStr">
        <is>
          <t>採用教育費</t>
        </is>
      </c>
    </row>
    <row r="39">
      <c r="C39" s="325" t="inlineStr">
        <is>
          <t>広告宣伝費</t>
        </is>
      </c>
    </row>
    <row r="40">
      <c r="C40" s="233" t="inlineStr">
        <is>
          <t>荷造包装費</t>
        </is>
      </c>
    </row>
    <row r="41">
      <c r="C41" s="233" t="inlineStr">
        <is>
          <t>外注費</t>
        </is>
      </c>
    </row>
    <row r="42">
      <c r="C42" s="233" t="inlineStr">
        <is>
          <t>交際費</t>
        </is>
      </c>
    </row>
    <row r="43">
      <c r="C43" s="233" t="inlineStr">
        <is>
          <t>会議費</t>
        </is>
      </c>
    </row>
    <row r="44">
      <c r="C44" s="325" t="inlineStr">
        <is>
          <t>旅費交通費</t>
        </is>
      </c>
    </row>
    <row r="45">
      <c r="C45" s="325" t="inlineStr">
        <is>
          <t>通信費</t>
        </is>
      </c>
    </row>
    <row r="46">
      <c r="C46" s="233" t="inlineStr">
        <is>
          <t>消耗品費</t>
        </is>
      </c>
    </row>
    <row r="47">
      <c r="C47" s="233" t="inlineStr">
        <is>
          <t>水道光熱費</t>
        </is>
      </c>
    </row>
    <row r="48">
      <c r="C48" s="233" t="inlineStr">
        <is>
          <t>保険料</t>
        </is>
      </c>
    </row>
    <row r="49">
      <c r="C49" s="233" t="inlineStr">
        <is>
          <t>支払リース料</t>
        </is>
      </c>
    </row>
    <row r="50">
      <c r="C50" s="233" t="inlineStr">
        <is>
          <t>修繕費</t>
        </is>
      </c>
    </row>
    <row r="51">
      <c r="C51" s="233" t="inlineStr">
        <is>
          <t>新聞図書費</t>
        </is>
      </c>
    </row>
    <row r="52">
      <c r="C52" s="233" t="inlineStr">
        <is>
          <t>支払手数料</t>
        </is>
      </c>
    </row>
    <row r="53">
      <c r="C53" s="233" t="inlineStr">
        <is>
          <t>地代家賃</t>
        </is>
      </c>
    </row>
    <row r="54">
      <c r="C54" s="233" t="inlineStr">
        <is>
          <t>賃借料</t>
        </is>
      </c>
    </row>
    <row r="55">
      <c r="C55" s="233" t="inlineStr">
        <is>
          <t>租税公課</t>
        </is>
      </c>
    </row>
    <row r="56">
      <c r="C56" s="233" t="inlineStr">
        <is>
          <t>支払報酬料</t>
        </is>
      </c>
    </row>
    <row r="57">
      <c r="C57" s="325" t="inlineStr">
        <is>
          <t>減価償却費</t>
        </is>
      </c>
    </row>
    <row r="58">
      <c r="C58" s="325" t="inlineStr">
        <is>
          <t>研究開発費</t>
        </is>
      </c>
    </row>
    <row r="59">
      <c r="C59" s="233" t="inlineStr">
        <is>
          <t>諸会費</t>
        </is>
      </c>
    </row>
    <row r="60">
      <c r="C60" s="293" t="inlineStr">
        <is>
          <t>雑費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37"/>
  <sheetViews>
    <sheetView zoomScale="131" zoomScaleNormal="100" workbookViewId="0">
      <selection activeCell="F4" sqref="F4:BR4"/>
    </sheetView>
  </sheetViews>
  <sheetFormatPr baseColWidth="10" defaultRowHeight="20"/>
  <cols>
    <col width="10.7109375" customWidth="1" style="114" min="1" max="16384"/>
  </cols>
  <sheetData>
    <row r="1"/>
    <row r="2"/>
    <row r="3">
      <c r="C3" s="180" t="inlineStr">
        <is>
          <t>指標</t>
        </is>
      </c>
      <c r="D3" s="180" t="inlineStr">
        <is>
          <t>メモ</t>
        </is>
      </c>
      <c r="E3" s="180" t="n"/>
      <c r="F3" s="180" t="inlineStr">
        <is>
          <t>M1</t>
        </is>
      </c>
      <c r="G3" s="180" t="inlineStr">
        <is>
          <t>M2</t>
        </is>
      </c>
      <c r="H3" s="180" t="inlineStr">
        <is>
          <t>M3</t>
        </is>
      </c>
      <c r="I3" s="180" t="inlineStr">
        <is>
          <t>M4</t>
        </is>
      </c>
      <c r="J3" s="180" t="inlineStr">
        <is>
          <t>M5</t>
        </is>
      </c>
      <c r="K3" s="180" t="inlineStr">
        <is>
          <t>M6</t>
        </is>
      </c>
      <c r="L3" s="180" t="inlineStr">
        <is>
          <t>M7</t>
        </is>
      </c>
      <c r="M3" s="180" t="inlineStr">
        <is>
          <t>M8</t>
        </is>
      </c>
      <c r="N3" s="180" t="inlineStr">
        <is>
          <t>M9</t>
        </is>
      </c>
      <c r="O3" s="180" t="inlineStr">
        <is>
          <t>M10</t>
        </is>
      </c>
      <c r="P3" s="180" t="inlineStr">
        <is>
          <t>M11</t>
        </is>
      </c>
      <c r="Q3" s="180" t="inlineStr">
        <is>
          <t>M12</t>
        </is>
      </c>
      <c r="R3" s="180" t="inlineStr">
        <is>
          <t>M13</t>
        </is>
      </c>
      <c r="S3" s="180" t="inlineStr">
        <is>
          <t>M1４</t>
        </is>
      </c>
      <c r="T3" s="180" t="inlineStr">
        <is>
          <t>M15</t>
        </is>
      </c>
      <c r="U3" s="180" t="inlineStr">
        <is>
          <t>M16</t>
        </is>
      </c>
      <c r="V3" s="180" t="inlineStr">
        <is>
          <t>M17</t>
        </is>
      </c>
      <c r="W3" s="180" t="inlineStr">
        <is>
          <t>M18</t>
        </is>
      </c>
      <c r="X3" s="180" t="inlineStr">
        <is>
          <t>M19</t>
        </is>
      </c>
      <c r="Y3" s="180" t="inlineStr">
        <is>
          <t>M20</t>
        </is>
      </c>
      <c r="Z3" s="180" t="inlineStr">
        <is>
          <t>M21</t>
        </is>
      </c>
      <c r="AA3" s="180" t="inlineStr">
        <is>
          <t>M22</t>
        </is>
      </c>
      <c r="AB3" s="180" t="inlineStr">
        <is>
          <t>M23</t>
        </is>
      </c>
      <c r="AC3" s="180" t="inlineStr">
        <is>
          <t>M24</t>
        </is>
      </c>
      <c r="AD3" s="180" t="inlineStr">
        <is>
          <t>M25</t>
        </is>
      </c>
      <c r="AE3" s="180" t="inlineStr">
        <is>
          <t>M26</t>
        </is>
      </c>
      <c r="AF3" s="180" t="inlineStr">
        <is>
          <t>M27</t>
        </is>
      </c>
      <c r="AG3" s="180" t="inlineStr">
        <is>
          <t>M28</t>
        </is>
      </c>
      <c r="AH3" s="180" t="inlineStr">
        <is>
          <t>M29</t>
        </is>
      </c>
      <c r="AI3" s="180" t="inlineStr">
        <is>
          <t>M30</t>
        </is>
      </c>
      <c r="AJ3" s="180" t="inlineStr">
        <is>
          <t>M31</t>
        </is>
      </c>
      <c r="AK3" s="180" t="inlineStr">
        <is>
          <t>M32</t>
        </is>
      </c>
      <c r="AL3" s="180" t="inlineStr">
        <is>
          <t>M33</t>
        </is>
      </c>
      <c r="AM3" s="180" t="inlineStr">
        <is>
          <t>M34</t>
        </is>
      </c>
      <c r="AN3" s="180" t="inlineStr">
        <is>
          <t>M35</t>
        </is>
      </c>
      <c r="AO3" s="180" t="inlineStr">
        <is>
          <t>M36</t>
        </is>
      </c>
      <c r="AP3" s="180" t="inlineStr">
        <is>
          <t>M37</t>
        </is>
      </c>
      <c r="AQ3" s="180" t="inlineStr">
        <is>
          <t>M38</t>
        </is>
      </c>
      <c r="AR3" s="180" t="inlineStr">
        <is>
          <t>M39</t>
        </is>
      </c>
      <c r="AS3" s="180" t="inlineStr">
        <is>
          <t>M40</t>
        </is>
      </c>
      <c r="AT3" s="180" t="inlineStr">
        <is>
          <t>M41</t>
        </is>
      </c>
      <c r="AU3" s="180" t="inlineStr">
        <is>
          <t>M42</t>
        </is>
      </c>
      <c r="AV3" s="180" t="inlineStr">
        <is>
          <t>M43</t>
        </is>
      </c>
      <c r="AW3" s="180" t="inlineStr">
        <is>
          <t>M44</t>
        </is>
      </c>
      <c r="AX3" s="180" t="inlineStr">
        <is>
          <t>M45</t>
        </is>
      </c>
      <c r="AY3" s="180" t="inlineStr">
        <is>
          <t>M46</t>
        </is>
      </c>
      <c r="AZ3" s="180" t="inlineStr">
        <is>
          <t>M47</t>
        </is>
      </c>
      <c r="BA3" s="180" t="inlineStr">
        <is>
          <t>M48</t>
        </is>
      </c>
      <c r="BB3" s="180" t="inlineStr">
        <is>
          <t>M49</t>
        </is>
      </c>
      <c r="BC3" s="180" t="inlineStr">
        <is>
          <t>M50</t>
        </is>
      </c>
      <c r="BD3" s="180" t="inlineStr">
        <is>
          <t>M51</t>
        </is>
      </c>
      <c r="BE3" s="180" t="inlineStr">
        <is>
          <t>M52</t>
        </is>
      </c>
      <c r="BF3" s="180" t="inlineStr">
        <is>
          <t>M53</t>
        </is>
      </c>
      <c r="BG3" s="180" t="inlineStr">
        <is>
          <t>M54</t>
        </is>
      </c>
      <c r="BH3" s="180" t="inlineStr">
        <is>
          <t>M55</t>
        </is>
      </c>
      <c r="BI3" s="180" t="inlineStr">
        <is>
          <t>M56</t>
        </is>
      </c>
      <c r="BJ3" s="180" t="inlineStr">
        <is>
          <t>M57</t>
        </is>
      </c>
      <c r="BK3" s="180" t="inlineStr">
        <is>
          <t>M58</t>
        </is>
      </c>
      <c r="BL3" s="180" t="inlineStr">
        <is>
          <t>M59</t>
        </is>
      </c>
      <c r="BM3" s="180" t="inlineStr">
        <is>
          <t>M60</t>
        </is>
      </c>
      <c r="BN3" s="224" t="inlineStr">
        <is>
          <t>Y0</t>
        </is>
      </c>
      <c r="BO3" s="180" t="inlineStr">
        <is>
          <t>Y2</t>
        </is>
      </c>
      <c r="BP3" s="180" t="inlineStr">
        <is>
          <t>Y3</t>
        </is>
      </c>
      <c r="BQ3" s="180" t="inlineStr">
        <is>
          <t>Y4</t>
        </is>
      </c>
      <c r="BR3" s="180" t="inlineStr">
        <is>
          <t>Y5</t>
        </is>
      </c>
    </row>
    <row r="4">
      <c r="C4" s="193" t="inlineStr">
        <is>
          <t>コンサル売上</t>
        </is>
      </c>
      <c r="D4" s="194" t="n"/>
      <c r="E4" s="194" t="n"/>
      <c r="F4" s="195">
        <f>F6*F9</f>
        <v>0.0</v>
      </c>
      <c r="G4" s="195">
        <f>G6*G9</f>
        <v>0.0</v>
      </c>
      <c r="H4" s="195">
        <f>H6*H9</f>
        <v>0.0</v>
      </c>
      <c r="I4" s="195">
        <f>I6*I9</f>
        <v>0.0</v>
      </c>
      <c r="J4" s="195">
        <f>J6*J9</f>
        <v>0.0</v>
      </c>
      <c r="K4" s="195">
        <f>K6*K9</f>
        <v>0.0</v>
      </c>
      <c r="L4" s="195">
        <f>L6*L9</f>
        <v>330000.0</v>
      </c>
      <c r="M4" s="195">
        <f>M6*M9</f>
        <v>660000.0</v>
      </c>
      <c r="N4" s="195">
        <f>N6*N9</f>
        <v>990000.0</v>
      </c>
      <c r="O4" s="195">
        <f>O6*O9</f>
        <v>1320000.0</v>
      </c>
      <c r="P4" s="195">
        <f>P6*P9</f>
        <v>1320000.0</v>
      </c>
      <c r="Q4" s="195">
        <f>Q6*Q9</f>
        <v>1650000.0</v>
      </c>
      <c r="R4" s="195">
        <f>R6*R9</f>
        <v>1650000.0</v>
      </c>
      <c r="S4" s="195">
        <f>S6*S9</f>
        <v>1980000.0</v>
      </c>
      <c r="T4" s="195">
        <f>T6*T9</f>
        <v>2310000.0</v>
      </c>
      <c r="U4" s="195">
        <f>U6*U9</f>
        <v>2640000.0</v>
      </c>
      <c r="V4" s="195">
        <f>V6*V9</f>
        <v>2640000.0</v>
      </c>
      <c r="W4" s="195">
        <f>W6*W9</f>
        <v>2970000.0</v>
      </c>
      <c r="X4" s="195">
        <f>X6*X9</f>
        <v>3300000.0</v>
      </c>
      <c r="Y4" s="195">
        <f>Y6*Y9</f>
        <v>3630000.0</v>
      </c>
      <c r="Z4" s="195">
        <f>Z6*Z9</f>
        <v>3960000.0</v>
      </c>
      <c r="AA4" s="195">
        <f>AA6*AA9</f>
        <v>3960000.0</v>
      </c>
      <c r="AB4" s="195">
        <f>AB6*AB9</f>
        <v>4290000.0</v>
      </c>
      <c r="AC4" s="195">
        <f>AC6*AC9</f>
        <v>4620000.0</v>
      </c>
      <c r="AD4" s="195">
        <f>AD6*AD9</f>
        <v>4950000.0</v>
      </c>
      <c r="AE4" s="195">
        <f>AE6*AE9</f>
        <v>4950000.0</v>
      </c>
      <c r="AF4" s="195">
        <f>AF6*AF9</f>
        <v>5280000.0</v>
      </c>
      <c r="AG4" s="195">
        <f>AG6*AG9</f>
        <v>5610000.0</v>
      </c>
      <c r="AH4" s="195">
        <f>AH6*AH9</f>
        <v>5940000.0</v>
      </c>
      <c r="AI4" s="195">
        <f>AI6*AI9</f>
        <v>6270000.0</v>
      </c>
      <c r="AJ4" s="195">
        <f>AJ6*AJ9</f>
        <v>6600000.0</v>
      </c>
      <c r="AK4" s="195">
        <f>AK6*AK9</f>
        <v>6600000.0</v>
      </c>
      <c r="AL4" s="195">
        <f>AL6*AL9</f>
        <v>6930000.0</v>
      </c>
      <c r="AM4" s="195">
        <f>AM6*AM9</f>
        <v>7260000.0</v>
      </c>
      <c r="AN4" s="195">
        <f>AN6*AN9</f>
        <v>7590000.0</v>
      </c>
      <c r="AO4" s="195">
        <f>AO6*AO9</f>
        <v>7920000.0</v>
      </c>
      <c r="AP4" s="195">
        <f>AP6*AP9</f>
        <v>7920000.0</v>
      </c>
      <c r="AQ4" s="195">
        <f>AQ6*AQ9</f>
        <v>8250000.0</v>
      </c>
      <c r="AR4" s="195">
        <f>AR6*AR9</f>
        <v>8580000.0</v>
      </c>
      <c r="AS4" s="195">
        <f>AS6*AS9</f>
        <v>8910000.0</v>
      </c>
      <c r="AT4" s="195">
        <f>AT6*AT9</f>
        <v>9240000.0</v>
      </c>
      <c r="AU4" s="195">
        <f>AU6*AU9</f>
        <v>9570000.0</v>
      </c>
      <c r="AV4" s="195">
        <f>AV6*AV9</f>
        <v>9900000.0</v>
      </c>
      <c r="AW4" s="195">
        <f>AW6*AW9</f>
        <v>9900000.0</v>
      </c>
      <c r="AX4" s="195">
        <f>AX6*AX9</f>
        <v>10230000.0</v>
      </c>
      <c r="AY4" s="195">
        <f>AY6*AY9</f>
        <v>10560000.0</v>
      </c>
      <c r="AZ4" s="195">
        <f>AZ6*AZ9</f>
        <v>10890000.0</v>
      </c>
      <c r="BA4" s="195">
        <f>BA6*BA9</f>
        <v>11220000.0</v>
      </c>
      <c r="BB4" s="195">
        <f>BB6*BB9</f>
        <v>11550000.0</v>
      </c>
      <c r="BC4" s="195">
        <f>BC6*BC9</f>
        <v>11880000.0</v>
      </c>
      <c r="BD4" s="195">
        <f>BD6*BD9</f>
        <v>12210000.0</v>
      </c>
      <c r="BE4" s="195">
        <f>BE6*BE9</f>
        <v>12540000.0</v>
      </c>
      <c r="BF4" s="195">
        <f>BF6*BF9</f>
        <v>12540000.0</v>
      </c>
      <c r="BG4" s="195">
        <f>BG6*BG9</f>
        <v>12870000.0</v>
      </c>
      <c r="BH4" s="195">
        <f>BH6*BH9</f>
        <v>13200000.0</v>
      </c>
      <c r="BI4" s="195">
        <f>BI6*BI9</f>
        <v>13530000.0</v>
      </c>
      <c r="BJ4" s="195">
        <f>BJ6*BJ9</f>
        <v>13860000.0</v>
      </c>
      <c r="BK4" s="195">
        <f>BK6*BK9</f>
        <v>14190000.0</v>
      </c>
      <c r="BL4" s="195">
        <f>BL6*BL9</f>
        <v>14520000.0</v>
      </c>
      <c r="BM4" s="195">
        <f>BM6*BM9</f>
        <v>14850000.0</v>
      </c>
      <c r="BN4" s="225">
        <f>SUM(F4:Q4)</f>
        <v>6270000.0</v>
      </c>
      <c r="BO4" s="195">
        <f>SUM(R4:AC4)</f>
        <v>37950000.0</v>
      </c>
      <c r="BP4" s="195">
        <f>SUM(AD4:AO4)</f>
        <v>75900000.0</v>
      </c>
      <c r="BQ4" s="195">
        <f>SUM(AP4:BA4)</f>
        <v>115170000.0</v>
      </c>
      <c r="BR4" s="195">
        <f>SUM(BB4:BM4)</f>
        <v>157740000.0</v>
      </c>
    </row>
    <row r="5">
      <c r="C5" s="74" t="inlineStr">
        <is>
          <t>提案獲得LT（ヶ月）</t>
        </is>
      </c>
      <c r="D5" s="204" t="n"/>
      <c r="E5" s="204" t="n"/>
      <c r="F5" s="196" t="n">
        <v>3</v>
      </c>
      <c r="G5" s="196" t="n">
        <v>3</v>
      </c>
      <c r="H5" s="196" t="n">
        <v>3</v>
      </c>
      <c r="I5" s="196" t="n">
        <v>3</v>
      </c>
      <c r="J5" s="196" t="n">
        <v>3</v>
      </c>
      <c r="K5" s="196" t="n">
        <v>3</v>
      </c>
      <c r="L5" s="196" t="n">
        <v>3</v>
      </c>
      <c r="M5" s="196" t="n">
        <v>3</v>
      </c>
      <c r="N5" s="196" t="n">
        <v>3</v>
      </c>
      <c r="O5" s="196" t="n">
        <v>3</v>
      </c>
      <c r="P5" s="196" t="n">
        <v>3</v>
      </c>
      <c r="Q5" s="196" t="n">
        <v>3</v>
      </c>
      <c r="R5" s="196" t="n">
        <v>3</v>
      </c>
      <c r="S5" s="196" t="n">
        <v>3</v>
      </c>
      <c r="T5" s="196" t="n">
        <v>3</v>
      </c>
      <c r="U5" s="196" t="n">
        <v>3</v>
      </c>
      <c r="V5" s="196" t="n">
        <v>3</v>
      </c>
      <c r="W5" s="196" t="n">
        <v>3</v>
      </c>
      <c r="X5" s="196" t="n">
        <v>3</v>
      </c>
      <c r="Y5" s="196" t="n">
        <v>3</v>
      </c>
      <c r="Z5" s="196" t="n">
        <v>3</v>
      </c>
      <c r="AA5" s="196" t="n">
        <v>3</v>
      </c>
      <c r="AB5" s="196" t="n">
        <v>3</v>
      </c>
      <c r="AC5" s="196" t="n">
        <v>3</v>
      </c>
      <c r="AD5" s="196" t="n">
        <v>3</v>
      </c>
      <c r="AE5" s="196" t="n">
        <v>3</v>
      </c>
      <c r="AF5" s="196" t="n">
        <v>3</v>
      </c>
      <c r="AG5" s="196" t="n">
        <v>3</v>
      </c>
      <c r="AH5" s="196" t="n">
        <v>3</v>
      </c>
      <c r="AI5" s="196" t="n">
        <v>3</v>
      </c>
      <c r="AJ5" s="196" t="n">
        <v>3</v>
      </c>
      <c r="AK5" s="196" t="n">
        <v>3</v>
      </c>
      <c r="AL5" s="196" t="n">
        <v>3</v>
      </c>
      <c r="AM5" s="196" t="n">
        <v>3</v>
      </c>
      <c r="AN5" s="196" t="n">
        <v>3</v>
      </c>
      <c r="AO5" s="196" t="n">
        <v>3</v>
      </c>
      <c r="AP5" s="196" t="n">
        <v>3</v>
      </c>
      <c r="AQ5" s="196" t="n">
        <v>3</v>
      </c>
      <c r="AR5" s="196" t="n">
        <v>3</v>
      </c>
      <c r="AS5" s="196" t="n">
        <v>3</v>
      </c>
      <c r="AT5" s="196" t="n">
        <v>3</v>
      </c>
      <c r="AU5" s="196" t="n">
        <v>3</v>
      </c>
      <c r="AV5" s="196" t="n">
        <v>3</v>
      </c>
      <c r="AW5" s="196" t="n">
        <v>3</v>
      </c>
      <c r="AX5" s="196" t="n">
        <v>3</v>
      </c>
      <c r="AY5" s="196" t="n">
        <v>3</v>
      </c>
      <c r="AZ5" s="196" t="n">
        <v>3</v>
      </c>
      <c r="BA5" s="196" t="n">
        <v>3</v>
      </c>
      <c r="BB5" s="196" t="n">
        <v>3</v>
      </c>
      <c r="BC5" s="196" t="n">
        <v>3</v>
      </c>
      <c r="BD5" s="196" t="n">
        <v>3</v>
      </c>
      <c r="BE5" s="196" t="n">
        <v>3</v>
      </c>
      <c r="BF5" s="196" t="n">
        <v>3</v>
      </c>
      <c r="BG5" s="196" t="n">
        <v>3</v>
      </c>
      <c r="BH5" s="196" t="n">
        <v>3</v>
      </c>
      <c r="BI5" s="196" t="n">
        <v>3</v>
      </c>
      <c r="BJ5" s="196" t="n">
        <v>3</v>
      </c>
      <c r="BK5" s="196" t="n">
        <v>3</v>
      </c>
      <c r="BL5" s="196" t="n">
        <v>3</v>
      </c>
      <c r="BM5" s="196" t="n">
        <v>3</v>
      </c>
      <c r="BN5" s="226" t="n">
        <v>3</v>
      </c>
      <c r="BO5" s="196" t="n">
        <v>3</v>
      </c>
      <c r="BP5" s="196" t="n">
        <v>3</v>
      </c>
      <c r="BQ5" s="196" t="n">
        <v>3</v>
      </c>
      <c r="BR5" s="196" t="n">
        <v>3</v>
      </c>
    </row>
    <row r="6">
      <c r="C6" s="183" t="inlineStr">
        <is>
          <t>コンサル単価</t>
        </is>
      </c>
      <c r="D6" s="206" t="n"/>
      <c r="E6" s="206" t="n"/>
      <c r="F6" s="207" t="n">
        <v>330000</v>
      </c>
      <c r="G6" s="207" t="n">
        <v>330000</v>
      </c>
      <c r="H6" s="207" t="n">
        <v>330000</v>
      </c>
      <c r="I6" s="207" t="n">
        <v>330000</v>
      </c>
      <c r="J6" s="207" t="n">
        <v>330000</v>
      </c>
      <c r="K6" s="207" t="n">
        <v>330000</v>
      </c>
      <c r="L6" s="207" t="n">
        <v>330000</v>
      </c>
      <c r="M6" s="207" t="n">
        <v>330000</v>
      </c>
      <c r="N6" s="207" t="n">
        <v>330000</v>
      </c>
      <c r="O6" s="207" t="n">
        <v>330000</v>
      </c>
      <c r="P6" s="207" t="n">
        <v>330000</v>
      </c>
      <c r="Q6" s="207" t="n">
        <v>330000</v>
      </c>
      <c r="R6" s="207" t="n">
        <v>330000</v>
      </c>
      <c r="S6" s="207" t="n">
        <v>330000</v>
      </c>
      <c r="T6" s="207" t="n">
        <v>330000</v>
      </c>
      <c r="U6" s="207" t="n">
        <v>330000</v>
      </c>
      <c r="V6" s="207" t="n">
        <v>330000</v>
      </c>
      <c r="W6" s="207" t="n">
        <v>330000</v>
      </c>
      <c r="X6" s="207" t="n">
        <v>330000</v>
      </c>
      <c r="Y6" s="207" t="n">
        <v>330000</v>
      </c>
      <c r="Z6" s="207" t="n">
        <v>330000</v>
      </c>
      <c r="AA6" s="207" t="n">
        <v>330000</v>
      </c>
      <c r="AB6" s="207" t="n">
        <v>330000</v>
      </c>
      <c r="AC6" s="207" t="n">
        <v>330000</v>
      </c>
      <c r="AD6" s="207" t="n">
        <v>330000</v>
      </c>
      <c r="AE6" s="207" t="n">
        <v>330000</v>
      </c>
      <c r="AF6" s="207" t="n">
        <v>330000</v>
      </c>
      <c r="AG6" s="207" t="n">
        <v>330000</v>
      </c>
      <c r="AH6" s="207" t="n">
        <v>330000</v>
      </c>
      <c r="AI6" s="207" t="n">
        <v>330000</v>
      </c>
      <c r="AJ6" s="207" t="n">
        <v>330000</v>
      </c>
      <c r="AK6" s="207" t="n">
        <v>330000</v>
      </c>
      <c r="AL6" s="207" t="n">
        <v>330000</v>
      </c>
      <c r="AM6" s="207" t="n">
        <v>330000</v>
      </c>
      <c r="AN6" s="207" t="n">
        <v>330000</v>
      </c>
      <c r="AO6" s="207" t="n">
        <v>330000</v>
      </c>
      <c r="AP6" s="207" t="n">
        <v>330000</v>
      </c>
      <c r="AQ6" s="207" t="n">
        <v>330000</v>
      </c>
      <c r="AR6" s="207" t="n">
        <v>330000</v>
      </c>
      <c r="AS6" s="207" t="n">
        <v>330000</v>
      </c>
      <c r="AT6" s="207" t="n">
        <v>330000</v>
      </c>
      <c r="AU6" s="207" t="n">
        <v>330000</v>
      </c>
      <c r="AV6" s="207" t="n">
        <v>330000</v>
      </c>
      <c r="AW6" s="207" t="n">
        <v>330000</v>
      </c>
      <c r="AX6" s="207" t="n">
        <v>330000</v>
      </c>
      <c r="AY6" s="207" t="n">
        <v>330000</v>
      </c>
      <c r="AZ6" s="207" t="n">
        <v>330000</v>
      </c>
      <c r="BA6" s="207" t="n">
        <v>330000</v>
      </c>
      <c r="BB6" s="207" t="n">
        <v>330000</v>
      </c>
      <c r="BC6" s="207" t="n">
        <v>330000</v>
      </c>
      <c r="BD6" s="207" t="n">
        <v>330000</v>
      </c>
      <c r="BE6" s="207" t="n">
        <v>330000</v>
      </c>
      <c r="BF6" s="207" t="n">
        <v>330000</v>
      </c>
      <c r="BG6" s="207" t="n">
        <v>330000</v>
      </c>
      <c r="BH6" s="207" t="n">
        <v>330000</v>
      </c>
      <c r="BI6" s="207" t="n">
        <v>330000</v>
      </c>
      <c r="BJ6" s="207" t="n">
        <v>330000</v>
      </c>
      <c r="BK6" s="207" t="n">
        <v>330000</v>
      </c>
      <c r="BL6" s="207" t="n">
        <v>330000</v>
      </c>
      <c r="BM6" s="207" t="n">
        <v>330000</v>
      </c>
      <c r="BN6" s="227" t="n">
        <v>330000</v>
      </c>
      <c r="BO6" s="207" t="n">
        <v>330000</v>
      </c>
      <c r="BP6" s="207" t="n">
        <v>330000</v>
      </c>
      <c r="BQ6" s="207" t="n">
        <v>330000</v>
      </c>
      <c r="BR6" s="207" t="n">
        <v>330000</v>
      </c>
    </row>
    <row r="7">
      <c r="C7" s="76" t="inlineStr">
        <is>
          <t>契約コンサル案件</t>
        </is>
      </c>
      <c r="D7" s="187" t="n"/>
      <c r="E7" s="187" t="n"/>
      <c r="F7" s="507">
        <f>E7-F11+F8</f>
        <v>0.0</v>
      </c>
      <c r="G7" s="507">
        <f>F7-G11+G8</f>
        <v>0.0</v>
      </c>
      <c r="H7" s="507">
        <f>G7-H11+H8</f>
        <v>0.0</v>
      </c>
      <c r="I7" s="507">
        <f>H7-I11+I8</f>
        <v>0.0</v>
      </c>
      <c r="J7" s="507">
        <f>I7-J11+J8</f>
        <v>0.1365</v>
      </c>
      <c r="K7" s="507">
        <f>J7-K11+K8</f>
        <v>0.812175</v>
      </c>
      <c r="L7" s="507">
        <f>K7-L11+L8</f>
        <v>1.45406625</v>
      </c>
      <c r="M7" s="507">
        <f>L7-M11+M8</f>
        <v>2.0638629375</v>
      </c>
      <c r="N7" s="507">
        <f>M7-N11+N8</f>
        <v>2.779669790625</v>
      </c>
      <c r="O7" s="507">
        <f>N7-O11+O8</f>
        <v>3.45968630109375</v>
      </c>
      <c r="P7" s="507">
        <f>O7-P11+P8</f>
        <v>4.10570198603906</v>
      </c>
      <c r="Q7" s="507">
        <f>P7-Q11+Q8</f>
        <v>4.85591688673711</v>
      </c>
      <c r="R7" s="507">
        <f>Q7-R11+R8</f>
        <v>5.56862104240025</v>
      </c>
      <c r="S7" s="507">
        <f>R7-S11+S8</f>
        <v>6.24568999028024</v>
      </c>
      <c r="T7" s="507">
        <f>S7-T11+T8</f>
        <v>7.02540549076623</v>
      </c>
      <c r="U7" s="507">
        <f>T7-U11+U8</f>
        <v>7.76613521622792</v>
      </c>
      <c r="V7" s="507">
        <f>U7-V11+V8</f>
        <v>8.46982845541652</v>
      </c>
      <c r="W7" s="507">
        <f>V7-W11+W8</f>
        <v>9.2748370326457</v>
      </c>
      <c r="X7" s="507">
        <f>W7-X11+X8</f>
        <v>10.0395951810134</v>
      </c>
      <c r="Y7" s="507">
        <f>X7-Y11+Y8</f>
        <v>10.7661154219627</v>
      </c>
      <c r="Z7" s="507">
        <f>Y7-Z11+Z8</f>
        <v>11.5928096508646</v>
      </c>
      <c r="AA7" s="507">
        <f>Z7-AA11+AA8</f>
        <v>12.3781691683214</v>
      </c>
      <c r="AB7" s="507">
        <f>AA7-AB11+AB8</f>
        <v>13.1242607099053</v>
      </c>
      <c r="AC7" s="507">
        <f>AB7-AC11+AC8</f>
        <v>13.96954767441</v>
      </c>
      <c r="AD7" s="507">
        <f>AC7-AD11+AD8</f>
        <v>14.7725702906895</v>
      </c>
      <c r="AE7" s="507">
        <f>AD7-AE11+AE8</f>
        <v>15.5354417761551</v>
      </c>
      <c r="AF7" s="507">
        <f>AE7-AF11+AF8</f>
        <v>16.3966696873473</v>
      </c>
      <c r="AG7" s="507">
        <f>AF7-AG11+AG8</f>
        <v>17.2148362029799</v>
      </c>
      <c r="AH7" s="507">
        <f>AG7-AH11+AH8</f>
        <v>17.992094392831</v>
      </c>
      <c r="AI7" s="507">
        <f>AH7-AI11+AI8</f>
        <v>18.8669896731894</v>
      </c>
      <c r="AJ7" s="507">
        <f>AI7-AJ11+AJ8</f>
        <v>19.6981401895299</v>
      </c>
      <c r="AK7" s="507">
        <f>AJ7-AK11+AK8</f>
        <v>20.4877331800534</v>
      </c>
      <c r="AL7" s="507">
        <f>AK7-AL11+AL8</f>
        <v>21.3743465210508</v>
      </c>
      <c r="AM7" s="507">
        <f>AL7-AM11+AM8</f>
        <v>22.2166291949982</v>
      </c>
      <c r="AN7" s="507">
        <f>AM7-AN11+AN8</f>
        <v>23.0167977352483</v>
      </c>
      <c r="AO7" s="507">
        <f>AN7-AO11+AO8</f>
        <v>23.9134578484859</v>
      </c>
      <c r="AP7" s="507">
        <f>AO7-AP11+AP8</f>
        <v>24.7652849560616</v>
      </c>
      <c r="AQ7" s="507">
        <f>AP7-AQ11+AQ8</f>
        <v>25.5745207082585</v>
      </c>
      <c r="AR7" s="507">
        <f>AQ7-AR11+AR8</f>
        <v>26.4797946728456</v>
      </c>
      <c r="AS7" s="507">
        <f>AR7-AS11+AS8</f>
        <v>27.3398049392033</v>
      </c>
      <c r="AT7" s="507">
        <f>AS7-AT11+AT8</f>
        <v>28.1568146922432</v>
      </c>
      <c r="AU7" s="507">
        <f>AT7-AU11+AU8</f>
        <v>29.069473957631</v>
      </c>
      <c r="AV7" s="507">
        <f>AU7-AV11+AV8</f>
        <v>29.9365002597494</v>
      </c>
      <c r="AW7" s="507">
        <f>AV7-AW11+AW8</f>
        <v>30.760175246762</v>
      </c>
      <c r="AX7" s="507">
        <f>AW7-AX11+AX8</f>
        <v>31.6791664844239</v>
      </c>
      <c r="AY7" s="507">
        <f>AX7-AY11+AY8</f>
        <v>32.5522081602027</v>
      </c>
      <c r="AZ7" s="507">
        <f>AY7-AZ11+AZ8</f>
        <v>33.3815977521926</v>
      </c>
      <c r="BA7" s="507">
        <f>AZ7-BA11+BA8</f>
        <v>34.3060178645829</v>
      </c>
      <c r="BB7" s="507">
        <f>BA7-BB11+BB8</f>
        <v>35.1842169713538</v>
      </c>
      <c r="BC7" s="507">
        <f>BB7-BC11+BC8</f>
        <v>36.0185061227861</v>
      </c>
      <c r="BD7" s="507">
        <f>BC7-BD11+BD8</f>
        <v>36.9475808166468</v>
      </c>
      <c r="BE7" s="507">
        <f>BD7-BE11+BE8</f>
        <v>37.8302017758144</v>
      </c>
      <c r="BF7" s="507">
        <f>BE7-BF11+BF8</f>
        <v>38.6686916870237</v>
      </c>
      <c r="BG7" s="507">
        <f>BF7-BG11+BG8</f>
        <v>39.6017571026725</v>
      </c>
      <c r="BH7" s="507">
        <f>BG7-BH11+BH8</f>
        <v>40.4881692475389</v>
      </c>
      <c r="BI7" s="507">
        <f>BH7-BI11+BI8</f>
        <v>41.330260785162</v>
      </c>
      <c r="BJ7" s="507">
        <f>BI7-BJ11+BJ8</f>
        <v>42.2667477459039</v>
      </c>
      <c r="BK7" s="507">
        <f>BJ7-BK11+BK8</f>
        <v>43.1564103586087</v>
      </c>
      <c r="BL7" s="507">
        <f>BK7-BL11+BL8</f>
        <v>44.0015898406782</v>
      </c>
      <c r="BM7" s="507">
        <f>BL7-BM11+BM8</f>
        <v>44.9410103486443</v>
      </c>
      <c r="BN7" s="228">
        <f>Q7</f>
        <v>4.85591688673711</v>
      </c>
      <c r="BO7" s="181">
        <f>AC7</f>
        <v>13.96954767441</v>
      </c>
      <c r="BP7" s="181">
        <f>AO7</f>
        <v>23.9134578484859</v>
      </c>
      <c r="BQ7" s="181">
        <f>BA7</f>
        <v>34.3060178645829</v>
      </c>
      <c r="BR7" s="181">
        <f>BM7</f>
        <v>44.9410103486443</v>
      </c>
    </row>
    <row r="8">
      <c r="C8" s="76" t="inlineStr">
        <is>
          <t>新規契約コンサル案件</t>
        </is>
      </c>
      <c r="D8" s="187" t="n"/>
      <c r="E8" s="187" t="n"/>
      <c r="F8" s="507">
        <f>F12*F13</f>
        <v>0.0</v>
      </c>
      <c r="G8" s="507">
        <f>G12*G13</f>
        <v>0.0</v>
      </c>
      <c r="H8" s="507">
        <f>H12*H13</f>
        <v>0.0</v>
      </c>
      <c r="I8" s="507">
        <f>I12*I13</f>
        <v>0.0</v>
      </c>
      <c r="J8" s="507">
        <f>J12*J13</f>
        <v>0.1365</v>
      </c>
      <c r="K8" s="507">
        <f>K12*K13</f>
        <v>0.6825</v>
      </c>
      <c r="L8" s="507">
        <f>L12*L13</f>
        <v>0.6825</v>
      </c>
      <c r="M8" s="507">
        <f>M12*M13</f>
        <v>0.6825</v>
      </c>
      <c r="N8" s="507">
        <f>N12*N13</f>
        <v>0.819</v>
      </c>
      <c r="O8" s="507">
        <f>O12*O13</f>
        <v>0.819</v>
      </c>
      <c r="P8" s="507">
        <f>P12*P13</f>
        <v>0.819</v>
      </c>
      <c r="Q8" s="507">
        <f>Q12*Q13</f>
        <v>0.9555</v>
      </c>
      <c r="R8" s="507">
        <f>R12*R13</f>
        <v>0.9555</v>
      </c>
      <c r="S8" s="507">
        <f>S12*S13</f>
        <v>0.9555</v>
      </c>
      <c r="T8" s="507">
        <f>T12*T13</f>
        <v>1.092</v>
      </c>
      <c r="U8" s="507">
        <f>U12*U13</f>
        <v>1.092</v>
      </c>
      <c r="V8" s="507">
        <f>V12*V13</f>
        <v>1.092</v>
      </c>
      <c r="W8" s="507">
        <f>W12*W13</f>
        <v>1.2285</v>
      </c>
      <c r="X8" s="507">
        <f>X12*X13</f>
        <v>1.2285</v>
      </c>
      <c r="Y8" s="507">
        <f>Y12*Y13</f>
        <v>1.2285</v>
      </c>
      <c r="Z8" s="507">
        <f>Z12*Z13</f>
        <v>1.365</v>
      </c>
      <c r="AA8" s="507">
        <f>AA12*AA13</f>
        <v>1.365</v>
      </c>
      <c r="AB8" s="507">
        <f>AB12*AB13</f>
        <v>1.365</v>
      </c>
      <c r="AC8" s="507">
        <f>AC12*AC13</f>
        <v>1.5015</v>
      </c>
      <c r="AD8" s="507">
        <f>AD12*AD13</f>
        <v>1.5015</v>
      </c>
      <c r="AE8" s="507">
        <f>AE12*AE13</f>
        <v>1.5015</v>
      </c>
      <c r="AF8" s="507">
        <f>AF12*AF13</f>
        <v>1.638</v>
      </c>
      <c r="AG8" s="507">
        <f>AG12*AG13</f>
        <v>1.638</v>
      </c>
      <c r="AH8" s="507">
        <f>AH12*AH13</f>
        <v>1.638</v>
      </c>
      <c r="AI8" s="507">
        <f>AI12*AI13</f>
        <v>1.7745</v>
      </c>
      <c r="AJ8" s="507">
        <f>AJ12*AJ13</f>
        <v>1.7745</v>
      </c>
      <c r="AK8" s="507">
        <f>AK12*AK13</f>
        <v>1.7745</v>
      </c>
      <c r="AL8" s="507">
        <f>AL12*AL13</f>
        <v>1.911</v>
      </c>
      <c r="AM8" s="507">
        <f>AM12*AM13</f>
        <v>1.911</v>
      </c>
      <c r="AN8" s="507">
        <f>AN12*AN13</f>
        <v>1.911</v>
      </c>
      <c r="AO8" s="507">
        <f>AO12*AO13</f>
        <v>2.0475</v>
      </c>
      <c r="AP8" s="507">
        <f>AP12*AP13</f>
        <v>2.0475</v>
      </c>
      <c r="AQ8" s="507">
        <f>AQ12*AQ13</f>
        <v>2.0475</v>
      </c>
      <c r="AR8" s="507">
        <f>AR12*AR13</f>
        <v>2.184</v>
      </c>
      <c r="AS8" s="507">
        <f>AS12*AS13</f>
        <v>2.184</v>
      </c>
      <c r="AT8" s="507">
        <f>AT12*AT13</f>
        <v>2.184</v>
      </c>
      <c r="AU8" s="507">
        <f>AU12*AU13</f>
        <v>2.3205</v>
      </c>
      <c r="AV8" s="507">
        <f>AV12*AV13</f>
        <v>2.3205</v>
      </c>
      <c r="AW8" s="507">
        <f>AW12*AW13</f>
        <v>2.3205</v>
      </c>
      <c r="AX8" s="507">
        <f>AX12*AX13</f>
        <v>2.457</v>
      </c>
      <c r="AY8" s="507">
        <f>AY12*AY13</f>
        <v>2.457</v>
      </c>
      <c r="AZ8" s="507">
        <f>AZ12*AZ13</f>
        <v>2.457</v>
      </c>
      <c r="BA8" s="507">
        <f>BA12*BA13</f>
        <v>2.5935</v>
      </c>
      <c r="BB8" s="507">
        <f>BB12*BB13</f>
        <v>2.5935</v>
      </c>
      <c r="BC8" s="507">
        <f>BC12*BC13</f>
        <v>2.5935</v>
      </c>
      <c r="BD8" s="507">
        <f>BD12*BD13</f>
        <v>2.73</v>
      </c>
      <c r="BE8" s="507">
        <f>BE12*BE13</f>
        <v>2.73</v>
      </c>
      <c r="BF8" s="507">
        <f>BF12*BF13</f>
        <v>2.73</v>
      </c>
      <c r="BG8" s="507">
        <f>BG12*BG13</f>
        <v>2.8665</v>
      </c>
      <c r="BH8" s="507">
        <f>BH12*BH13</f>
        <v>2.8665</v>
      </c>
      <c r="BI8" s="507">
        <f>BI12*BI13</f>
        <v>2.8665</v>
      </c>
      <c r="BJ8" s="507">
        <f>BJ12*BJ13</f>
        <v>3.003</v>
      </c>
      <c r="BK8" s="507">
        <f>BK12*BK13</f>
        <v>3.003</v>
      </c>
      <c r="BL8" s="507">
        <f>BL12*BL13</f>
        <v>3.003</v>
      </c>
      <c r="BM8" s="507">
        <f>BM12*BM13</f>
        <v>3.1395</v>
      </c>
      <c r="BN8" s="228">
        <f>SUM(F8:Q8)</f>
        <v>5.5965</v>
      </c>
      <c r="BO8" s="181">
        <f>SUM(R8:AC8)</f>
        <v>14.469</v>
      </c>
      <c r="BP8" s="181">
        <f>SUM(AD8:AO8)</f>
        <v>21.021</v>
      </c>
      <c r="BQ8" s="181">
        <f>SUM(AP8:BA8)</f>
        <v>27.573</v>
      </c>
      <c r="BR8" s="181">
        <f>SUM(BB8:BM8)</f>
        <v>34.125</v>
      </c>
    </row>
    <row r="9">
      <c r="C9" s="76" t="inlineStr">
        <is>
          <t>新規契約コンサル案件(本イキ)</t>
        </is>
      </c>
      <c r="D9" s="187" t="n"/>
      <c r="E9" s="187" t="n"/>
      <c r="F9" s="507" t="n">
        <v>0</v>
      </c>
      <c r="G9" s="507" t="n">
        <v>0</v>
      </c>
      <c r="H9" s="507" t="n">
        <v>0</v>
      </c>
      <c r="I9" s="507" t="n">
        <v>0</v>
      </c>
      <c r="J9" s="507" t="n">
        <v>0</v>
      </c>
      <c r="K9" s="507" t="n">
        <v>0</v>
      </c>
      <c r="L9" s="507" t="n">
        <v>1</v>
      </c>
      <c r="M9" s="507" t="n">
        <v>2</v>
      </c>
      <c r="N9" s="507" t="n">
        <v>3</v>
      </c>
      <c r="O9" s="507" t="n">
        <v>4</v>
      </c>
      <c r="P9" s="507" t="n">
        <v>4</v>
      </c>
      <c r="Q9" s="507" t="n">
        <v>5</v>
      </c>
      <c r="R9" s="507" t="n">
        <v>5</v>
      </c>
      <c r="S9" s="507" t="n">
        <v>6</v>
      </c>
      <c r="T9" s="507" t="n">
        <v>7</v>
      </c>
      <c r="U9" s="507" t="n">
        <v>8</v>
      </c>
      <c r="V9" s="507" t="n">
        <v>8</v>
      </c>
      <c r="W9" s="507" t="n">
        <v>9</v>
      </c>
      <c r="X9" s="507" t="n">
        <v>10</v>
      </c>
      <c r="Y9" s="507" t="n">
        <v>11</v>
      </c>
      <c r="Z9" s="507" t="n">
        <v>12</v>
      </c>
      <c r="AA9" s="507" t="n">
        <v>12</v>
      </c>
      <c r="AB9" s="507" t="n">
        <v>13</v>
      </c>
      <c r="AC9" s="507" t="n">
        <v>14</v>
      </c>
      <c r="AD9" s="507" t="n">
        <v>15</v>
      </c>
      <c r="AE9" s="507" t="n">
        <v>15</v>
      </c>
      <c r="AF9" s="507" t="n">
        <v>16</v>
      </c>
      <c r="AG9" s="507" t="n">
        <v>17</v>
      </c>
      <c r="AH9" s="507" t="n">
        <v>18</v>
      </c>
      <c r="AI9" s="507" t="n">
        <v>19</v>
      </c>
      <c r="AJ9" s="507" t="n">
        <v>20</v>
      </c>
      <c r="AK9" s="507" t="n">
        <v>20</v>
      </c>
      <c r="AL9" s="507" t="n">
        <v>21</v>
      </c>
      <c r="AM9" s="507" t="n">
        <v>22</v>
      </c>
      <c r="AN9" s="507" t="n">
        <v>23</v>
      </c>
      <c r="AO9" s="507" t="n">
        <v>24</v>
      </c>
      <c r="AP9" s="507" t="n">
        <v>24</v>
      </c>
      <c r="AQ9" s="507" t="n">
        <v>25</v>
      </c>
      <c r="AR9" s="507" t="n">
        <v>26</v>
      </c>
      <c r="AS9" s="507" t="n">
        <v>27</v>
      </c>
      <c r="AT9" s="507" t="n">
        <v>28</v>
      </c>
      <c r="AU9" s="507" t="n">
        <v>29</v>
      </c>
      <c r="AV9" s="507" t="n">
        <v>30</v>
      </c>
      <c r="AW9" s="507" t="n">
        <v>30</v>
      </c>
      <c r="AX9" s="507" t="n">
        <v>31</v>
      </c>
      <c r="AY9" s="507" t="n">
        <v>32</v>
      </c>
      <c r="AZ9" s="507" t="n">
        <v>33</v>
      </c>
      <c r="BA9" s="507" t="n">
        <v>34</v>
      </c>
      <c r="BB9" s="507" t="n">
        <v>35</v>
      </c>
      <c r="BC9" s="507" t="n">
        <v>36</v>
      </c>
      <c r="BD9" s="507" t="n">
        <v>37</v>
      </c>
      <c r="BE9" s="507" t="n">
        <v>38</v>
      </c>
      <c r="BF9" s="507" t="n">
        <v>38</v>
      </c>
      <c r="BG9" s="507" t="n">
        <v>39</v>
      </c>
      <c r="BH9" s="507" t="n">
        <v>40</v>
      </c>
      <c r="BI9" s="507" t="n">
        <v>41</v>
      </c>
      <c r="BJ9" s="507" t="n">
        <v>42</v>
      </c>
      <c r="BK9" s="507" t="n">
        <v>43</v>
      </c>
      <c r="BL9" s="507" t="n">
        <v>44</v>
      </c>
      <c r="BM9" s="507" t="n">
        <v>45</v>
      </c>
      <c r="BN9" s="228" t="n"/>
      <c r="BO9" s="181" t="n"/>
      <c r="BP9" s="181" t="n"/>
      <c r="BQ9" s="181" t="n"/>
      <c r="BR9" s="181" t="n"/>
    </row>
    <row r="10">
      <c r="C10" s="76" t="inlineStr">
        <is>
          <t>解約率</t>
        </is>
      </c>
      <c r="D10" s="187" t="inlineStr">
        <is>
          <t>株式会社承知いたしました一年後解約率</t>
        </is>
      </c>
      <c r="E10" s="187" t="n"/>
      <c r="F10" s="188" t="n">
        <v>0.05</v>
      </c>
      <c r="G10" s="188" t="n">
        <v>0.05</v>
      </c>
      <c r="H10" s="188" t="n">
        <v>0.05</v>
      </c>
      <c r="I10" s="188" t="n">
        <v>0.05</v>
      </c>
      <c r="J10" s="188" t="n">
        <v>0.05</v>
      </c>
      <c r="K10" s="188" t="n">
        <v>0.05</v>
      </c>
      <c r="L10" s="188" t="n">
        <v>0.05</v>
      </c>
      <c r="M10" s="188" t="n">
        <v>0.05</v>
      </c>
      <c r="N10" s="188" t="n">
        <v>0.05</v>
      </c>
      <c r="O10" s="188" t="n">
        <v>0.05</v>
      </c>
      <c r="P10" s="188" t="n">
        <v>0.05</v>
      </c>
      <c r="Q10" s="188" t="n">
        <v>0.05</v>
      </c>
      <c r="R10" s="188" t="n">
        <v>0.05</v>
      </c>
      <c r="S10" s="188" t="n">
        <v>0.05</v>
      </c>
      <c r="T10" s="188" t="n">
        <v>0.05</v>
      </c>
      <c r="U10" s="188" t="n">
        <v>0.05</v>
      </c>
      <c r="V10" s="188" t="n">
        <v>0.05</v>
      </c>
      <c r="W10" s="188" t="n">
        <v>0.05</v>
      </c>
      <c r="X10" s="188" t="n">
        <v>0.05</v>
      </c>
      <c r="Y10" s="188" t="n">
        <v>0.05</v>
      </c>
      <c r="Z10" s="188" t="n">
        <v>0.05</v>
      </c>
      <c r="AA10" s="188" t="n">
        <v>0.05</v>
      </c>
      <c r="AB10" s="188" t="n">
        <v>0.05</v>
      </c>
      <c r="AC10" s="188" t="n">
        <v>0.05</v>
      </c>
      <c r="AD10" s="188" t="n">
        <v>0.05</v>
      </c>
      <c r="AE10" s="188" t="n">
        <v>0.05</v>
      </c>
      <c r="AF10" s="188" t="n">
        <v>0.05</v>
      </c>
      <c r="AG10" s="188" t="n">
        <v>0.05</v>
      </c>
      <c r="AH10" s="188" t="n">
        <v>0.05</v>
      </c>
      <c r="AI10" s="188" t="n">
        <v>0.05</v>
      </c>
      <c r="AJ10" s="188" t="n">
        <v>0.05</v>
      </c>
      <c r="AK10" s="188" t="n">
        <v>0.05</v>
      </c>
      <c r="AL10" s="188" t="n">
        <v>0.05</v>
      </c>
      <c r="AM10" s="188" t="n">
        <v>0.05</v>
      </c>
      <c r="AN10" s="188" t="n">
        <v>0.05</v>
      </c>
      <c r="AO10" s="188" t="n">
        <v>0.05</v>
      </c>
      <c r="AP10" s="188" t="n">
        <v>0.05</v>
      </c>
      <c r="AQ10" s="188" t="n">
        <v>0.05</v>
      </c>
      <c r="AR10" s="188" t="n">
        <v>0.05</v>
      </c>
      <c r="AS10" s="188" t="n">
        <v>0.05</v>
      </c>
      <c r="AT10" s="188" t="n">
        <v>0.05</v>
      </c>
      <c r="AU10" s="188" t="n">
        <v>0.05</v>
      </c>
      <c r="AV10" s="188" t="n">
        <v>0.05</v>
      </c>
      <c r="AW10" s="188" t="n">
        <v>0.05</v>
      </c>
      <c r="AX10" s="188" t="n">
        <v>0.05</v>
      </c>
      <c r="AY10" s="188" t="n">
        <v>0.05</v>
      </c>
      <c r="AZ10" s="188" t="n">
        <v>0.05</v>
      </c>
      <c r="BA10" s="188" t="n">
        <v>0.05</v>
      </c>
      <c r="BB10" s="188" t="n">
        <v>0.05</v>
      </c>
      <c r="BC10" s="188" t="n">
        <v>0.05</v>
      </c>
      <c r="BD10" s="188" t="n">
        <v>0.05</v>
      </c>
      <c r="BE10" s="188" t="n">
        <v>0.05</v>
      </c>
      <c r="BF10" s="188" t="n">
        <v>0.05</v>
      </c>
      <c r="BG10" s="188" t="n">
        <v>0.05</v>
      </c>
      <c r="BH10" s="188" t="n">
        <v>0.05</v>
      </c>
      <c r="BI10" s="188" t="n">
        <v>0.05</v>
      </c>
      <c r="BJ10" s="188" t="n">
        <v>0.05</v>
      </c>
      <c r="BK10" s="188" t="n">
        <v>0.05</v>
      </c>
      <c r="BL10" s="188" t="n">
        <v>0.05</v>
      </c>
      <c r="BM10" s="188" t="n">
        <v>0.05</v>
      </c>
      <c r="BN10" s="229">
        <f>BN11/(BN7+BN8)</f>
        <v>0.070852810530606</v>
      </c>
      <c r="BO10" s="188">
        <f>BO11/(BO7+BO8)</f>
        <v>0.188313737875792</v>
      </c>
      <c r="BP10" s="188">
        <f>BP11/(BP7+BP8)</f>
        <v>0.246516601207806</v>
      </c>
      <c r="BQ10" s="188">
        <f>BQ11/(BQ7+BQ8)</f>
        <v>0.277645647535986</v>
      </c>
      <c r="BR10" s="188">
        <f>BR11/(BR7+BR8)</f>
        <v>0.297093623572994</v>
      </c>
    </row>
    <row r="11">
      <c r="C11" s="76" t="inlineStr">
        <is>
          <t>解約数</t>
        </is>
      </c>
      <c r="D11" s="187" t="n"/>
      <c r="E11" s="187" t="n"/>
      <c r="F11" s="181">
        <f>E7*(F10)</f>
        <v>0.0</v>
      </c>
      <c r="G11" s="181">
        <f>F7*(G10)</f>
        <v>0.0</v>
      </c>
      <c r="H11" s="181">
        <f>G7*(H10)</f>
        <v>0.0</v>
      </c>
      <c r="I11" s="181">
        <f>H7*(I10)</f>
        <v>0.0</v>
      </c>
      <c r="J11" s="181">
        <f>I7*(J10)</f>
        <v>0.0</v>
      </c>
      <c r="K11" s="181">
        <f>J7*(K10)</f>
        <v>0.006825</v>
      </c>
      <c r="L11" s="181">
        <f>K7*(L10)</f>
        <v>0.04060875</v>
      </c>
      <c r="M11" s="181">
        <f>L7*(M10)</f>
        <v>0.0727033125</v>
      </c>
      <c r="N11" s="181">
        <f>M7*(N10)</f>
        <v>0.103193146875</v>
      </c>
      <c r="O11" s="181">
        <f>N7*(O10)</f>
        <v>0.13898348953125</v>
      </c>
      <c r="P11" s="181">
        <f>O7*(P10)</f>
        <v>0.172984315054688</v>
      </c>
      <c r="Q11" s="181">
        <f>P7*(Q10)</f>
        <v>0.205285099301953</v>
      </c>
      <c r="R11" s="181">
        <f>Q7*(R10)</f>
        <v>0.242795844336855</v>
      </c>
      <c r="S11" s="181">
        <f>R7*(S10)</f>
        <v>0.278431052120013</v>
      </c>
      <c r="T11" s="181">
        <f>S7*(T10)</f>
        <v>0.312284499514012</v>
      </c>
      <c r="U11" s="181">
        <f>T7*(U10)</f>
        <v>0.351270274538311</v>
      </c>
      <c r="V11" s="181">
        <f>U7*(V10)</f>
        <v>0.388306760811396</v>
      </c>
      <c r="W11" s="181">
        <f>V7*(W10)</f>
        <v>0.423491422770826</v>
      </c>
      <c r="X11" s="181">
        <f>W7*(X10)</f>
        <v>0.463741851632285</v>
      </c>
      <c r="Y11" s="181">
        <f>X7*(Y10)</f>
        <v>0.501979759050671</v>
      </c>
      <c r="Z11" s="181">
        <f>Y7*(Z10)</f>
        <v>0.538305771098137</v>
      </c>
      <c r="AA11" s="181">
        <f>Z7*(AA10)</f>
        <v>0.57964048254323</v>
      </c>
      <c r="AB11" s="181">
        <f>AA7*(AB10)</f>
        <v>0.618908458416069</v>
      </c>
      <c r="AC11" s="181">
        <f>AB7*(AC10)</f>
        <v>0.656213035495265</v>
      </c>
      <c r="AD11" s="181">
        <f>AC7*(AD10)</f>
        <v>0.698477383720502</v>
      </c>
      <c r="AE11" s="181">
        <f>AD7*(AE10)</f>
        <v>0.738628514534477</v>
      </c>
      <c r="AF11" s="181">
        <f>AE7*(AF10)</f>
        <v>0.776772088807753</v>
      </c>
      <c r="AG11" s="181">
        <f>AF7*(AG10)</f>
        <v>0.819833484367366</v>
      </c>
      <c r="AH11" s="181">
        <f>AG7*(AH10)</f>
        <v>0.860741810148997</v>
      </c>
      <c r="AI11" s="181">
        <f>AH7*(AI10)</f>
        <v>0.899604719641548</v>
      </c>
      <c r="AJ11" s="181">
        <f>AI7*(AJ10)</f>
        <v>0.94334948365947</v>
      </c>
      <c r="AK11" s="181">
        <f>AJ7*(AK10)</f>
        <v>0.984907009476497</v>
      </c>
      <c r="AL11" s="181">
        <f>AK7*(AL10)</f>
        <v>1.02438665900267</v>
      </c>
      <c r="AM11" s="181">
        <f>AL7*(AM10)</f>
        <v>1.06871732605254</v>
      </c>
      <c r="AN11" s="181">
        <f>AM7*(AN10)</f>
        <v>1.11083145974991</v>
      </c>
      <c r="AO11" s="181">
        <f>AN7*(AO10)</f>
        <v>1.15083988676242</v>
      </c>
      <c r="AP11" s="181">
        <f>AO7*(AP10)</f>
        <v>1.1956728924243</v>
      </c>
      <c r="AQ11" s="181">
        <f>AP7*(AQ10)</f>
        <v>1.23826424780308</v>
      </c>
      <c r="AR11" s="181">
        <f>AQ7*(AR10)</f>
        <v>1.27872603541293</v>
      </c>
      <c r="AS11" s="181">
        <f>AR7*(AS10)</f>
        <v>1.32398973364228</v>
      </c>
      <c r="AT11" s="181">
        <f>AS7*(AT10)</f>
        <v>1.36699024696017</v>
      </c>
      <c r="AU11" s="181">
        <f>AT7*(AU10)</f>
        <v>1.40784073461216</v>
      </c>
      <c r="AV11" s="181">
        <f>AU7*(AV10)</f>
        <v>1.45347369788155</v>
      </c>
      <c r="AW11" s="181">
        <f>AV7*(AW10)</f>
        <v>1.49682501298747</v>
      </c>
      <c r="AX11" s="181">
        <f>AW7*(AX10)</f>
        <v>1.5380087623381</v>
      </c>
      <c r="AY11" s="181">
        <f>AX7*(AY10)</f>
        <v>1.58395832422119</v>
      </c>
      <c r="AZ11" s="181">
        <f>AY7*(AZ10)</f>
        <v>1.62761040801013</v>
      </c>
      <c r="BA11" s="181">
        <f>AZ7*(BA10)</f>
        <v>1.66907988760963</v>
      </c>
      <c r="BB11" s="181">
        <f>BA7*(BB10)</f>
        <v>1.71530089322915</v>
      </c>
      <c r="BC11" s="181">
        <f>BB7*(BC10)</f>
        <v>1.75921084856769</v>
      </c>
      <c r="BD11" s="181">
        <f>BC7*(BD10)</f>
        <v>1.8009253061393</v>
      </c>
      <c r="BE11" s="181">
        <f>BD7*(BE10)</f>
        <v>1.84737904083234</v>
      </c>
      <c r="BF11" s="181">
        <f>BE7*(BF10)</f>
        <v>1.89151008879072</v>
      </c>
      <c r="BG11" s="181">
        <f>BF7*(BG10)</f>
        <v>1.93343458435119</v>
      </c>
      <c r="BH11" s="181">
        <f>BG7*(BH10)</f>
        <v>1.98008785513363</v>
      </c>
      <c r="BI11" s="181">
        <f>BH7*(BI10)</f>
        <v>2.02440846237695</v>
      </c>
      <c r="BJ11" s="181">
        <f>BI7*(BJ10)</f>
        <v>2.0665130392581</v>
      </c>
      <c r="BK11" s="181">
        <f>BJ7*(BK10)</f>
        <v>2.11333738729519</v>
      </c>
      <c r="BL11" s="181">
        <f>BK7*(BL10)</f>
        <v>2.15782051793043</v>
      </c>
      <c r="BM11" s="181">
        <f>BL7*(BM10)</f>
        <v>2.20007949203391</v>
      </c>
      <c r="BN11" s="228">
        <f>SUM(F11:Q11)</f>
        <v>0.740583113262891</v>
      </c>
      <c r="BO11" s="181">
        <f>SUM(R11:AC11)</f>
        <v>5.35536921232707</v>
      </c>
      <c r="BP11" s="181">
        <f>SUM(AD11:AO11)</f>
        <v>11.0770898259241</v>
      </c>
      <c r="BQ11" s="181">
        <f>SUM(AP11:BA11)</f>
        <v>17.180439983903</v>
      </c>
      <c r="BR11" s="181">
        <f>SUM(BB11:BM11)</f>
        <v>23.4900075159386</v>
      </c>
    </row>
    <row r="12">
      <c r="C12" s="76" t="inlineStr">
        <is>
          <t>受注率</t>
        </is>
      </c>
      <c r="D12" s="187" t="inlineStr">
        <is>
          <t>株式会社承知いたしました受注率２０％</t>
        </is>
      </c>
      <c r="E12" s="187" t="n"/>
      <c r="F12" s="190" t="n">
        <v>0.05</v>
      </c>
      <c r="G12" s="190" t="n">
        <v>0.05</v>
      </c>
      <c r="H12" s="190" t="n">
        <v>0.05</v>
      </c>
      <c r="I12" s="190" t="n">
        <v>0.05</v>
      </c>
      <c r="J12" s="190" t="n">
        <v>0.05</v>
      </c>
      <c r="K12" s="190" t="n">
        <v>0.05</v>
      </c>
      <c r="L12" s="190" t="n">
        <v>0.05</v>
      </c>
      <c r="M12" s="190" t="n">
        <v>0.05</v>
      </c>
      <c r="N12" s="190" t="n">
        <v>0.05</v>
      </c>
      <c r="O12" s="190" t="n">
        <v>0.05</v>
      </c>
      <c r="P12" s="190" t="n">
        <v>0.05</v>
      </c>
      <c r="Q12" s="190" t="n">
        <v>0.05</v>
      </c>
      <c r="R12" s="190" t="n">
        <v>0.05</v>
      </c>
      <c r="S12" s="190" t="n">
        <v>0.05</v>
      </c>
      <c r="T12" s="190" t="n">
        <v>0.05</v>
      </c>
      <c r="U12" s="190" t="n">
        <v>0.05</v>
      </c>
      <c r="V12" s="190" t="n">
        <v>0.05</v>
      </c>
      <c r="W12" s="190" t="n">
        <v>0.05</v>
      </c>
      <c r="X12" s="190" t="n">
        <v>0.05</v>
      </c>
      <c r="Y12" s="190" t="n">
        <v>0.05</v>
      </c>
      <c r="Z12" s="190" t="n">
        <v>0.05</v>
      </c>
      <c r="AA12" s="190" t="n">
        <v>0.05</v>
      </c>
      <c r="AB12" s="190" t="n">
        <v>0.05</v>
      </c>
      <c r="AC12" s="190" t="n">
        <v>0.05</v>
      </c>
      <c r="AD12" s="190" t="n">
        <v>0.05</v>
      </c>
      <c r="AE12" s="190" t="n">
        <v>0.05</v>
      </c>
      <c r="AF12" s="190" t="n">
        <v>0.05</v>
      </c>
      <c r="AG12" s="190" t="n">
        <v>0.05</v>
      </c>
      <c r="AH12" s="190" t="n">
        <v>0.05</v>
      </c>
      <c r="AI12" s="190" t="n">
        <v>0.05</v>
      </c>
      <c r="AJ12" s="190" t="n">
        <v>0.05</v>
      </c>
      <c r="AK12" s="190" t="n">
        <v>0.05</v>
      </c>
      <c r="AL12" s="190" t="n">
        <v>0.05</v>
      </c>
      <c r="AM12" s="190" t="n">
        <v>0.05</v>
      </c>
      <c r="AN12" s="190" t="n">
        <v>0.05</v>
      </c>
      <c r="AO12" s="190" t="n">
        <v>0.05</v>
      </c>
      <c r="AP12" s="190" t="n">
        <v>0.05</v>
      </c>
      <c r="AQ12" s="190" t="n">
        <v>0.05</v>
      </c>
      <c r="AR12" s="190" t="n">
        <v>0.05</v>
      </c>
      <c r="AS12" s="190" t="n">
        <v>0.05</v>
      </c>
      <c r="AT12" s="190" t="n">
        <v>0.05</v>
      </c>
      <c r="AU12" s="190" t="n">
        <v>0.05</v>
      </c>
      <c r="AV12" s="190" t="n">
        <v>0.05</v>
      </c>
      <c r="AW12" s="190" t="n">
        <v>0.05</v>
      </c>
      <c r="AX12" s="190" t="n">
        <v>0.05</v>
      </c>
      <c r="AY12" s="190" t="n">
        <v>0.05</v>
      </c>
      <c r="AZ12" s="190" t="n">
        <v>0.05</v>
      </c>
      <c r="BA12" s="190" t="n">
        <v>0.05</v>
      </c>
      <c r="BB12" s="190" t="n">
        <v>0.05</v>
      </c>
      <c r="BC12" s="190" t="n">
        <v>0.05</v>
      </c>
      <c r="BD12" s="190" t="n">
        <v>0.05</v>
      </c>
      <c r="BE12" s="190" t="n">
        <v>0.05</v>
      </c>
      <c r="BF12" s="190" t="n">
        <v>0.05</v>
      </c>
      <c r="BG12" s="190" t="n">
        <v>0.05</v>
      </c>
      <c r="BH12" s="190" t="n">
        <v>0.05</v>
      </c>
      <c r="BI12" s="190" t="n">
        <v>0.05</v>
      </c>
      <c r="BJ12" s="190" t="n">
        <v>0.05</v>
      </c>
      <c r="BK12" s="190" t="n">
        <v>0.05</v>
      </c>
      <c r="BL12" s="190" t="n">
        <v>0.05</v>
      </c>
      <c r="BM12" s="190" t="n">
        <v>0.05</v>
      </c>
      <c r="BN12" s="230" t="n">
        <v>0.05</v>
      </c>
      <c r="BO12" s="190" t="n">
        <v>0.05</v>
      </c>
      <c r="BP12" s="190" t="n">
        <v>0.05</v>
      </c>
      <c r="BQ12" s="190" t="n">
        <v>0.05</v>
      </c>
      <c r="BR12" s="190" t="n">
        <v>0.05</v>
      </c>
    </row>
    <row r="13">
      <c r="C13" s="76" t="inlineStr">
        <is>
          <t>リード数</t>
        </is>
      </c>
      <c r="D13" s="187" t="n"/>
      <c r="E13" s="187" t="n"/>
      <c r="F13" s="507" t="n">
        <v>0</v>
      </c>
      <c r="G13" s="507" t="n">
        <v>0</v>
      </c>
      <c r="H13" s="507" t="n">
        <v>0</v>
      </c>
      <c r="I13" s="507" t="n">
        <v>0</v>
      </c>
      <c r="J13" s="507" t="n">
        <v>2.73</v>
      </c>
      <c r="K13" s="507" t="n">
        <v>13.65</v>
      </c>
      <c r="L13" s="507" t="n">
        <v>13.65</v>
      </c>
      <c r="M13" s="507" t="n">
        <v>13.65</v>
      </c>
      <c r="N13" s="507" t="n">
        <v>16.38</v>
      </c>
      <c r="O13" s="507" t="n">
        <v>16.38</v>
      </c>
      <c r="P13" s="507" t="n">
        <v>16.38</v>
      </c>
      <c r="Q13" s="507" t="n">
        <v>19.11</v>
      </c>
      <c r="R13" s="507" t="n">
        <v>19.11</v>
      </c>
      <c r="S13" s="507" t="n">
        <v>19.11</v>
      </c>
      <c r="T13" s="507" t="n">
        <v>21.84</v>
      </c>
      <c r="U13" s="507" t="n">
        <v>21.84</v>
      </c>
      <c r="V13" s="507" t="n">
        <v>21.84</v>
      </c>
      <c r="W13" s="507" t="n">
        <v>24.57</v>
      </c>
      <c r="X13" s="507" t="n">
        <v>24.57</v>
      </c>
      <c r="Y13" s="507" t="n">
        <v>24.57</v>
      </c>
      <c r="Z13" s="507" t="n">
        <v>27.3</v>
      </c>
      <c r="AA13" s="507" t="n">
        <v>27.3</v>
      </c>
      <c r="AB13" s="507" t="n">
        <v>27.3</v>
      </c>
      <c r="AC13" s="507" t="n">
        <v>30.03</v>
      </c>
      <c r="AD13" s="507" t="n">
        <v>30.03</v>
      </c>
      <c r="AE13" s="507" t="n">
        <v>30.03</v>
      </c>
      <c r="AF13" s="507" t="n">
        <v>32.76000000000001</v>
      </c>
      <c r="AG13" s="507" t="n">
        <v>32.76000000000001</v>
      </c>
      <c r="AH13" s="507" t="n">
        <v>32.76000000000001</v>
      </c>
      <c r="AI13" s="507" t="n">
        <v>35.49</v>
      </c>
      <c r="AJ13" s="507" t="n">
        <v>35.49</v>
      </c>
      <c r="AK13" s="507" t="n">
        <v>35.49</v>
      </c>
      <c r="AL13" s="507" t="n">
        <v>38.22</v>
      </c>
      <c r="AM13" s="507" t="n">
        <v>38.22</v>
      </c>
      <c r="AN13" s="507" t="n">
        <v>38.22</v>
      </c>
      <c r="AO13" s="507" t="n">
        <v>40.95</v>
      </c>
      <c r="AP13" s="507" t="n">
        <v>40.95</v>
      </c>
      <c r="AQ13" s="507" t="n">
        <v>40.95</v>
      </c>
      <c r="AR13" s="507" t="n">
        <v>43.68000000000001</v>
      </c>
      <c r="AS13" s="507" t="n">
        <v>43.68000000000001</v>
      </c>
      <c r="AT13" s="507" t="n">
        <v>43.68000000000001</v>
      </c>
      <c r="AU13" s="507" t="n">
        <v>46.41</v>
      </c>
      <c r="AV13" s="507" t="n">
        <v>46.41</v>
      </c>
      <c r="AW13" s="507" t="n">
        <v>46.41</v>
      </c>
      <c r="AX13" s="507" t="n">
        <v>49.14000000000001</v>
      </c>
      <c r="AY13" s="507" t="n">
        <v>49.14000000000001</v>
      </c>
      <c r="AZ13" s="507" t="n">
        <v>49.14000000000001</v>
      </c>
      <c r="BA13" s="507" t="n">
        <v>51.87</v>
      </c>
      <c r="BB13" s="507" t="n">
        <v>51.87</v>
      </c>
      <c r="BC13" s="507" t="n">
        <v>51.87</v>
      </c>
      <c r="BD13" s="507" t="n">
        <v>54.6</v>
      </c>
      <c r="BE13" s="507" t="n">
        <v>54.6</v>
      </c>
      <c r="BF13" s="507" t="n">
        <v>54.6</v>
      </c>
      <c r="BG13" s="507" t="n">
        <v>57.33000000000001</v>
      </c>
      <c r="BH13" s="507" t="n">
        <v>57.33000000000001</v>
      </c>
      <c r="BI13" s="507" t="n">
        <v>57.33000000000001</v>
      </c>
      <c r="BJ13" s="507" t="n">
        <v>60.06</v>
      </c>
      <c r="BK13" s="507" t="n">
        <v>60.06</v>
      </c>
      <c r="BL13" s="507" t="n">
        <v>60.06</v>
      </c>
      <c r="BM13" s="507" t="n">
        <v>62.79</v>
      </c>
      <c r="BN13" s="228" t="n">
        <v>111.93</v>
      </c>
      <c r="BO13" s="181" t="n">
        <v>289.38</v>
      </c>
      <c r="BP13" s="181" t="n">
        <v>420.4200000000001</v>
      </c>
      <c r="BQ13" s="181" t="n">
        <v>551.46</v>
      </c>
      <c r="BR13" s="181" t="n">
        <v>682.5</v>
      </c>
    </row>
    <row r="14">
      <c r="C14" s="76" t="inlineStr">
        <is>
          <t>リード化率</t>
        </is>
      </c>
      <c r="D14" s="187" t="n"/>
      <c r="E14" s="187" t="n"/>
      <c r="F14" s="190" t="n">
        <v>0.2</v>
      </c>
      <c r="G14" s="190" t="n">
        <v>0.2</v>
      </c>
      <c r="H14" s="190" t="n">
        <v>0.2</v>
      </c>
      <c r="I14" s="190" t="n">
        <v>0.2</v>
      </c>
      <c r="J14" s="190" t="n">
        <v>0.2</v>
      </c>
      <c r="K14" s="190" t="n">
        <v>0.2</v>
      </c>
      <c r="L14" s="190" t="n">
        <v>0.2</v>
      </c>
      <c r="M14" s="190" t="n">
        <v>0.2</v>
      </c>
      <c r="N14" s="190" t="n">
        <v>0.2</v>
      </c>
      <c r="O14" s="190" t="n">
        <v>0.2</v>
      </c>
      <c r="P14" s="190" t="n">
        <v>0.2</v>
      </c>
      <c r="Q14" s="190" t="n">
        <v>0.2</v>
      </c>
      <c r="R14" s="190" t="n">
        <v>0.2</v>
      </c>
      <c r="S14" s="190" t="n">
        <v>0.2</v>
      </c>
      <c r="T14" s="190" t="n">
        <v>0.2</v>
      </c>
      <c r="U14" s="190" t="n">
        <v>0.2</v>
      </c>
      <c r="V14" s="190" t="n">
        <v>0.2</v>
      </c>
      <c r="W14" s="190" t="n">
        <v>0.2</v>
      </c>
      <c r="X14" s="190" t="n">
        <v>0.2</v>
      </c>
      <c r="Y14" s="190" t="n">
        <v>0.2</v>
      </c>
      <c r="Z14" s="190" t="n">
        <v>0.2</v>
      </c>
      <c r="AA14" s="190" t="n">
        <v>0.2</v>
      </c>
      <c r="AB14" s="190" t="n">
        <v>0.2</v>
      </c>
      <c r="AC14" s="190" t="n">
        <v>0.2</v>
      </c>
      <c r="AD14" s="190" t="n">
        <v>0.2</v>
      </c>
      <c r="AE14" s="190" t="n">
        <v>0.2</v>
      </c>
      <c r="AF14" s="190" t="n">
        <v>0.2</v>
      </c>
      <c r="AG14" s="190" t="n">
        <v>0.2</v>
      </c>
      <c r="AH14" s="190" t="n">
        <v>0.2</v>
      </c>
      <c r="AI14" s="190" t="n">
        <v>0.2</v>
      </c>
      <c r="AJ14" s="190" t="n">
        <v>0.2</v>
      </c>
      <c r="AK14" s="190" t="n">
        <v>0.2</v>
      </c>
      <c r="AL14" s="190" t="n">
        <v>0.2</v>
      </c>
      <c r="AM14" s="190" t="n">
        <v>0.2</v>
      </c>
      <c r="AN14" s="190" t="n">
        <v>0.2</v>
      </c>
      <c r="AO14" s="190" t="n">
        <v>0.2</v>
      </c>
      <c r="AP14" s="190" t="n">
        <v>0.2</v>
      </c>
      <c r="AQ14" s="190" t="n">
        <v>0.2</v>
      </c>
      <c r="AR14" s="190" t="n">
        <v>0.2</v>
      </c>
      <c r="AS14" s="190" t="n">
        <v>0.2</v>
      </c>
      <c r="AT14" s="190" t="n">
        <v>0.2</v>
      </c>
      <c r="AU14" s="190" t="n">
        <v>0.2</v>
      </c>
      <c r="AV14" s="190" t="n">
        <v>0.2</v>
      </c>
      <c r="AW14" s="190" t="n">
        <v>0.2</v>
      </c>
      <c r="AX14" s="190" t="n">
        <v>0.2</v>
      </c>
      <c r="AY14" s="190" t="n">
        <v>0.2</v>
      </c>
      <c r="AZ14" s="190" t="n">
        <v>0.2</v>
      </c>
      <c r="BA14" s="190" t="n">
        <v>0.2</v>
      </c>
      <c r="BB14" s="190" t="n">
        <v>0.2</v>
      </c>
      <c r="BC14" s="190" t="n">
        <v>0.2</v>
      </c>
      <c r="BD14" s="190" t="n">
        <v>0.2</v>
      </c>
      <c r="BE14" s="190" t="n">
        <v>0.2</v>
      </c>
      <c r="BF14" s="190" t="n">
        <v>0.2</v>
      </c>
      <c r="BG14" s="190" t="n">
        <v>0.2</v>
      </c>
      <c r="BH14" s="190" t="n">
        <v>0.2</v>
      </c>
      <c r="BI14" s="190" t="n">
        <v>0.2</v>
      </c>
      <c r="BJ14" s="190" t="n">
        <v>0.2</v>
      </c>
      <c r="BK14" s="190" t="n">
        <v>0.2</v>
      </c>
      <c r="BL14" s="190" t="n">
        <v>0.2</v>
      </c>
      <c r="BM14" s="190" t="n">
        <v>0.2</v>
      </c>
      <c r="BN14" s="230" t="n">
        <v>0.2</v>
      </c>
      <c r="BO14" s="190" t="n">
        <v>0.2</v>
      </c>
      <c r="BP14" s="190" t="n">
        <v>0.2</v>
      </c>
      <c r="BQ14" s="190" t="n">
        <v>0.2</v>
      </c>
      <c r="BR14" s="190" t="n">
        <v>0.2</v>
      </c>
    </row>
    <row r="15">
      <c r="C15" s="76" t="inlineStr">
        <is>
          <t>ポテンシャルリード</t>
        </is>
      </c>
      <c r="D15" s="187" t="n"/>
      <c r="E15" s="187" t="n"/>
      <c r="F15" s="181">
        <f t="array" ref="F15">IFERROR(F17*OFFSET(F27,,F5*-1,,)*F16,0)</f>
        <v>0.0</v>
      </c>
      <c r="G15" s="181">
        <f t="array" ref="G15">IFERROR(G17*OFFSET(G27,,G5*-1,,)*G16,0)</f>
        <v>0.0</v>
      </c>
      <c r="H15" s="181">
        <f t="array" ref="H15">IFERROR(H17*OFFSET(H27,,H5*-1,,)*H16,0)</f>
        <v>0.0</v>
      </c>
      <c r="I15" s="181">
        <f t="array" ref="I15">IFERROR(I17*OFFSET(I27,,I5*-1,,)*I16,0)</f>
        <v>0.0</v>
      </c>
      <c r="J15" s="181">
        <f t="array" ref="J15">IFERROR(J17*OFFSET(J27,,J5*-1,,)*J16,0)</f>
        <v>13.65</v>
      </c>
      <c r="K15" s="181">
        <f t="array" ref="K15">IFERROR(K17*OFFSET(K27,,K5*-1,,)*K16,0)</f>
        <v>68.25</v>
      </c>
      <c r="L15" s="181">
        <f t="array" ref="L15">IFERROR(L17*OFFSET(L27,,L5*-1,,)*L16,0)</f>
        <v>68.25</v>
      </c>
      <c r="M15" s="181">
        <f t="array" ref="M15">IFERROR(M17*OFFSET(M27,,M5*-1,,)*M16,0)</f>
        <v>68.25</v>
      </c>
      <c r="N15" s="181">
        <f t="array" ref="N15">IFERROR(N17*OFFSET(N27,,N5*-1,,)*N16,0)</f>
        <v>81.9</v>
      </c>
      <c r="O15" s="181">
        <f t="array" ref="O15">IFERROR(O17*OFFSET(O27,,O5*-1,,)*O16,0)</f>
        <v>81.9</v>
      </c>
      <c r="P15" s="181">
        <f t="array" ref="P15">IFERROR(P17*OFFSET(P27,,P5*-1,,)*P16,0)</f>
        <v>81.9</v>
      </c>
      <c r="Q15" s="181">
        <f t="array" ref="Q15">IFERROR(Q17*OFFSET(Q27,,Q5*-1,,)*Q16,0)</f>
        <v>95.55</v>
      </c>
      <c r="R15" s="181">
        <f t="array" ref="R15">IFERROR(R17*OFFSET(R27,,R5*-1,,)*R16,0)</f>
        <v>95.55</v>
      </c>
      <c r="S15" s="181">
        <f t="array" ref="S15">IFERROR(S17*OFFSET(S27,,S5*-1,,)*S16,0)</f>
        <v>95.55</v>
      </c>
      <c r="T15" s="181">
        <f t="array" ref="T15">IFERROR(T17*OFFSET(T27,,T5*-1,,)*T16,0)</f>
        <v>109.2</v>
      </c>
      <c r="U15" s="181">
        <f t="array" ref="U15">IFERROR(U17*OFFSET(U27,,U5*-1,,)*U16,0)</f>
        <v>109.2</v>
      </c>
      <c r="V15" s="181">
        <f t="array" ref="V15">IFERROR(V17*OFFSET(V27,,V5*-1,,)*V16,0)</f>
        <v>109.2</v>
      </c>
      <c r="W15" s="181">
        <f t="array" ref="W15">IFERROR(W17*OFFSET(W27,,W5*-1,,)*W16,0)</f>
        <v>122.85</v>
      </c>
      <c r="X15" s="181">
        <f t="array" ref="X15">IFERROR(X17*OFFSET(X27,,X5*-1,,)*X16,0)</f>
        <v>122.85</v>
      </c>
      <c r="Y15" s="181">
        <f t="array" ref="Y15">IFERROR(Y17*OFFSET(Y27,,Y5*-1,,)*Y16,0)</f>
        <v>122.85</v>
      </c>
      <c r="Z15" s="181">
        <f t="array" ref="Z15">IFERROR(Z17*OFFSET(Z27,,Z5*-1,,)*Z16,0)</f>
        <v>136.5</v>
      </c>
      <c r="AA15" s="181">
        <f t="array" ref="AA15">IFERROR(AA17*OFFSET(AA27,,AA5*-1,,)*AA16,0)</f>
        <v>136.5</v>
      </c>
      <c r="AB15" s="181">
        <f t="array" ref="AB15">IFERROR(AB17*OFFSET(AB27,,AB5*-1,,)*AB16,0)</f>
        <v>136.5</v>
      </c>
      <c r="AC15" s="181">
        <f t="array" ref="AC15">IFERROR(AC17*OFFSET(AC27,,AC5*-1,,)*AC16,0)</f>
        <v>150.15</v>
      </c>
      <c r="AD15" s="181">
        <f t="array" ref="AD15">IFERROR(AD17*OFFSET(AD27,,AD5*-1,,)*AD16,0)</f>
        <v>150.15</v>
      </c>
      <c r="AE15" s="181">
        <f t="array" ref="AE15">IFERROR(AE17*OFFSET(AE27,,AE5*-1,,)*AE16,0)</f>
        <v>150.15</v>
      </c>
      <c r="AF15" s="181">
        <f t="array" ref="AF15">IFERROR(AF17*OFFSET(AF27,,AF5*-1,,)*AF16,0)</f>
        <v>163.8</v>
      </c>
      <c r="AG15" s="181">
        <f t="array" ref="AG15">IFERROR(AG17*OFFSET(AG27,,AG5*-1,,)*AG16,0)</f>
        <v>163.8</v>
      </c>
      <c r="AH15" s="181">
        <f t="array" ref="AH15">IFERROR(AH17*OFFSET(AH27,,AH5*-1,,)*AH16,0)</f>
        <v>163.8</v>
      </c>
      <c r="AI15" s="181">
        <f t="array" ref="AI15">IFERROR(AI17*OFFSET(AI27,,AI5*-1,,)*AI16,0)</f>
        <v>177.45</v>
      </c>
      <c r="AJ15" s="181">
        <f t="array" ref="AJ15">IFERROR(AJ17*OFFSET(AJ27,,AJ5*-1,,)*AJ16,0)</f>
        <v>177.45</v>
      </c>
      <c r="AK15" s="181">
        <f t="array" ref="AK15">IFERROR(AK17*OFFSET(AK27,,AK5*-1,,)*AK16,0)</f>
        <v>177.45</v>
      </c>
      <c r="AL15" s="181">
        <f t="array" ref="AL15">IFERROR(AL17*OFFSET(AL27,,AL5*-1,,)*AL16,0)</f>
        <v>191.1</v>
      </c>
      <c r="AM15" s="181">
        <f t="array" ref="AM15">IFERROR(AM17*OFFSET(AM27,,AM5*-1,,)*AM16,0)</f>
        <v>191.1</v>
      </c>
      <c r="AN15" s="181">
        <f t="array" ref="AN15">IFERROR(AN17*OFFSET(AN27,,AN5*-1,,)*AN16,0)</f>
        <v>191.1</v>
      </c>
      <c r="AO15" s="181">
        <f t="array" ref="AO15">IFERROR(AO17*OFFSET(AO27,,AO5*-1,,)*AO16,0)</f>
        <v>204.75</v>
      </c>
      <c r="AP15" s="181">
        <f t="array" ref="AP15">IFERROR(AP17*OFFSET(AP27,,AP5*-1,,)*AP16,0)</f>
        <v>204.75</v>
      </c>
      <c r="AQ15" s="181">
        <f t="array" ref="AQ15">IFERROR(AQ17*OFFSET(AQ27,,AQ5*-1,,)*AQ16,0)</f>
        <v>204.75</v>
      </c>
      <c r="AR15" s="181">
        <f t="array" ref="AR15">IFERROR(AR17*OFFSET(AR27,,AR5*-1,,)*AR16,0)</f>
        <v>218.4</v>
      </c>
      <c r="AS15" s="181">
        <f t="array" ref="AS15">IFERROR(AS17*OFFSET(AS27,,AS5*-1,,)*AS16,0)</f>
        <v>218.4</v>
      </c>
      <c r="AT15" s="181">
        <f t="array" ref="AT15">IFERROR(AT17*OFFSET(AT27,,AT5*-1,,)*AT16,0)</f>
        <v>218.4</v>
      </c>
      <c r="AU15" s="181">
        <f t="array" ref="AU15">IFERROR(AU17*OFFSET(AU27,,AU5*-1,,)*AU16,0)</f>
        <v>232.05</v>
      </c>
      <c r="AV15" s="181">
        <f t="array" ref="AV15">IFERROR(AV17*OFFSET(AV27,,AV5*-1,,)*AV16,0)</f>
        <v>232.05</v>
      </c>
      <c r="AW15" s="181">
        <f t="array" ref="AW15">IFERROR(AW17*OFFSET(AW27,,AW5*-1,,)*AW16,0)</f>
        <v>232.05</v>
      </c>
      <c r="AX15" s="181">
        <f t="array" ref="AX15">IFERROR(AX17*OFFSET(AX27,,AX5*-1,,)*AX16,0)</f>
        <v>245.7</v>
      </c>
      <c r="AY15" s="181">
        <f t="array" ref="AY15">IFERROR(AY17*OFFSET(AY27,,AY5*-1,,)*AY16,0)</f>
        <v>245.7</v>
      </c>
      <c r="AZ15" s="181">
        <f t="array" ref="AZ15">IFERROR(AZ17*OFFSET(AZ27,,AZ5*-1,,)*AZ16,0)</f>
        <v>245.7</v>
      </c>
      <c r="BA15" s="181">
        <f t="array" ref="BA15">IFERROR(BA17*OFFSET(BA27,,BA5*-1,,)*BA16,0)</f>
        <v>259.35</v>
      </c>
      <c r="BB15" s="181">
        <f t="array" ref="BB15">IFERROR(BB17*OFFSET(BB27,,BB5*-1,,)*BB16,0)</f>
        <v>259.35</v>
      </c>
      <c r="BC15" s="181">
        <f t="array" ref="BC15">IFERROR(BC17*OFFSET(BC27,,BC5*-1,,)*BC16,0)</f>
        <v>259.35</v>
      </c>
      <c r="BD15" s="181">
        <f t="array" ref="BD15">IFERROR(BD17*OFFSET(BD27,,BD5*-1,,)*BD16,0)</f>
        <v>273.0</v>
      </c>
      <c r="BE15" s="181">
        <f t="array" ref="BE15">IFERROR(BE17*OFFSET(BE27,,BE5*-1,,)*BE16,0)</f>
        <v>273.0</v>
      </c>
      <c r="BF15" s="181">
        <f t="array" ref="BF15">IFERROR(BF17*OFFSET(BF27,,BF5*-1,,)*BF16,0)</f>
        <v>273.0</v>
      </c>
      <c r="BG15" s="181">
        <f t="array" ref="BG15">IFERROR(BG17*OFFSET(BG27,,BG5*-1,,)*BG16,0)</f>
        <v>286.65</v>
      </c>
      <c r="BH15" s="181">
        <f t="array" ref="BH15">IFERROR(BH17*OFFSET(BH27,,BH5*-1,,)*BH16,0)</f>
        <v>286.65</v>
      </c>
      <c r="BI15" s="181">
        <f t="array" ref="BI15">IFERROR(BI17*OFFSET(BI27,,BI5*-1,,)*BI16,0)</f>
        <v>286.65</v>
      </c>
      <c r="BJ15" s="181">
        <f t="array" ref="BJ15">IFERROR(BJ17*OFFSET(BJ27,,BJ5*-1,,)*BJ16,0)</f>
        <v>300.3</v>
      </c>
      <c r="BK15" s="181">
        <f t="array" ref="BK15">IFERROR(BK17*OFFSET(BK27,,BK5*-1,,)*BK16,0)</f>
        <v>300.3</v>
      </c>
      <c r="BL15" s="181">
        <f t="array" ref="BL15">IFERROR(BL17*OFFSET(BL27,,BL5*-1,,)*BL16,0)</f>
        <v>300.3</v>
      </c>
      <c r="BM15" s="181">
        <f t="array" ref="BM15">IFERROR(BM17*OFFSET(BM27,,BM5*-1,,)*BM16,0)</f>
        <v>313.95</v>
      </c>
      <c r="BN15" s="228">
        <f t="array" ref="BN15">IFERROR(BN17*OFFSET(BN27,,BN5*-1,,)*BN16,0)</f>
        <v>313.95</v>
      </c>
      <c r="BO15" s="181">
        <f t="array" ref="BO15">IFERROR(BO17*OFFSET(BO27,,BO5*-1,,)*BO16,0)</f>
        <v>313.95</v>
      </c>
      <c r="BP15" s="181">
        <f t="array" ref="BP15">IFERROR(BP17*OFFSET(BP27,,BP5*-1,,)*BP16,0)</f>
        <v>327.6</v>
      </c>
      <c r="BQ15" s="181">
        <f t="array" ref="BQ15">IFERROR(BQ17*OFFSET(BQ27,,BQ5*-1,,)*BQ16,0)</f>
        <v>859.95</v>
      </c>
      <c r="BR15" s="181">
        <f t="array" ref="BR15">IFERROR(BR17*OFFSET(BR27,,BR5*-1,,)*BR16,0)</f>
        <v>1610.7</v>
      </c>
    </row>
    <row r="16">
      <c r="C16" s="76" t="inlineStr">
        <is>
          <t>黒字会社</t>
        </is>
      </c>
      <c r="D16" s="187" t="n"/>
      <c r="E16" s="187" t="n"/>
      <c r="F16" s="190" t="n">
        <v>0.39</v>
      </c>
      <c r="G16" s="190" t="n">
        <v>0.39</v>
      </c>
      <c r="H16" s="190" t="n">
        <v>0.39</v>
      </c>
      <c r="I16" s="190" t="n">
        <v>0.39</v>
      </c>
      <c r="J16" s="190" t="n">
        <v>0.39</v>
      </c>
      <c r="K16" s="190" t="n">
        <v>0.39</v>
      </c>
      <c r="L16" s="190" t="n">
        <v>0.39</v>
      </c>
      <c r="M16" s="190" t="n">
        <v>0.39</v>
      </c>
      <c r="N16" s="190" t="n">
        <v>0.39</v>
      </c>
      <c r="O16" s="190" t="n">
        <v>0.39</v>
      </c>
      <c r="P16" s="190" t="n">
        <v>0.39</v>
      </c>
      <c r="Q16" s="190" t="n">
        <v>0.39</v>
      </c>
      <c r="R16" s="190" t="n">
        <v>0.39</v>
      </c>
      <c r="S16" s="190" t="n">
        <v>0.39</v>
      </c>
      <c r="T16" s="190" t="n">
        <v>0.39</v>
      </c>
      <c r="U16" s="190" t="n">
        <v>0.39</v>
      </c>
      <c r="V16" s="190" t="n">
        <v>0.39</v>
      </c>
      <c r="W16" s="190" t="n">
        <v>0.39</v>
      </c>
      <c r="X16" s="190" t="n">
        <v>0.39</v>
      </c>
      <c r="Y16" s="190" t="n">
        <v>0.39</v>
      </c>
      <c r="Z16" s="190" t="n">
        <v>0.39</v>
      </c>
      <c r="AA16" s="190" t="n">
        <v>0.39</v>
      </c>
      <c r="AB16" s="190" t="n">
        <v>0.39</v>
      </c>
      <c r="AC16" s="190" t="n">
        <v>0.39</v>
      </c>
      <c r="AD16" s="190" t="n">
        <v>0.39</v>
      </c>
      <c r="AE16" s="190" t="n">
        <v>0.39</v>
      </c>
      <c r="AF16" s="190" t="n">
        <v>0.39</v>
      </c>
      <c r="AG16" s="190" t="n">
        <v>0.39</v>
      </c>
      <c r="AH16" s="190" t="n">
        <v>0.39</v>
      </c>
      <c r="AI16" s="190" t="n">
        <v>0.39</v>
      </c>
      <c r="AJ16" s="190" t="n">
        <v>0.39</v>
      </c>
      <c r="AK16" s="190" t="n">
        <v>0.39</v>
      </c>
      <c r="AL16" s="190" t="n">
        <v>0.39</v>
      </c>
      <c r="AM16" s="190" t="n">
        <v>0.39</v>
      </c>
      <c r="AN16" s="190" t="n">
        <v>0.39</v>
      </c>
      <c r="AO16" s="190" t="n">
        <v>0.39</v>
      </c>
      <c r="AP16" s="190" t="n">
        <v>0.39</v>
      </c>
      <c r="AQ16" s="190" t="n">
        <v>0.39</v>
      </c>
      <c r="AR16" s="190" t="n">
        <v>0.39</v>
      </c>
      <c r="AS16" s="190" t="n">
        <v>0.39</v>
      </c>
      <c r="AT16" s="190" t="n">
        <v>0.39</v>
      </c>
      <c r="AU16" s="190" t="n">
        <v>0.39</v>
      </c>
      <c r="AV16" s="190" t="n">
        <v>0.39</v>
      </c>
      <c r="AW16" s="190" t="n">
        <v>0.39</v>
      </c>
      <c r="AX16" s="190" t="n">
        <v>0.39</v>
      </c>
      <c r="AY16" s="190" t="n">
        <v>0.39</v>
      </c>
      <c r="AZ16" s="190" t="n">
        <v>0.39</v>
      </c>
      <c r="BA16" s="190" t="n">
        <v>0.39</v>
      </c>
      <c r="BB16" s="190" t="n">
        <v>0.39</v>
      </c>
      <c r="BC16" s="190" t="n">
        <v>0.39</v>
      </c>
      <c r="BD16" s="190" t="n">
        <v>0.39</v>
      </c>
      <c r="BE16" s="190" t="n">
        <v>0.39</v>
      </c>
      <c r="BF16" s="190" t="n">
        <v>0.39</v>
      </c>
      <c r="BG16" s="190" t="n">
        <v>0.39</v>
      </c>
      <c r="BH16" s="190" t="n">
        <v>0.39</v>
      </c>
      <c r="BI16" s="190" t="n">
        <v>0.39</v>
      </c>
      <c r="BJ16" s="190" t="n">
        <v>0.39</v>
      </c>
      <c r="BK16" s="190" t="n">
        <v>0.39</v>
      </c>
      <c r="BL16" s="190" t="n">
        <v>0.39</v>
      </c>
      <c r="BM16" s="190" t="n">
        <v>0.39</v>
      </c>
      <c r="BN16" s="230" t="n">
        <v>0.39</v>
      </c>
      <c r="BO16" s="190" t="n">
        <v>0.39</v>
      </c>
      <c r="BP16" s="190" t="n">
        <v>0.39</v>
      </c>
      <c r="BQ16" s="190" t="n">
        <v>0.39</v>
      </c>
      <c r="BR16" s="190" t="n">
        <v>0.39</v>
      </c>
    </row>
    <row r="17">
      <c r="C17" s="76" t="inlineStr">
        <is>
          <t>1税理士あたりの担当法人</t>
        </is>
      </c>
      <c r="D17" s="191" t="inlineStr">
        <is>
          <t>日税連 第6回税理士実態調査</t>
        </is>
      </c>
      <c r="E17" s="191" t="n"/>
      <c r="F17" s="76" t="n">
        <v>35</v>
      </c>
      <c r="G17" s="76" t="n">
        <v>35</v>
      </c>
      <c r="H17" s="76" t="n">
        <v>35</v>
      </c>
      <c r="I17" s="76" t="n">
        <v>35</v>
      </c>
      <c r="J17" s="76" t="n">
        <v>35</v>
      </c>
      <c r="K17" s="76" t="n">
        <v>35</v>
      </c>
      <c r="L17" s="76" t="n">
        <v>35</v>
      </c>
      <c r="M17" s="76" t="n">
        <v>35</v>
      </c>
      <c r="N17" s="76" t="n">
        <v>35</v>
      </c>
      <c r="O17" s="76" t="n">
        <v>35</v>
      </c>
      <c r="P17" s="76" t="n">
        <v>35</v>
      </c>
      <c r="Q17" s="76" t="n">
        <v>35</v>
      </c>
      <c r="R17" s="76" t="n">
        <v>35</v>
      </c>
      <c r="S17" s="76" t="n">
        <v>35</v>
      </c>
      <c r="T17" s="76" t="n">
        <v>35</v>
      </c>
      <c r="U17" s="76" t="n">
        <v>35</v>
      </c>
      <c r="V17" s="76" t="n">
        <v>35</v>
      </c>
      <c r="W17" s="76" t="n">
        <v>35</v>
      </c>
      <c r="X17" s="76" t="n">
        <v>35</v>
      </c>
      <c r="Y17" s="76" t="n">
        <v>35</v>
      </c>
      <c r="Z17" s="76" t="n">
        <v>35</v>
      </c>
      <c r="AA17" s="76" t="n">
        <v>35</v>
      </c>
      <c r="AB17" s="76" t="n">
        <v>35</v>
      </c>
      <c r="AC17" s="76" t="n">
        <v>35</v>
      </c>
      <c r="AD17" s="76" t="n">
        <v>35</v>
      </c>
      <c r="AE17" s="76" t="n">
        <v>35</v>
      </c>
      <c r="AF17" s="76" t="n">
        <v>35</v>
      </c>
      <c r="AG17" s="76" t="n">
        <v>35</v>
      </c>
      <c r="AH17" s="76" t="n">
        <v>35</v>
      </c>
      <c r="AI17" s="76" t="n">
        <v>35</v>
      </c>
      <c r="AJ17" s="76" t="n">
        <v>35</v>
      </c>
      <c r="AK17" s="76" t="n">
        <v>35</v>
      </c>
      <c r="AL17" s="76" t="n">
        <v>35</v>
      </c>
      <c r="AM17" s="76" t="n">
        <v>35</v>
      </c>
      <c r="AN17" s="76" t="n">
        <v>35</v>
      </c>
      <c r="AO17" s="76" t="n">
        <v>35</v>
      </c>
      <c r="AP17" s="76" t="n">
        <v>35</v>
      </c>
      <c r="AQ17" s="76" t="n">
        <v>35</v>
      </c>
      <c r="AR17" s="76" t="n">
        <v>35</v>
      </c>
      <c r="AS17" s="76" t="n">
        <v>35</v>
      </c>
      <c r="AT17" s="76" t="n">
        <v>35</v>
      </c>
      <c r="AU17" s="76" t="n">
        <v>35</v>
      </c>
      <c r="AV17" s="76" t="n">
        <v>35</v>
      </c>
      <c r="AW17" s="76" t="n">
        <v>35</v>
      </c>
      <c r="AX17" s="76" t="n">
        <v>35</v>
      </c>
      <c r="AY17" s="76" t="n">
        <v>35</v>
      </c>
      <c r="AZ17" s="76" t="n">
        <v>35</v>
      </c>
      <c r="BA17" s="76" t="n">
        <v>35</v>
      </c>
      <c r="BB17" s="76" t="n">
        <v>35</v>
      </c>
      <c r="BC17" s="76" t="n">
        <v>35</v>
      </c>
      <c r="BD17" s="76" t="n">
        <v>35</v>
      </c>
      <c r="BE17" s="76" t="n">
        <v>35</v>
      </c>
      <c r="BF17" s="76" t="n">
        <v>35</v>
      </c>
      <c r="BG17" s="76" t="n">
        <v>35</v>
      </c>
      <c r="BH17" s="76" t="n">
        <v>35</v>
      </c>
      <c r="BI17" s="76" t="n">
        <v>35</v>
      </c>
      <c r="BJ17" s="76" t="n">
        <v>35</v>
      </c>
      <c r="BK17" s="76" t="n">
        <v>35</v>
      </c>
      <c r="BL17" s="76" t="n">
        <v>35</v>
      </c>
      <c r="BM17" s="76" t="n">
        <v>35</v>
      </c>
      <c r="BN17" s="231" t="n">
        <v>35</v>
      </c>
      <c r="BO17" s="76" t="n">
        <v>35</v>
      </c>
      <c r="BP17" s="76" t="n">
        <v>35</v>
      </c>
      <c r="BQ17" s="76" t="n">
        <v>35</v>
      </c>
      <c r="BR17" s="76" t="n">
        <v>35</v>
      </c>
    </row>
    <row r="18">
      <c r="C18" s="74" t="inlineStr">
        <is>
          <t>新規</t>
        </is>
      </c>
      <c r="D18" s="64" t="n"/>
      <c r="E18" s="64" t="n"/>
      <c r="F18" s="74" t="n">
        <v>0</v>
      </c>
      <c r="G18" s="196" t="n">
        <v>1</v>
      </c>
      <c r="H18" s="196" t="n">
        <v>5</v>
      </c>
      <c r="I18" s="196" t="n">
        <v>5</v>
      </c>
      <c r="J18" s="196" t="n">
        <v>5</v>
      </c>
      <c r="K18" s="196">
        <f>H18+1</f>
        <v>6.0</v>
      </c>
      <c r="L18" s="196">
        <f>I18+1</f>
        <v>6.0</v>
      </c>
      <c r="M18" s="196">
        <f>J18+1</f>
        <v>6.0</v>
      </c>
      <c r="N18" s="196">
        <f>K18+1</f>
        <v>7.0</v>
      </c>
      <c r="O18" s="196">
        <f>L18+1</f>
        <v>7.0</v>
      </c>
      <c r="P18" s="196">
        <f>M18+1</f>
        <v>7.0</v>
      </c>
      <c r="Q18" s="196">
        <f>N18+1</f>
        <v>8.0</v>
      </c>
      <c r="R18" s="196">
        <f>O18+1</f>
        <v>8.0</v>
      </c>
      <c r="S18" s="196">
        <f>P18+1</f>
        <v>8.0</v>
      </c>
      <c r="T18" s="196">
        <f>Q18+1</f>
        <v>9.0</v>
      </c>
      <c r="U18" s="196">
        <f>R18+1</f>
        <v>9.0</v>
      </c>
      <c r="V18" s="196">
        <f>S18+1</f>
        <v>9.0</v>
      </c>
      <c r="W18" s="196">
        <f>T18+1</f>
        <v>10.0</v>
      </c>
      <c r="X18" s="196">
        <f>U18+1</f>
        <v>10.0</v>
      </c>
      <c r="Y18" s="196">
        <f>V18+1</f>
        <v>10.0</v>
      </c>
      <c r="Z18" s="196">
        <f>W18+1</f>
        <v>11.0</v>
      </c>
      <c r="AA18" s="196">
        <f>X18+1</f>
        <v>11.0</v>
      </c>
      <c r="AB18" s="196">
        <f>Y18+1</f>
        <v>11.0</v>
      </c>
      <c r="AC18" s="196">
        <f>Z18+1</f>
        <v>12.0</v>
      </c>
      <c r="AD18" s="196">
        <f>AA18+1</f>
        <v>12.0</v>
      </c>
      <c r="AE18" s="196">
        <f>AB18+1</f>
        <v>12.0</v>
      </c>
      <c r="AF18" s="196">
        <f>AC18+1</f>
        <v>13.0</v>
      </c>
      <c r="AG18" s="196">
        <f>AD18+1</f>
        <v>13.0</v>
      </c>
      <c r="AH18" s="196">
        <f>AE18+1</f>
        <v>13.0</v>
      </c>
      <c r="AI18" s="196">
        <f>AF18+1</f>
        <v>14.0</v>
      </c>
      <c r="AJ18" s="196">
        <f>AG18+1</f>
        <v>14.0</v>
      </c>
      <c r="AK18" s="196">
        <f>AH18+1</f>
        <v>14.0</v>
      </c>
      <c r="AL18" s="196">
        <f>AI18+1</f>
        <v>15.0</v>
      </c>
      <c r="AM18" s="196">
        <f>AJ18+1</f>
        <v>15.0</v>
      </c>
      <c r="AN18" s="196">
        <f>AK18+1</f>
        <v>15.0</v>
      </c>
      <c r="AO18" s="196">
        <f>AL18+1</f>
        <v>16.0</v>
      </c>
      <c r="AP18" s="196">
        <f>AM18+1</f>
        <v>16.0</v>
      </c>
      <c r="AQ18" s="196">
        <f>AN18+1</f>
        <v>16.0</v>
      </c>
      <c r="AR18" s="196">
        <f>AO18+1</f>
        <v>17.0</v>
      </c>
      <c r="AS18" s="196">
        <f>AP18+1</f>
        <v>17.0</v>
      </c>
      <c r="AT18" s="196">
        <f>AQ18+1</f>
        <v>17.0</v>
      </c>
      <c r="AU18" s="196">
        <f>AR18+1</f>
        <v>18.0</v>
      </c>
      <c r="AV18" s="196">
        <f>AS18+1</f>
        <v>18.0</v>
      </c>
      <c r="AW18" s="196">
        <f>AT18+1</f>
        <v>18.0</v>
      </c>
      <c r="AX18" s="196">
        <f>AU18+1</f>
        <v>19.0</v>
      </c>
      <c r="AY18" s="196">
        <f>AV18+1</f>
        <v>19.0</v>
      </c>
      <c r="AZ18" s="196">
        <f>AW18+1</f>
        <v>19.0</v>
      </c>
      <c r="BA18" s="196">
        <f>AX18+1</f>
        <v>20.0</v>
      </c>
      <c r="BB18" s="196">
        <f>AY18+1</f>
        <v>20.0</v>
      </c>
      <c r="BC18" s="196">
        <f>AZ18+1</f>
        <v>20.0</v>
      </c>
      <c r="BD18" s="196">
        <f>BA18+1</f>
        <v>21.0</v>
      </c>
      <c r="BE18" s="196">
        <f>BB18+1</f>
        <v>21.0</v>
      </c>
      <c r="BF18" s="196">
        <f>BC18+1</f>
        <v>21.0</v>
      </c>
      <c r="BG18" s="196">
        <f>BD18+1</f>
        <v>22.0</v>
      </c>
      <c r="BH18" s="196">
        <f>BE18+1</f>
        <v>22.0</v>
      </c>
      <c r="BI18" s="196">
        <f>BF18+1</f>
        <v>22.0</v>
      </c>
      <c r="BJ18" s="196">
        <f>BG18+1</f>
        <v>23.0</v>
      </c>
      <c r="BK18" s="196">
        <f>BH18+1</f>
        <v>23.0</v>
      </c>
      <c r="BL18" s="196">
        <f>BI18+1</f>
        <v>23.0</v>
      </c>
      <c r="BM18" s="196">
        <f>BJ18+1</f>
        <v>24.0</v>
      </c>
      <c r="BN18" s="226">
        <f>SUM(F18:Q18)</f>
        <v>63.0</v>
      </c>
      <c r="BO18" s="196">
        <f>SUM(R18:AC18)</f>
        <v>118.0</v>
      </c>
      <c r="BP18" s="196">
        <f>SUM(AD18:AO18)</f>
        <v>166.0</v>
      </c>
      <c r="BQ18" s="196">
        <f>SUM(AP18:BA18)</f>
        <v>214.0</v>
      </c>
      <c r="BR18" s="196">
        <f>SUM(BB18:BM18)</f>
        <v>262.0</v>
      </c>
    </row>
    <row r="19">
      <c r="C19" s="74" t="n"/>
      <c r="D19" s="502" t="n"/>
      <c r="E19" s="502" t="n"/>
      <c r="F19" s="198" t="n"/>
      <c r="G19" s="198" t="n"/>
      <c r="H19" s="198" t="n"/>
      <c r="I19" s="198" t="n"/>
      <c r="J19" s="198" t="n"/>
      <c r="K19" s="198" t="n"/>
      <c r="L19" s="198" t="n"/>
      <c r="M19" s="198" t="n"/>
      <c r="N19" s="198" t="n"/>
      <c r="O19" s="198" t="n"/>
      <c r="P19" s="198" t="n"/>
      <c r="Q19" s="198" t="n"/>
      <c r="R19" s="198" t="n"/>
      <c r="S19" s="198" t="n"/>
      <c r="T19" s="198" t="n"/>
      <c r="U19" s="198" t="n"/>
      <c r="V19" s="198" t="n"/>
      <c r="W19" s="198" t="n"/>
      <c r="X19" s="198" t="n"/>
      <c r="Y19" s="198" t="n"/>
      <c r="Z19" s="198" t="n"/>
      <c r="AA19" s="198" t="n"/>
      <c r="AB19" s="198" t="n"/>
      <c r="AC19" s="198" t="n"/>
      <c r="AD19" s="198" t="n"/>
      <c r="AE19" s="198" t="n"/>
      <c r="AF19" s="198" t="n"/>
      <c r="AG19" s="198" t="n"/>
      <c r="AH19" s="198" t="n"/>
      <c r="AI19" s="198" t="n"/>
      <c r="AJ19" s="198" t="n"/>
      <c r="AK19" s="198" t="n"/>
      <c r="AL19" s="198" t="n"/>
      <c r="AM19" s="198" t="n"/>
      <c r="AN19" s="198" t="n"/>
      <c r="AO19" s="198" t="n"/>
      <c r="AP19" s="198" t="n"/>
      <c r="AQ19" s="198" t="n"/>
      <c r="AR19" s="198" t="n"/>
      <c r="AS19" s="198" t="n"/>
      <c r="AT19" s="198" t="n"/>
      <c r="AU19" s="198" t="n"/>
      <c r="AV19" s="198" t="n"/>
      <c r="AW19" s="198" t="n"/>
      <c r="AX19" s="198" t="n"/>
      <c r="AY19" s="198" t="n"/>
      <c r="AZ19" s="198" t="n"/>
      <c r="BA19" s="198" t="n"/>
      <c r="BB19" s="198" t="n"/>
      <c r="BC19" s="198" t="n"/>
      <c r="BD19" s="198" t="n"/>
      <c r="BE19" s="198" t="n"/>
      <c r="BF19" s="198" t="n"/>
      <c r="BG19" s="198" t="n"/>
      <c r="BH19" s="198" t="n"/>
      <c r="BI19" s="198" t="n"/>
      <c r="BJ19" s="198" t="n"/>
      <c r="BK19" s="198" t="n"/>
      <c r="BL19" s="198" t="n"/>
      <c r="BM19" s="198" t="n"/>
      <c r="BN19" s="198" t="n"/>
      <c r="BO19" s="198" t="n"/>
      <c r="BP19" s="198" t="n"/>
      <c r="BQ19" s="198" t="n"/>
      <c r="BR19" s="198" t="n"/>
    </row>
    <row r="20">
      <c r="C20" s="74" t="n"/>
      <c r="D20" s="502" t="n"/>
      <c r="E20" s="502" t="n"/>
      <c r="F20" s="198" t="n"/>
      <c r="G20" s="198" t="n"/>
      <c r="H20" s="198" t="n"/>
      <c r="I20" s="198" t="n"/>
      <c r="J20" s="198" t="n"/>
      <c r="K20" s="198" t="n"/>
      <c r="L20" s="198" t="n"/>
      <c r="M20" s="198" t="n"/>
      <c r="N20" s="198" t="n"/>
      <c r="O20" s="198" t="n"/>
      <c r="P20" s="198" t="n"/>
      <c r="Q20" s="198" t="n"/>
      <c r="R20" s="198" t="n"/>
      <c r="S20" s="198" t="n"/>
      <c r="T20" s="198" t="n"/>
      <c r="U20" s="198" t="n"/>
      <c r="V20" s="198" t="n"/>
      <c r="W20" s="198" t="n"/>
      <c r="X20" s="198" t="n"/>
      <c r="Y20" s="198" t="n"/>
      <c r="Z20" s="198" t="n"/>
      <c r="AA20" s="198" t="n"/>
      <c r="AB20" s="198" t="n"/>
      <c r="AC20" s="198" t="n"/>
      <c r="AD20" s="198" t="n"/>
      <c r="AE20" s="198" t="n"/>
      <c r="AF20" s="198" t="n"/>
      <c r="AG20" s="198" t="n"/>
      <c r="AH20" s="198" t="n"/>
      <c r="AI20" s="198" t="n"/>
      <c r="AJ20" s="198" t="n"/>
      <c r="AK20" s="198" t="n"/>
      <c r="AL20" s="198" t="n"/>
      <c r="AM20" s="198" t="n"/>
      <c r="AN20" s="198" t="n"/>
      <c r="AO20" s="198" t="n"/>
      <c r="AP20" s="198" t="n"/>
      <c r="AQ20" s="198" t="n"/>
      <c r="AR20" s="198" t="n"/>
      <c r="AS20" s="198" t="n"/>
      <c r="AT20" s="198" t="n"/>
      <c r="AU20" s="198" t="n"/>
      <c r="AV20" s="198" t="n"/>
      <c r="AW20" s="198" t="n"/>
      <c r="AX20" s="198" t="n"/>
      <c r="AY20" s="198" t="n"/>
      <c r="AZ20" s="198" t="n"/>
      <c r="BA20" s="198" t="n"/>
      <c r="BB20" s="198" t="n"/>
      <c r="BC20" s="198" t="n"/>
      <c r="BD20" s="198" t="n"/>
      <c r="BE20" s="198" t="n"/>
      <c r="BF20" s="198" t="n"/>
      <c r="BG20" s="198" t="n"/>
      <c r="BH20" s="198" t="n"/>
      <c r="BI20" s="198" t="n"/>
      <c r="BJ20" s="198" t="n"/>
      <c r="BK20" s="198" t="n"/>
      <c r="BL20" s="198" t="n"/>
      <c r="BM20" s="198" t="n"/>
      <c r="BN20" s="198" t="n"/>
      <c r="BO20" s="198" t="n"/>
      <c r="BP20" s="198" t="n"/>
      <c r="BQ20" s="198" t="n"/>
      <c r="BR20" s="198" t="n"/>
    </row>
    <row r="21">
      <c r="C21" s="74" t="n"/>
      <c r="D21" s="503" t="n"/>
      <c r="E21" s="503" t="n"/>
      <c r="F21" s="504" t="n"/>
      <c r="G21" s="504" t="n"/>
      <c r="H21" s="504" t="n"/>
      <c r="I21" s="504" t="n"/>
      <c r="J21" s="504" t="n"/>
      <c r="K21" s="504" t="n"/>
      <c r="L21" s="504" t="n"/>
      <c r="M21" s="504" t="n"/>
      <c r="N21" s="504" t="n"/>
      <c r="O21" s="504" t="n"/>
      <c r="P21" s="504" t="n"/>
      <c r="Q21" s="504" t="n"/>
      <c r="R21" s="504" t="n"/>
      <c r="S21" s="504" t="n"/>
      <c r="T21" s="504" t="n"/>
      <c r="U21" s="504" t="n"/>
      <c r="V21" s="504" t="n"/>
      <c r="W21" s="504" t="n"/>
      <c r="X21" s="504" t="n"/>
      <c r="Y21" s="504" t="n"/>
      <c r="Z21" s="504" t="n"/>
      <c r="AA21" s="504" t="n"/>
      <c r="AB21" s="504" t="n"/>
      <c r="AC21" s="504" t="n"/>
      <c r="AD21" s="504" t="n"/>
      <c r="AE21" s="504" t="n"/>
      <c r="AF21" s="504" t="n"/>
      <c r="AG21" s="504" t="n"/>
      <c r="AH21" s="504" t="n"/>
      <c r="AI21" s="504" t="n"/>
      <c r="AJ21" s="504" t="n"/>
      <c r="AK21" s="504" t="n"/>
      <c r="AL21" s="504" t="n"/>
      <c r="AM21" s="504" t="n"/>
      <c r="AN21" s="504" t="n"/>
      <c r="AO21" s="504" t="n"/>
      <c r="AP21" s="504" t="n"/>
      <c r="AQ21" s="504" t="n"/>
      <c r="AR21" s="504" t="n"/>
      <c r="AS21" s="504" t="n"/>
      <c r="AT21" s="504" t="n"/>
      <c r="AU21" s="504" t="n"/>
      <c r="AV21" s="504" t="n"/>
      <c r="AW21" s="504" t="n"/>
      <c r="AX21" s="504" t="n"/>
      <c r="AY21" s="504" t="n"/>
      <c r="AZ21" s="504" t="n"/>
      <c r="BA21" s="504" t="n"/>
      <c r="BB21" s="504" t="n"/>
      <c r="BC21" s="504" t="n"/>
      <c r="BD21" s="504" t="n"/>
      <c r="BE21" s="504" t="n"/>
      <c r="BF21" s="504" t="n"/>
      <c r="BG21" s="504" t="n"/>
      <c r="BH21" s="504" t="n"/>
      <c r="BI21" s="504" t="n"/>
      <c r="BJ21" s="504" t="n"/>
      <c r="BK21" s="504" t="n"/>
      <c r="BL21" s="504" t="n"/>
      <c r="BM21" s="504" t="n"/>
      <c r="BN21" s="504" t="n"/>
      <c r="BO21" s="504" t="n"/>
      <c r="BP21" s="504" t="n"/>
      <c r="BQ21" s="504" t="n"/>
      <c r="BR21" s="504" t="n"/>
    </row>
    <row r="22">
      <c r="C22" s="74" t="n"/>
      <c r="D22" s="205" t="n"/>
      <c r="E22" s="205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4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4" t="n"/>
      <c r="BF22" s="74" t="n"/>
      <c r="BG22" s="74" t="n"/>
      <c r="BH22" s="74" t="n"/>
      <c r="BI22" s="74" t="n"/>
      <c r="BJ22" s="74" t="n"/>
      <c r="BK22" s="74" t="n"/>
      <c r="BL22" s="74" t="n"/>
      <c r="BM22" s="74" t="n"/>
      <c r="BN22" s="74" t="n"/>
      <c r="BO22" s="74" t="n"/>
      <c r="BP22" s="74" t="n"/>
      <c r="BQ22" s="74" t="n"/>
      <c r="BR22" s="74" t="n"/>
    </row>
    <row r="23">
      <c r="C23" s="74" t="n"/>
      <c r="D23" s="64" t="n"/>
      <c r="E23" s="64" t="n"/>
      <c r="F23" s="196" t="n"/>
      <c r="G23" s="196" t="n"/>
      <c r="H23" s="196" t="n"/>
      <c r="I23" s="196" t="n"/>
      <c r="J23" s="196" t="n"/>
      <c r="K23" s="196" t="n"/>
      <c r="L23" s="196" t="n"/>
      <c r="M23" s="196" t="n"/>
      <c r="N23" s="196" t="n"/>
      <c r="O23" s="196" t="n"/>
      <c r="P23" s="196" t="n"/>
      <c r="Q23" s="196" t="n"/>
      <c r="R23" s="196" t="n"/>
      <c r="S23" s="196" t="n"/>
      <c r="T23" s="196" t="n"/>
      <c r="U23" s="196" t="n"/>
      <c r="V23" s="196" t="n"/>
      <c r="W23" s="196" t="n"/>
      <c r="X23" s="196" t="n"/>
      <c r="Y23" s="196" t="n"/>
      <c r="Z23" s="196" t="n"/>
      <c r="AA23" s="196" t="n"/>
      <c r="AB23" s="196" t="n"/>
      <c r="AC23" s="196" t="n"/>
      <c r="AD23" s="196" t="n"/>
      <c r="AE23" s="196" t="n"/>
      <c r="AF23" s="196" t="n"/>
      <c r="AG23" s="196" t="n"/>
      <c r="AH23" s="196" t="n"/>
      <c r="AI23" s="196" t="n"/>
      <c r="AJ23" s="196" t="n"/>
      <c r="AK23" s="196" t="n"/>
      <c r="AL23" s="196" t="n"/>
      <c r="AM23" s="196" t="n"/>
      <c r="AN23" s="196" t="n"/>
      <c r="AO23" s="196" t="n"/>
      <c r="AP23" s="196" t="n"/>
      <c r="AQ23" s="196" t="n"/>
      <c r="AR23" s="196" t="n"/>
      <c r="AS23" s="196" t="n"/>
      <c r="AT23" s="196" t="n"/>
      <c r="AU23" s="196" t="n"/>
      <c r="AV23" s="196" t="n"/>
      <c r="AW23" s="196" t="n"/>
      <c r="AX23" s="196" t="n"/>
      <c r="AY23" s="196" t="n"/>
      <c r="AZ23" s="196" t="n"/>
      <c r="BA23" s="196" t="n"/>
      <c r="BB23" s="196" t="n"/>
      <c r="BC23" s="196" t="n"/>
      <c r="BD23" s="196" t="n"/>
      <c r="BE23" s="196" t="n"/>
      <c r="BF23" s="196" t="n"/>
      <c r="BG23" s="196" t="n"/>
      <c r="BH23" s="196" t="n"/>
      <c r="BI23" s="196" t="n"/>
      <c r="BJ23" s="196" t="n"/>
      <c r="BK23" s="196" t="n"/>
      <c r="BL23" s="196" t="n"/>
      <c r="BM23" s="196" t="n"/>
      <c r="BN23" s="196" t="n"/>
      <c r="BO23" s="196" t="n"/>
      <c r="BP23" s="196" t="n"/>
      <c r="BQ23" s="196" t="n"/>
      <c r="BR23" s="196" t="n"/>
    </row>
    <row r="24">
      <c r="C24" s="74" t="n"/>
      <c r="D24" s="64" t="n"/>
      <c r="E24" s="64" t="n"/>
      <c r="F24" s="74" t="n"/>
      <c r="G24" s="196" t="n"/>
      <c r="H24" s="196" t="n"/>
      <c r="I24" s="196" t="n"/>
      <c r="J24" s="196" t="n"/>
      <c r="K24" s="196" t="n"/>
      <c r="L24" s="196" t="n"/>
      <c r="M24" s="196" t="n"/>
      <c r="N24" s="196" t="n"/>
      <c r="O24" s="196" t="n"/>
      <c r="P24" s="196" t="n"/>
      <c r="Q24" s="196" t="n"/>
      <c r="R24" s="196" t="n"/>
      <c r="S24" s="196" t="n"/>
      <c r="T24" s="196" t="n"/>
      <c r="U24" s="196" t="n"/>
      <c r="V24" s="196" t="n"/>
      <c r="W24" s="196" t="n"/>
      <c r="X24" s="196" t="n"/>
      <c r="Y24" s="196" t="n"/>
      <c r="Z24" s="196" t="n"/>
      <c r="AA24" s="196" t="n"/>
      <c r="AB24" s="196" t="n"/>
      <c r="AC24" s="196" t="n"/>
      <c r="AD24" s="196" t="n"/>
      <c r="AE24" s="196" t="n"/>
      <c r="AF24" s="196" t="n"/>
      <c r="AG24" s="196" t="n"/>
      <c r="AH24" s="196" t="n"/>
      <c r="AI24" s="196" t="n"/>
      <c r="AJ24" s="196" t="n"/>
      <c r="AK24" s="196" t="n"/>
      <c r="AL24" s="196" t="n"/>
      <c r="AM24" s="196" t="n"/>
      <c r="AN24" s="196" t="n"/>
      <c r="AO24" s="196" t="n"/>
      <c r="AP24" s="196" t="n"/>
      <c r="AQ24" s="196" t="n"/>
      <c r="AR24" s="196" t="n"/>
      <c r="AS24" s="196" t="n"/>
      <c r="AT24" s="196" t="n"/>
      <c r="AU24" s="196" t="n"/>
      <c r="AV24" s="196" t="n"/>
      <c r="AW24" s="196" t="n"/>
      <c r="AX24" s="196" t="n"/>
      <c r="AY24" s="196" t="n"/>
      <c r="AZ24" s="196" t="n"/>
      <c r="BA24" s="196" t="n"/>
      <c r="BB24" s="196" t="n"/>
      <c r="BC24" s="196" t="n"/>
      <c r="BD24" s="196" t="n"/>
      <c r="BE24" s="196" t="n"/>
      <c r="BF24" s="196" t="n"/>
      <c r="BG24" s="196" t="n"/>
      <c r="BH24" s="196" t="n"/>
      <c r="BI24" s="196" t="n"/>
      <c r="BJ24" s="196" t="n"/>
      <c r="BK24" s="196" t="n"/>
      <c r="BL24" s="196" t="n"/>
      <c r="BM24" s="196" t="n"/>
      <c r="BN24" s="196" t="n"/>
      <c r="BO24" s="196" t="n"/>
      <c r="BP24" s="196" t="n"/>
      <c r="BQ24" s="196" t="n"/>
      <c r="BR24" s="196" t="n"/>
    </row>
    <row r="25">
      <c r="C25" s="74" t="n"/>
      <c r="D25" s="64" t="n"/>
      <c r="E25" s="64" t="n"/>
      <c r="F25" s="201" t="n"/>
      <c r="G25" s="201" t="n"/>
      <c r="H25" s="201" t="n"/>
      <c r="I25" s="201" t="n"/>
      <c r="J25" s="201" t="n"/>
      <c r="K25" s="201" t="n"/>
      <c r="L25" s="201" t="n"/>
      <c r="M25" s="201" t="n"/>
      <c r="N25" s="201" t="n"/>
      <c r="O25" s="201" t="n"/>
      <c r="P25" s="201" t="n"/>
      <c r="Q25" s="201" t="n"/>
      <c r="R25" s="201" t="n"/>
      <c r="S25" s="201" t="n"/>
      <c r="T25" s="201" t="n"/>
      <c r="U25" s="201" t="n"/>
      <c r="V25" s="201" t="n"/>
      <c r="W25" s="201" t="n"/>
      <c r="X25" s="201" t="n"/>
      <c r="Y25" s="201" t="n"/>
      <c r="Z25" s="201" t="n"/>
      <c r="AA25" s="201" t="n"/>
      <c r="AB25" s="201" t="n"/>
      <c r="AC25" s="201" t="n"/>
      <c r="AD25" s="201" t="n"/>
      <c r="AE25" s="201" t="n"/>
      <c r="AF25" s="201" t="n"/>
      <c r="AG25" s="201" t="n"/>
      <c r="AH25" s="201" t="n"/>
      <c r="AI25" s="201" t="n"/>
      <c r="AJ25" s="201" t="n"/>
      <c r="AK25" s="201" t="n"/>
      <c r="AL25" s="201" t="n"/>
      <c r="AM25" s="201" t="n"/>
      <c r="AN25" s="201" t="n"/>
      <c r="AO25" s="201" t="n"/>
      <c r="AP25" s="201" t="n"/>
      <c r="AQ25" s="201" t="n"/>
      <c r="AR25" s="201" t="n"/>
      <c r="AS25" s="201" t="n"/>
      <c r="AT25" s="201" t="n"/>
      <c r="AU25" s="201" t="n"/>
      <c r="AV25" s="201" t="n"/>
      <c r="AW25" s="201" t="n"/>
      <c r="AX25" s="201" t="n"/>
      <c r="AY25" s="201" t="n"/>
      <c r="AZ25" s="201" t="n"/>
      <c r="BA25" s="201" t="n"/>
      <c r="BB25" s="201" t="n"/>
      <c r="BC25" s="201" t="n"/>
      <c r="BD25" s="201" t="n"/>
      <c r="BE25" s="201" t="n"/>
      <c r="BF25" s="201" t="n"/>
      <c r="BG25" s="201" t="n"/>
      <c r="BH25" s="201" t="n"/>
      <c r="BI25" s="201" t="n"/>
      <c r="BJ25" s="201" t="n"/>
      <c r="BK25" s="201" t="n"/>
      <c r="BL25" s="201" t="n"/>
      <c r="BM25" s="201" t="n"/>
      <c r="BN25" s="196" t="n"/>
      <c r="BO25" s="201" t="n"/>
      <c r="BP25" s="201" t="n"/>
      <c r="BQ25" s="201" t="n"/>
      <c r="BR25" s="201" t="n"/>
    </row>
    <row r="26">
      <c r="C26" s="74" t="n"/>
      <c r="D26" s="64" t="n"/>
      <c r="E26" s="64" t="n"/>
      <c r="F26" s="202" t="n"/>
      <c r="G26" s="202" t="n"/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506" t="n"/>
      <c r="AE26" s="506" t="n"/>
      <c r="AF26" s="506" t="n"/>
      <c r="AG26" s="506" t="n"/>
      <c r="AH26" s="506" t="n"/>
      <c r="AI26" s="506" t="n"/>
      <c r="AJ26" s="506" t="n"/>
      <c r="AK26" s="506" t="n"/>
      <c r="AL26" s="506" t="n"/>
      <c r="AM26" s="506" t="n"/>
      <c r="AN26" s="506" t="n"/>
      <c r="AO26" s="506" t="n"/>
      <c r="AP26" s="506" t="n"/>
      <c r="AQ26" s="506" t="n"/>
      <c r="AR26" s="506" t="n"/>
      <c r="AS26" s="506" t="n"/>
      <c r="AT26" s="506" t="n"/>
      <c r="AU26" s="506" t="n"/>
      <c r="AV26" s="506" t="n"/>
      <c r="AW26" s="506" t="n"/>
      <c r="AX26" s="506" t="n"/>
      <c r="AY26" s="506" t="n"/>
      <c r="AZ26" s="506" t="n"/>
      <c r="BA26" s="506" t="n"/>
      <c r="BB26" s="202" t="n"/>
      <c r="BC26" s="202" t="n"/>
      <c r="BD26" s="202" t="n"/>
      <c r="BE26" s="202" t="n"/>
      <c r="BF26" s="202" t="n"/>
      <c r="BG26" s="202" t="n"/>
      <c r="BH26" s="202" t="n"/>
      <c r="BI26" s="202" t="n"/>
      <c r="BJ26" s="202" t="n"/>
      <c r="BK26" s="202" t="n"/>
      <c r="BL26" s="202" t="n"/>
      <c r="BM26" s="202" t="n"/>
      <c r="BN26" s="202" t="n"/>
      <c r="BO26" s="202" t="n"/>
      <c r="BP26" s="202" t="n"/>
      <c r="BQ26" s="202" t="n"/>
      <c r="BR26" s="202" t="n"/>
    </row>
    <row r="27">
      <c r="C27" s="184" t="inlineStr">
        <is>
          <t>新規</t>
        </is>
      </c>
      <c r="D27" s="185" t="n"/>
      <c r="E27" s="185" t="n"/>
      <c r="F27" s="184" t="n">
        <v>0</v>
      </c>
      <c r="G27" s="186" t="n">
        <v>1</v>
      </c>
      <c r="H27" s="186" t="n">
        <v>5</v>
      </c>
      <c r="I27" s="186" t="n">
        <v>5</v>
      </c>
      <c r="J27" s="186" t="n">
        <v>5</v>
      </c>
      <c r="K27" s="186">
        <f>H27+1</f>
        <v>6.0</v>
      </c>
      <c r="L27" s="186">
        <f>I27+1</f>
        <v>6.0</v>
      </c>
      <c r="M27" s="186">
        <f>J27+1</f>
        <v>6.0</v>
      </c>
      <c r="N27" s="186">
        <f>K27+1</f>
        <v>7.0</v>
      </c>
      <c r="O27" s="186">
        <f>L27+1</f>
        <v>7.0</v>
      </c>
      <c r="P27" s="186">
        <f>M27+1</f>
        <v>7.0</v>
      </c>
      <c r="Q27" s="186">
        <f>N27+1</f>
        <v>8.0</v>
      </c>
      <c r="R27" s="186">
        <f>O27+1</f>
        <v>8.0</v>
      </c>
      <c r="S27" s="186">
        <f>P27+1</f>
        <v>8.0</v>
      </c>
      <c r="T27" s="186">
        <f>Q27+1</f>
        <v>9.0</v>
      </c>
      <c r="U27" s="186">
        <f>R27+1</f>
        <v>9.0</v>
      </c>
      <c r="V27" s="186">
        <f>S27+1</f>
        <v>9.0</v>
      </c>
      <c r="W27" s="186">
        <f>T27+1</f>
        <v>10.0</v>
      </c>
      <c r="X27" s="186">
        <f>U27+1</f>
        <v>10.0</v>
      </c>
      <c r="Y27" s="186">
        <f>V27+1</f>
        <v>10.0</v>
      </c>
      <c r="Z27" s="186">
        <f>W27+1</f>
        <v>11.0</v>
      </c>
      <c r="AA27" s="186">
        <f>X27+1</f>
        <v>11.0</v>
      </c>
      <c r="AB27" s="186">
        <f>Y27+1</f>
        <v>11.0</v>
      </c>
      <c r="AC27" s="186">
        <f>Z27+1</f>
        <v>12.0</v>
      </c>
      <c r="AD27" s="186">
        <f>AA27+1</f>
        <v>12.0</v>
      </c>
      <c r="AE27" s="186">
        <f>AB27+1</f>
        <v>12.0</v>
      </c>
      <c r="AF27" s="186">
        <f>AC27+1</f>
        <v>13.0</v>
      </c>
      <c r="AG27" s="186">
        <f>AD27+1</f>
        <v>13.0</v>
      </c>
      <c r="AH27" s="186">
        <f>AE27+1</f>
        <v>13.0</v>
      </c>
      <c r="AI27" s="186">
        <f>AF27+1</f>
        <v>14.0</v>
      </c>
      <c r="AJ27" s="186">
        <f>AG27+1</f>
        <v>14.0</v>
      </c>
      <c r="AK27" s="186">
        <f>AH27+1</f>
        <v>14.0</v>
      </c>
      <c r="AL27" s="186">
        <f>AI27+1</f>
        <v>15.0</v>
      </c>
      <c r="AM27" s="186">
        <f>AJ27+1</f>
        <v>15.0</v>
      </c>
      <c r="AN27" s="186">
        <f>AK27+1</f>
        <v>15.0</v>
      </c>
      <c r="AO27" s="186">
        <f>AL27+1</f>
        <v>16.0</v>
      </c>
      <c r="AP27" s="186">
        <f>AM27+1</f>
        <v>16.0</v>
      </c>
      <c r="AQ27" s="186">
        <f>AN27+1</f>
        <v>16.0</v>
      </c>
      <c r="AR27" s="186">
        <f>AO27+1</f>
        <v>17.0</v>
      </c>
      <c r="AS27" s="186">
        <f>AP27+1</f>
        <v>17.0</v>
      </c>
      <c r="AT27" s="186">
        <f>AQ27+1</f>
        <v>17.0</v>
      </c>
      <c r="AU27" s="186">
        <f>AR27+1</f>
        <v>18.0</v>
      </c>
      <c r="AV27" s="186">
        <f>AS27+1</f>
        <v>18.0</v>
      </c>
      <c r="AW27" s="186">
        <f>AT27+1</f>
        <v>18.0</v>
      </c>
      <c r="AX27" s="186">
        <f>AU27+1</f>
        <v>19.0</v>
      </c>
      <c r="AY27" s="186">
        <f>AV27+1</f>
        <v>19.0</v>
      </c>
      <c r="AZ27" s="186">
        <f>AW27+1</f>
        <v>19.0</v>
      </c>
      <c r="BA27" s="186">
        <f>AX27+1</f>
        <v>20.0</v>
      </c>
      <c r="BB27" s="186">
        <f>AY27+1</f>
        <v>20.0</v>
      </c>
      <c r="BC27" s="186">
        <f>AZ27+1</f>
        <v>20.0</v>
      </c>
      <c r="BD27" s="186">
        <f>BA27+1</f>
        <v>21.0</v>
      </c>
      <c r="BE27" s="186">
        <f>BB27+1</f>
        <v>21.0</v>
      </c>
      <c r="BF27" s="186">
        <f>BC27+1</f>
        <v>21.0</v>
      </c>
      <c r="BG27" s="186">
        <f>BD27+1</f>
        <v>22.0</v>
      </c>
      <c r="BH27" s="186">
        <f>BE27+1</f>
        <v>22.0</v>
      </c>
      <c r="BI27" s="186">
        <f>BF27+1</f>
        <v>22.0</v>
      </c>
      <c r="BJ27" s="186">
        <f>BG27+1</f>
        <v>23.0</v>
      </c>
      <c r="BK27" s="186">
        <f>BH27+1</f>
        <v>23.0</v>
      </c>
      <c r="BL27" s="186">
        <f>BI27+1</f>
        <v>23.0</v>
      </c>
      <c r="BM27" s="186">
        <f>BJ27+1</f>
        <v>24.0</v>
      </c>
      <c r="BN27" s="186">
        <f>SUM(F27:Q27)</f>
        <v>63.0</v>
      </c>
      <c r="BO27" s="186">
        <f>SUM(R27:AC27)</f>
        <v>118.0</v>
      </c>
      <c r="BP27" s="186">
        <f>SUM(AD27:AO27)</f>
        <v>166.0</v>
      </c>
      <c r="BQ27" s="186">
        <f>SUM(AP27:BA27)</f>
        <v>214.0</v>
      </c>
      <c r="BR27" s="186">
        <f>SUM(BB27:BM27)</f>
        <v>262.0</v>
      </c>
    </row>
    <row r="28"/>
    <row r="29"/>
    <row r="30"/>
    <row r="31">
      <c r="C31" s="74" t="n"/>
      <c r="D31" s="64" t="n"/>
      <c r="E31" s="64" t="n"/>
      <c r="F31" s="74" t="n"/>
      <c r="G31" s="196" t="n"/>
      <c r="H31" s="196" t="n"/>
      <c r="I31" s="196" t="n"/>
      <c r="J31" s="196" t="n"/>
      <c r="K31" s="196" t="n"/>
      <c r="L31" s="196" t="n"/>
      <c r="M31" s="196" t="n"/>
      <c r="N31" s="196" t="n"/>
      <c r="O31" s="196" t="n"/>
      <c r="P31" s="196" t="n"/>
      <c r="Q31" s="196" t="n"/>
      <c r="R31" s="196" t="n"/>
      <c r="S31" s="196" t="n"/>
      <c r="T31" s="196" t="n"/>
      <c r="U31" s="196" t="n"/>
      <c r="V31" s="196" t="n"/>
      <c r="W31" s="196" t="n"/>
      <c r="X31" s="196" t="n"/>
      <c r="Y31" s="196" t="n"/>
      <c r="Z31" s="196" t="n"/>
      <c r="AA31" s="196" t="n"/>
      <c r="AB31" s="196" t="n"/>
      <c r="AC31" s="196" t="n"/>
      <c r="AD31" s="196" t="n"/>
      <c r="AE31" s="196" t="n"/>
      <c r="AF31" s="196" t="n"/>
      <c r="AG31" s="196" t="n"/>
      <c r="AH31" s="196" t="n"/>
      <c r="AI31" s="196" t="n"/>
      <c r="AJ31" s="196" t="n"/>
      <c r="AK31" s="196" t="n"/>
      <c r="AL31" s="196" t="n"/>
      <c r="AM31" s="196" t="n"/>
      <c r="AN31" s="196" t="n"/>
      <c r="AO31" s="196" t="n"/>
      <c r="AP31" s="196" t="n"/>
      <c r="AQ31" s="196" t="n"/>
      <c r="AR31" s="196" t="n"/>
      <c r="AS31" s="196" t="n"/>
      <c r="AT31" s="196" t="n"/>
      <c r="AU31" s="196" t="n"/>
      <c r="AV31" s="196" t="n"/>
      <c r="AW31" s="196" t="n"/>
      <c r="AX31" s="196" t="n"/>
      <c r="AY31" s="196" t="n"/>
      <c r="AZ31" s="196" t="n"/>
      <c r="BA31" s="196" t="n"/>
      <c r="BB31" s="196" t="n"/>
      <c r="BC31" s="196" t="n"/>
      <c r="BD31" s="196" t="n"/>
      <c r="BE31" s="196" t="n"/>
      <c r="BF31" s="196" t="n"/>
      <c r="BG31" s="196" t="n"/>
      <c r="BH31" s="196" t="n"/>
      <c r="BI31" s="196" t="n"/>
      <c r="BJ31" s="196" t="n"/>
      <c r="BK31" s="196" t="n"/>
      <c r="BL31" s="196" t="n"/>
      <c r="BM31" s="196" t="n"/>
      <c r="BN31" s="196" t="n"/>
      <c r="BO31" s="196" t="n"/>
      <c r="BP31" s="196" t="n"/>
      <c r="BQ31" s="196" t="n"/>
      <c r="BR31" s="196" t="n"/>
    </row>
    <row r="32">
      <c r="C32" s="74" t="n"/>
      <c r="D32" s="64" t="n"/>
      <c r="E32" s="64" t="n"/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1" t="n"/>
      <c r="Y32" s="201" t="n"/>
      <c r="Z32" s="201" t="n"/>
      <c r="AA32" s="201" t="n"/>
      <c r="AB32" s="201" t="n"/>
      <c r="AC32" s="201" t="n"/>
      <c r="AD32" s="201" t="n"/>
      <c r="AE32" s="201" t="n"/>
      <c r="AF32" s="201" t="n"/>
      <c r="AG32" s="201" t="n"/>
      <c r="AH32" s="201" t="n"/>
      <c r="AI32" s="201" t="n"/>
      <c r="AJ32" s="201" t="n"/>
      <c r="AK32" s="201" t="n"/>
      <c r="AL32" s="201" t="n"/>
      <c r="AM32" s="201" t="n"/>
      <c r="AN32" s="201" t="n"/>
      <c r="AO32" s="201" t="n"/>
      <c r="AP32" s="201" t="n"/>
      <c r="AQ32" s="201" t="n"/>
      <c r="AR32" s="201" t="n"/>
      <c r="AS32" s="201" t="n"/>
      <c r="AT32" s="201" t="n"/>
      <c r="AU32" s="201" t="n"/>
      <c r="AV32" s="201" t="n"/>
      <c r="AW32" s="201" t="n"/>
      <c r="AX32" s="201" t="n"/>
      <c r="AY32" s="201" t="n"/>
      <c r="AZ32" s="201" t="n"/>
      <c r="BA32" s="201" t="n"/>
      <c r="BB32" s="201" t="n"/>
      <c r="BC32" s="201" t="n"/>
      <c r="BD32" s="201" t="n"/>
      <c r="BE32" s="201" t="n"/>
      <c r="BF32" s="201" t="n"/>
      <c r="BG32" s="201" t="n"/>
      <c r="BH32" s="201" t="n"/>
      <c r="BI32" s="201" t="n"/>
      <c r="BJ32" s="201" t="n"/>
      <c r="BK32" s="201" t="n"/>
      <c r="BL32" s="201" t="n"/>
      <c r="BM32" s="201" t="n"/>
      <c r="BN32" s="196" t="n"/>
      <c r="BO32" s="201" t="n"/>
      <c r="BP32" s="201" t="n"/>
      <c r="BQ32" s="201" t="n"/>
      <c r="BR32" s="201" t="n"/>
    </row>
    <row r="33">
      <c r="C33" s="74" t="n"/>
      <c r="D33" s="64" t="n"/>
      <c r="E33" s="64" t="n"/>
      <c r="F33" s="202" t="n"/>
      <c r="G33" s="202" t="n"/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506" t="n"/>
      <c r="AE33" s="506" t="n"/>
      <c r="AF33" s="506" t="n"/>
      <c r="AG33" s="506" t="n"/>
      <c r="AH33" s="506" t="n"/>
      <c r="AI33" s="506" t="n"/>
      <c r="AJ33" s="506" t="n"/>
      <c r="AK33" s="506" t="n"/>
      <c r="AL33" s="506" t="n"/>
      <c r="AM33" s="506" t="n"/>
      <c r="AN33" s="506" t="n"/>
      <c r="AO33" s="506" t="n"/>
      <c r="AP33" s="506" t="n"/>
      <c r="AQ33" s="506" t="n"/>
      <c r="AR33" s="506" t="n"/>
      <c r="AS33" s="506" t="n"/>
      <c r="AT33" s="506" t="n"/>
      <c r="AU33" s="506" t="n"/>
      <c r="AV33" s="506" t="n"/>
      <c r="AW33" s="506" t="n"/>
      <c r="AX33" s="506" t="n"/>
      <c r="AY33" s="506" t="n"/>
      <c r="AZ33" s="506" t="n"/>
      <c r="BA33" s="506" t="n"/>
      <c r="BB33" s="202" t="n"/>
      <c r="BC33" s="202" t="n"/>
      <c r="BD33" s="202" t="n"/>
      <c r="BE33" s="202" t="n"/>
      <c r="BF33" s="202" t="n"/>
      <c r="BG33" s="202" t="n"/>
      <c r="BH33" s="202" t="n"/>
      <c r="BI33" s="202" t="n"/>
      <c r="BJ33" s="202" t="n"/>
      <c r="BK33" s="202" t="n"/>
      <c r="BL33" s="202" t="n"/>
      <c r="BM33" s="202" t="n"/>
      <c r="BN33" s="202" t="n"/>
      <c r="BO33" s="202" t="n"/>
      <c r="BP33" s="202" t="n"/>
      <c r="BQ33" s="202" t="n"/>
      <c r="BR33" s="202" t="n"/>
    </row>
    <row r="34">
      <c r="C34" s="74" t="n"/>
      <c r="D34" s="502" t="n"/>
      <c r="E34" s="502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198" t="n"/>
      <c r="V34" s="198" t="n"/>
      <c r="W34" s="198" t="n"/>
      <c r="X34" s="198" t="n"/>
      <c r="Y34" s="198" t="n"/>
      <c r="Z34" s="198" t="n"/>
      <c r="AA34" s="198" t="n"/>
      <c r="AB34" s="198" t="n"/>
      <c r="AC34" s="198" t="n"/>
      <c r="AD34" s="198" t="n"/>
      <c r="AE34" s="198" t="n"/>
      <c r="AF34" s="198" t="n"/>
      <c r="AG34" s="198" t="n"/>
      <c r="AH34" s="198" t="n"/>
      <c r="AI34" s="198" t="n"/>
      <c r="AJ34" s="198" t="n"/>
      <c r="AK34" s="198" t="n"/>
      <c r="AL34" s="198" t="n"/>
      <c r="AM34" s="198" t="n"/>
      <c r="AN34" s="198" t="n"/>
      <c r="AO34" s="198" t="n"/>
      <c r="AP34" s="198" t="n"/>
      <c r="AQ34" s="198" t="n"/>
      <c r="AR34" s="198" t="n"/>
      <c r="AS34" s="198" t="n"/>
      <c r="AT34" s="198" t="n"/>
      <c r="AU34" s="198" t="n"/>
      <c r="AV34" s="198" t="n"/>
      <c r="AW34" s="198" t="n"/>
      <c r="AX34" s="198" t="n"/>
      <c r="AY34" s="198" t="n"/>
      <c r="AZ34" s="198" t="n"/>
      <c r="BA34" s="198" t="n"/>
      <c r="BB34" s="198" t="n"/>
      <c r="BC34" s="198" t="n"/>
      <c r="BD34" s="198" t="n"/>
      <c r="BE34" s="198" t="n"/>
      <c r="BF34" s="198" t="n"/>
      <c r="BG34" s="198" t="n"/>
      <c r="BH34" s="198" t="n"/>
      <c r="BI34" s="198" t="n"/>
      <c r="BJ34" s="198" t="n"/>
      <c r="BK34" s="198" t="n"/>
      <c r="BL34" s="198" t="n"/>
      <c r="BM34" s="198" t="n"/>
      <c r="BN34" s="198" t="n"/>
      <c r="BO34" s="198" t="n"/>
      <c r="BP34" s="198" t="n"/>
      <c r="BQ34" s="198" t="n"/>
      <c r="BR34" s="198" t="n"/>
    </row>
    <row r="35">
      <c r="C35" s="74" t="n"/>
      <c r="D35" s="502" t="n"/>
      <c r="E35" s="502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198" t="n"/>
      <c r="V35" s="198" t="n"/>
      <c r="W35" s="198" t="n"/>
      <c r="X35" s="198" t="n"/>
      <c r="Y35" s="198" t="n"/>
      <c r="Z35" s="198" t="n"/>
      <c r="AA35" s="198" t="n"/>
      <c r="AB35" s="198" t="n"/>
      <c r="AC35" s="198" t="n"/>
      <c r="AD35" s="198" t="n"/>
      <c r="AE35" s="198" t="n"/>
      <c r="AF35" s="198" t="n"/>
      <c r="AG35" s="198" t="n"/>
      <c r="AH35" s="198" t="n"/>
      <c r="AI35" s="198" t="n"/>
      <c r="AJ35" s="198" t="n"/>
      <c r="AK35" s="198" t="n"/>
      <c r="AL35" s="198" t="n"/>
      <c r="AM35" s="198" t="n"/>
      <c r="AN35" s="198" t="n"/>
      <c r="AO35" s="198" t="n"/>
      <c r="AP35" s="198" t="n"/>
      <c r="AQ35" s="198" t="n"/>
      <c r="AR35" s="198" t="n"/>
      <c r="AS35" s="198" t="n"/>
      <c r="AT35" s="198" t="n"/>
      <c r="AU35" s="198" t="n"/>
      <c r="AV35" s="198" t="n"/>
      <c r="AW35" s="198" t="n"/>
      <c r="AX35" s="198" t="n"/>
      <c r="AY35" s="198" t="n"/>
      <c r="AZ35" s="198" t="n"/>
      <c r="BA35" s="198" t="n"/>
      <c r="BB35" s="198" t="n"/>
      <c r="BC35" s="198" t="n"/>
      <c r="BD35" s="198" t="n"/>
      <c r="BE35" s="198" t="n"/>
      <c r="BF35" s="198" t="n"/>
      <c r="BG35" s="198" t="n"/>
      <c r="BH35" s="198" t="n"/>
      <c r="BI35" s="198" t="n"/>
      <c r="BJ35" s="198" t="n"/>
      <c r="BK35" s="198" t="n"/>
      <c r="BL35" s="198" t="n"/>
      <c r="BM35" s="198" t="n"/>
      <c r="BN35" s="198" t="n"/>
      <c r="BO35" s="198" t="n"/>
      <c r="BP35" s="198" t="n"/>
      <c r="BQ35" s="198" t="n"/>
      <c r="BR35" s="198" t="n"/>
    </row>
    <row r="36">
      <c r="C36" s="74" t="n"/>
      <c r="D36" s="502" t="n"/>
      <c r="E36" s="502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198" t="n"/>
      <c r="V36" s="198" t="n"/>
      <c r="W36" s="198" t="n"/>
      <c r="X36" s="198" t="n"/>
      <c r="Y36" s="198" t="n"/>
      <c r="Z36" s="198" t="n"/>
      <c r="AA36" s="198" t="n"/>
      <c r="AB36" s="198" t="n"/>
      <c r="AC36" s="198" t="n"/>
      <c r="AD36" s="198" t="n"/>
      <c r="AE36" s="198" t="n"/>
      <c r="AF36" s="198" t="n"/>
      <c r="AG36" s="198" t="n"/>
      <c r="AH36" s="198" t="n"/>
      <c r="AI36" s="198" t="n"/>
      <c r="AJ36" s="198" t="n"/>
      <c r="AK36" s="198" t="n"/>
      <c r="AL36" s="198" t="n"/>
      <c r="AM36" s="198" t="n"/>
      <c r="AN36" s="198" t="n"/>
      <c r="AO36" s="198" t="n"/>
      <c r="AP36" s="198" t="n"/>
      <c r="AQ36" s="198" t="n"/>
      <c r="AR36" s="198" t="n"/>
      <c r="AS36" s="198" t="n"/>
      <c r="AT36" s="198" t="n"/>
      <c r="AU36" s="198" t="n"/>
      <c r="AV36" s="198" t="n"/>
      <c r="AW36" s="198" t="n"/>
      <c r="AX36" s="198" t="n"/>
      <c r="AY36" s="198" t="n"/>
      <c r="AZ36" s="198" t="n"/>
      <c r="BA36" s="198" t="n"/>
      <c r="BB36" s="198" t="n"/>
      <c r="BC36" s="198" t="n"/>
      <c r="BD36" s="198" t="n"/>
      <c r="BE36" s="198" t="n"/>
      <c r="BF36" s="198" t="n"/>
      <c r="BG36" s="198" t="n"/>
      <c r="BH36" s="198" t="n"/>
      <c r="BI36" s="198" t="n"/>
      <c r="BJ36" s="198" t="n"/>
      <c r="BK36" s="198" t="n"/>
      <c r="BL36" s="198" t="n"/>
      <c r="BM36" s="198" t="n"/>
      <c r="BN36" s="198" t="n"/>
      <c r="BO36" s="198" t="n"/>
      <c r="BP36" s="198" t="n"/>
      <c r="BQ36" s="198" t="n"/>
      <c r="BR36" s="198" t="n"/>
    </row>
    <row r="37">
      <c r="C37" s="74" t="n"/>
      <c r="D37" s="503" t="n"/>
      <c r="E37" s="503" t="n"/>
      <c r="F37" s="504" t="n"/>
      <c r="G37" s="504" t="n"/>
      <c r="H37" s="504" t="n"/>
      <c r="I37" s="504" t="n"/>
      <c r="J37" s="504" t="n"/>
      <c r="K37" s="504" t="n"/>
      <c r="L37" s="504" t="n"/>
      <c r="M37" s="504" t="n"/>
      <c r="N37" s="504" t="n"/>
      <c r="O37" s="504" t="n"/>
      <c r="P37" s="504" t="n"/>
      <c r="Q37" s="504" t="n"/>
      <c r="R37" s="504" t="n"/>
      <c r="S37" s="504" t="n"/>
      <c r="T37" s="504" t="n"/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4" t="n"/>
      <c r="AF37" s="504" t="n"/>
      <c r="AG37" s="504" t="n"/>
      <c r="AH37" s="504" t="n"/>
      <c r="AI37" s="504" t="n"/>
      <c r="AJ37" s="504" t="n"/>
      <c r="AK37" s="504" t="n"/>
      <c r="AL37" s="504" t="n"/>
      <c r="AM37" s="504" t="n"/>
      <c r="AN37" s="504" t="n"/>
      <c r="AO37" s="504" t="n"/>
      <c r="AP37" s="504" t="n"/>
      <c r="AQ37" s="504" t="n"/>
      <c r="AR37" s="504" t="n"/>
      <c r="AS37" s="504" t="n"/>
      <c r="AT37" s="504" t="n"/>
      <c r="AU37" s="504" t="n"/>
      <c r="AV37" s="504" t="n"/>
      <c r="AW37" s="504" t="n"/>
      <c r="AX37" s="504" t="n"/>
      <c r="AY37" s="504" t="n"/>
      <c r="AZ37" s="504" t="n"/>
      <c r="BA37" s="504" t="n"/>
      <c r="BB37" s="504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4" t="n"/>
      <c r="BM37" s="504" t="n"/>
      <c r="BN37" s="504" t="n"/>
      <c r="BO37" s="504" t="n"/>
      <c r="BP37" s="504" t="n"/>
      <c r="BQ37" s="504" t="n"/>
      <c r="BR37" s="50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5"/>
  <sheetViews>
    <sheetView zoomScale="111" zoomScaleNormal="111" workbookViewId="0">
      <selection activeCell="N7" sqref="N7"/>
    </sheetView>
  </sheetViews>
  <sheetFormatPr baseColWidth="10" defaultRowHeight="20" outlineLevelRow="1"/>
  <cols>
    <col width="10.7109375" customWidth="1" style="22" min="1" max="71"/>
    <col width="10.7109375" customWidth="1" style="22" min="72" max="16384"/>
  </cols>
  <sheetData>
    <row r="1"/>
    <row r="2"/>
    <row r="3"/>
    <row r="4" outlineLevel="1" ht="17" customFormat="1" customHeight="1" s="8">
      <c r="C4" s="5" t="inlineStr">
        <is>
          <t>■ ① ビジとり（旅費規程）</t>
        </is>
      </c>
      <c r="D4" s="6" t="n"/>
      <c r="E4" s="6" t="n"/>
      <c r="F4" s="7" t="inlineStr">
        <is>
          <t>Y1_M1</t>
        </is>
      </c>
      <c r="G4" s="7" t="inlineStr">
        <is>
          <t>Y1_M2</t>
        </is>
      </c>
      <c r="H4" s="7" t="inlineStr">
        <is>
          <t>Y1_M3</t>
        </is>
      </c>
      <c r="I4" s="7" t="inlineStr">
        <is>
          <t>Y1_M4</t>
        </is>
      </c>
      <c r="J4" s="7" t="inlineStr">
        <is>
          <t>Y1_M5</t>
        </is>
      </c>
      <c r="K4" s="7" t="inlineStr">
        <is>
          <t>Y1_M6</t>
        </is>
      </c>
      <c r="L4" s="7" t="inlineStr">
        <is>
          <t>Y1_M7</t>
        </is>
      </c>
      <c r="M4" s="7" t="inlineStr">
        <is>
          <t>Y1_M8</t>
        </is>
      </c>
      <c r="N4" s="7" t="inlineStr">
        <is>
          <t>Y1_M9</t>
        </is>
      </c>
      <c r="O4" s="7" t="inlineStr">
        <is>
          <t>Y1_M10</t>
        </is>
      </c>
      <c r="P4" s="7" t="inlineStr">
        <is>
          <t>Y1_M11</t>
        </is>
      </c>
      <c r="Q4" s="7" t="inlineStr">
        <is>
          <t>Y1_M12</t>
        </is>
      </c>
      <c r="R4" s="7" t="inlineStr">
        <is>
          <t>Y2_M1</t>
        </is>
      </c>
      <c r="S4" s="7" t="inlineStr">
        <is>
          <t>Y2_M2</t>
        </is>
      </c>
      <c r="T4" s="7" t="inlineStr">
        <is>
          <t>Y2_M3</t>
        </is>
      </c>
      <c r="U4" s="7" t="inlineStr">
        <is>
          <t>Y2_M4</t>
        </is>
      </c>
      <c r="V4" s="7" t="inlineStr">
        <is>
          <t>Y2_M5</t>
        </is>
      </c>
      <c r="W4" s="7" t="inlineStr">
        <is>
          <t>Y2_M6</t>
        </is>
      </c>
      <c r="X4" s="7" t="inlineStr">
        <is>
          <t>Y2_M7</t>
        </is>
      </c>
      <c r="Y4" s="7" t="inlineStr">
        <is>
          <t>Y2_M8</t>
        </is>
      </c>
      <c r="Z4" s="7" t="inlineStr">
        <is>
          <t>Y2_M9</t>
        </is>
      </c>
      <c r="AA4" s="7" t="inlineStr">
        <is>
          <t>Y2_M10</t>
        </is>
      </c>
      <c r="AB4" s="7" t="inlineStr">
        <is>
          <t>Y2_M11</t>
        </is>
      </c>
      <c r="AC4" s="7" t="inlineStr">
        <is>
          <t>Y2_M12</t>
        </is>
      </c>
      <c r="AD4" s="7" t="inlineStr">
        <is>
          <t>Y3_M1</t>
        </is>
      </c>
      <c r="AE4" s="7" t="inlineStr">
        <is>
          <t>Y3_M2</t>
        </is>
      </c>
      <c r="AF4" s="7" t="inlineStr">
        <is>
          <t>Y3_M3</t>
        </is>
      </c>
      <c r="AG4" s="7" t="inlineStr">
        <is>
          <t>Y3_M4</t>
        </is>
      </c>
      <c r="AH4" s="7" t="inlineStr">
        <is>
          <t>Y3_M5</t>
        </is>
      </c>
      <c r="AI4" s="7" t="inlineStr">
        <is>
          <t>Y3_M6</t>
        </is>
      </c>
      <c r="AJ4" s="7" t="inlineStr">
        <is>
          <t>Y3_M7</t>
        </is>
      </c>
      <c r="AK4" s="7" t="inlineStr">
        <is>
          <t>Y3_M8</t>
        </is>
      </c>
      <c r="AL4" s="7" t="inlineStr">
        <is>
          <t>Y3_M9</t>
        </is>
      </c>
      <c r="AM4" s="7" t="inlineStr">
        <is>
          <t>Y3_M10</t>
        </is>
      </c>
      <c r="AN4" s="7" t="inlineStr">
        <is>
          <t>Y3_M11</t>
        </is>
      </c>
      <c r="AO4" s="7" t="inlineStr">
        <is>
          <t>Y3_M12</t>
        </is>
      </c>
      <c r="AP4" s="7" t="inlineStr">
        <is>
          <t>Y4_M1</t>
        </is>
      </c>
      <c r="AQ4" s="7" t="inlineStr">
        <is>
          <t>Y4_M2</t>
        </is>
      </c>
      <c r="AR4" s="7" t="inlineStr">
        <is>
          <t>Y4_M3</t>
        </is>
      </c>
      <c r="AS4" s="7" t="inlineStr">
        <is>
          <t>Y4_M4</t>
        </is>
      </c>
      <c r="AT4" s="7" t="inlineStr">
        <is>
          <t>Y4_M5</t>
        </is>
      </c>
      <c r="AU4" s="7" t="inlineStr">
        <is>
          <t>Y4_M6</t>
        </is>
      </c>
      <c r="AV4" s="7" t="inlineStr">
        <is>
          <t>Y4_M7</t>
        </is>
      </c>
      <c r="AW4" s="7" t="inlineStr">
        <is>
          <t>Y4_M8</t>
        </is>
      </c>
      <c r="AX4" s="7" t="inlineStr">
        <is>
          <t>Y4_M9</t>
        </is>
      </c>
      <c r="AY4" s="7" t="inlineStr">
        <is>
          <t>Y4_M10</t>
        </is>
      </c>
      <c r="AZ4" s="7" t="inlineStr">
        <is>
          <t>Y4_M11</t>
        </is>
      </c>
      <c r="BA4" s="7" t="inlineStr">
        <is>
          <t>Y4_M12</t>
        </is>
      </c>
      <c r="BB4" s="7" t="inlineStr">
        <is>
          <t>Y5_M1</t>
        </is>
      </c>
      <c r="BC4" s="7" t="inlineStr">
        <is>
          <t>Y5_M2</t>
        </is>
      </c>
      <c r="BD4" s="7" t="inlineStr">
        <is>
          <t>Y5_M3</t>
        </is>
      </c>
      <c r="BE4" s="7" t="inlineStr">
        <is>
          <t>Y5_M4</t>
        </is>
      </c>
      <c r="BF4" s="7" t="inlineStr">
        <is>
          <t>Y5_M5</t>
        </is>
      </c>
      <c r="BG4" s="7" t="inlineStr">
        <is>
          <t>Y5_M6</t>
        </is>
      </c>
      <c r="BH4" s="7" t="inlineStr">
        <is>
          <t>Y5_M7</t>
        </is>
      </c>
      <c r="BI4" s="7" t="inlineStr">
        <is>
          <t>Y5_M8</t>
        </is>
      </c>
      <c r="BJ4" s="7" t="inlineStr">
        <is>
          <t>Y5_M9</t>
        </is>
      </c>
      <c r="BK4" s="7" t="inlineStr">
        <is>
          <t>Y5_M10</t>
        </is>
      </c>
      <c r="BL4" s="7" t="inlineStr">
        <is>
          <t>Y5_M11</t>
        </is>
      </c>
      <c r="BM4" s="7" t="inlineStr">
        <is>
          <t>Y5_M12</t>
        </is>
      </c>
      <c r="BN4" s="7" t="inlineStr">
        <is>
          <t>Y1</t>
        </is>
      </c>
      <c r="BO4" s="7" t="inlineStr">
        <is>
          <t>Y2</t>
        </is>
      </c>
      <c r="BP4" s="7" t="inlineStr">
        <is>
          <t>Y3</t>
        </is>
      </c>
      <c r="BQ4" s="7" t="inlineStr">
        <is>
          <t>Y4</t>
        </is>
      </c>
      <c r="BR4" s="7" t="inlineStr">
        <is>
          <t>Y5</t>
        </is>
      </c>
    </row>
    <row r="5" outlineLevel="1" ht="17" customFormat="1" customHeight="1" s="8">
      <c r="C5" s="5" t="inlineStr">
        <is>
          <t>売上</t>
        </is>
      </c>
      <c r="D5" s="6" t="n"/>
      <c r="E5" s="6" t="n"/>
      <c r="F5" s="7">
        <f>F25*F14</f>
        <v>0.0</v>
      </c>
      <c r="G5" s="7">
        <f>G25*G14</f>
        <v>1929.375</v>
      </c>
      <c r="H5" s="7">
        <f>H25*H14</f>
        <v>10572.975</v>
      </c>
      <c r="I5" s="7">
        <f>I25*I14</f>
        <v>19043.703</v>
      </c>
      <c r="J5" s="7">
        <f>J25*J14</f>
        <v>26380.32894</v>
      </c>
      <c r="K5" s="7">
        <f>K25*K14</f>
        <v>35499.5973612</v>
      </c>
      <c r="L5" s="7">
        <f>L25*L14</f>
        <v>44436.480413976</v>
      </c>
      <c r="M5" s="7">
        <f>M25*M14</f>
        <v>53194.6258056965</v>
      </c>
      <c r="N5" s="7">
        <f>N25*N14</f>
        <v>63706.9832895825</v>
      </c>
      <c r="O5" s="7">
        <f>O25*O14</f>
        <v>73044.4061237909</v>
      </c>
      <c r="P5" s="7">
        <f>P25*P14</f>
        <v>82195.0805013151</v>
      </c>
      <c r="Q5" s="7">
        <f>Q25*Q14</f>
        <v>93092.1163912888</v>
      </c>
      <c r="R5" s="7">
        <f>R25*R14</f>
        <v>102806.524063463</v>
      </c>
      <c r="S5" s="7">
        <f>S25*S14</f>
        <v>112326.643582194</v>
      </c>
      <c r="T5" s="7">
        <f>T25*T14</f>
        <v>123585.73571055</v>
      </c>
      <c r="U5" s="7">
        <f>U25*U14</f>
        <v>133654.958496339</v>
      </c>
      <c r="V5" s="7">
        <f>V25*V14</f>
        <v>143522.796826412</v>
      </c>
      <c r="W5" s="7">
        <f>W25*W14</f>
        <v>155122.653389884</v>
      </c>
      <c r="X5" s="7">
        <f>X25*X14</f>
        <v>165525.825322086</v>
      </c>
      <c r="Y5" s="7">
        <f>Y25*Y14</f>
        <v>175720.933815644</v>
      </c>
      <c r="Z5" s="7">
        <f>Z25*Z14</f>
        <v>187641.515139332</v>
      </c>
      <c r="AA5" s="7">
        <f>AA25*AA14</f>
        <v>198358.997336545</v>
      </c>
      <c r="AB5" s="7">
        <f>AB25*AB14</f>
        <v>208862.129889814</v>
      </c>
      <c r="AC5" s="7">
        <f>AC25*AC14</f>
        <v>220119.887292018</v>
      </c>
      <c r="AD5" s="7">
        <f>AD25*AD14</f>
        <v>233632.164264407</v>
      </c>
      <c r="AE5" s="7">
        <f>AE25*AE14</f>
        <v>245943.28888978</v>
      </c>
      <c r="AF5" s="7">
        <f>AF25*AF14</f>
        <v>259968.343834209</v>
      </c>
      <c r="AG5" s="7">
        <f>AG25*AG14</f>
        <v>272783.27281711</v>
      </c>
      <c r="AH5" s="7">
        <f>AH25*AH14</f>
        <v>286338.628042811</v>
      </c>
      <c r="AI5" s="7">
        <f>AI25*AI14</f>
        <v>299656.764552062</v>
      </c>
      <c r="AJ5" s="7">
        <f>AJ25*AJ14</f>
        <v>313706.521172401</v>
      </c>
      <c r="AK5" s="7">
        <f>AK25*AK14</f>
        <v>326545.719551884</v>
      </c>
      <c r="AL5" s="7">
        <f>AL25*AL14</f>
        <v>341089.606959726</v>
      </c>
      <c r="AM5" s="7">
        <f>AM25*AM14</f>
        <v>354414.288837931</v>
      </c>
      <c r="AN5" s="7">
        <f>AN25*AN14</f>
        <v>367505.788783267</v>
      </c>
      <c r="AO5" s="7">
        <f>AO25*AO14</f>
        <v>382297.562479559</v>
      </c>
      <c r="AP5" s="7">
        <f>AP25*AP14</f>
        <v>395865.792636167</v>
      </c>
      <c r="AQ5" s="7">
        <f>AQ25*AQ14</f>
        <v>409196.578765034</v>
      </c>
      <c r="AR5" s="7">
        <f>AR25*AR14</f>
        <v>423258.763636646</v>
      </c>
      <c r="AS5" s="7">
        <f>AS25*AS14</f>
        <v>437074.860273005</v>
      </c>
      <c r="AT5" s="7">
        <f>AT25*AT14</f>
        <v>450649.175218227</v>
      </c>
      <c r="AU5" s="7">
        <f>AU25*AU14</f>
        <v>464950.627151908</v>
      </c>
      <c r="AV5" s="7">
        <f>AV25*AV14</f>
        <v>479001.80367675</v>
      </c>
      <c r="AW5" s="7">
        <f>AW25*AW14</f>
        <v>492807.084612407</v>
      </c>
      <c r="AX5" s="7">
        <f>AX25*AX14</f>
        <v>507335.46063169</v>
      </c>
      <c r="AY5" s="7">
        <f>AY25*AY14</f>
        <v>520644.902570635</v>
      </c>
      <c r="AZ5" s="7">
        <f>AZ25*AZ14</f>
        <v>534686.116775649</v>
      </c>
      <c r="BA5" s="7">
        <f>BA25*BA14</f>
        <v>548481.609732075</v>
      </c>
      <c r="BB5" s="7">
        <f>BB25*BB14</f>
        <v>568230.323086094</v>
      </c>
      <c r="BC5" s="7">
        <f>BC25*BC14</f>
        <v>586718.118239802</v>
      </c>
      <c r="BD5" s="7">
        <f>BD25*BD14</f>
        <v>605893.283966205</v>
      </c>
      <c r="BE5" s="7">
        <f>BE25*BE14</f>
        <v>624780.822206713</v>
      </c>
      <c r="BF5" s="7">
        <f>BF25*BF14</f>
        <v>643385.047373612</v>
      </c>
      <c r="BG5" s="7">
        <f>BG25*BG14</f>
        <v>663639.584163007</v>
      </c>
      <c r="BH5" s="7">
        <f>BH25*BH14</f>
        <v>682625.615400562</v>
      </c>
      <c r="BI5" s="7">
        <f>BI25*BI14</f>
        <v>701326.856169554</v>
      </c>
      <c r="BJ5" s="7">
        <f>BJ25*BJ14</f>
        <v>720712.265827011</v>
      </c>
      <c r="BK5" s="7">
        <f>BK25*BK14</f>
        <v>739806.894339606</v>
      </c>
      <c r="BL5" s="7">
        <f>BL25*BL14</f>
        <v>758615.103424511</v>
      </c>
      <c r="BM5" s="7">
        <f>BM25*BM14</f>
        <v>778105.876873144</v>
      </c>
      <c r="BN5" s="9">
        <f>SUM(F5:Q5)</f>
        <v>503095.67182685</v>
      </c>
      <c r="BO5" s="7">
        <f>SUM(R5:AC5)</f>
        <v>1927248.60086428</v>
      </c>
      <c r="BP5" s="7">
        <f>SUM(AD5:AO5)</f>
        <v>3683881.95018515</v>
      </c>
      <c r="BQ5" s="7">
        <f>SUM(AP5:BA5)</f>
        <v>5663952.77568019</v>
      </c>
      <c r="BR5" s="7">
        <f>SUM(BB5:BM5)</f>
        <v>8073839.79106982</v>
      </c>
    </row>
    <row r="6" outlineLevel="1" ht="18" customFormat="1" customHeight="1" s="8">
      <c r="A6" s="508" t="inlineStr">
        <is>
          <t>KPI</t>
        </is>
      </c>
      <c r="C6" s="10" t="inlineStr">
        <is>
          <t>顧問先</t>
        </is>
      </c>
      <c r="D6" s="11" t="n"/>
      <c r="E6" s="11" t="n"/>
      <c r="F6" s="13">
        <f>35*F17</f>
        <v>0.0</v>
      </c>
      <c r="G6" s="13">
        <f>35*G17</f>
        <v>70.0</v>
      </c>
      <c r="H6" s="13">
        <f>35*H17</f>
        <v>385.0</v>
      </c>
      <c r="I6" s="13">
        <f>35*I17</f>
        <v>700.0</v>
      </c>
      <c r="J6" s="13">
        <f>35*J17</f>
        <v>980.0</v>
      </c>
      <c r="K6" s="13">
        <f>35*K17</f>
        <v>1330.0</v>
      </c>
      <c r="L6" s="13">
        <f>35*L17</f>
        <v>1680.0</v>
      </c>
      <c r="M6" s="13">
        <f>35*M17</f>
        <v>2030.0</v>
      </c>
      <c r="N6" s="13">
        <f>35*N17</f>
        <v>2450.0</v>
      </c>
      <c r="O6" s="13">
        <f>35*O17</f>
        <v>2835.0</v>
      </c>
      <c r="P6" s="13">
        <f>35*P17</f>
        <v>3220.0</v>
      </c>
      <c r="Q6" s="13">
        <f>35*Q17</f>
        <v>3675.0</v>
      </c>
      <c r="R6" s="13">
        <f>35*R17</f>
        <v>4095.0</v>
      </c>
      <c r="S6" s="13">
        <f>35*S17</f>
        <v>4515.0</v>
      </c>
      <c r="T6" s="13">
        <f>35*T17</f>
        <v>5005.0</v>
      </c>
      <c r="U6" s="13">
        <f>35*U17</f>
        <v>5460.0</v>
      </c>
      <c r="V6" s="13">
        <f>35*V17</f>
        <v>5915.0</v>
      </c>
      <c r="W6" s="13">
        <f>35*W17</f>
        <v>6440.0</v>
      </c>
      <c r="X6" s="13">
        <f>35*X17</f>
        <v>6930.0</v>
      </c>
      <c r="Y6" s="13">
        <f>35*Y17</f>
        <v>7420.0</v>
      </c>
      <c r="Z6" s="13">
        <f>35*Z17</f>
        <v>7980.0</v>
      </c>
      <c r="AA6" s="13">
        <f>35*AA17</f>
        <v>8505.0</v>
      </c>
      <c r="AB6" s="13">
        <f>35*AB17</f>
        <v>9030.0</v>
      </c>
      <c r="AC6" s="13">
        <f>35*AC17</f>
        <v>9590.0</v>
      </c>
      <c r="AD6" s="13">
        <f>35*AD17</f>
        <v>10220.0</v>
      </c>
      <c r="AE6" s="13">
        <f>35*AE17</f>
        <v>10815.0</v>
      </c>
      <c r="AF6" s="13">
        <f>35*AF17</f>
        <v>11480.0</v>
      </c>
      <c r="AG6" s="13">
        <f>35*AG17</f>
        <v>12110.0</v>
      </c>
      <c r="AH6" s="13">
        <f>35*AH17</f>
        <v>12775.0</v>
      </c>
      <c r="AI6" s="13">
        <f>35*AI17</f>
        <v>13440.0</v>
      </c>
      <c r="AJ6" s="13">
        <f>35*AJ17</f>
        <v>14140.0</v>
      </c>
      <c r="AK6" s="13">
        <f>35*AK17</f>
        <v>14805.0</v>
      </c>
      <c r="AL6" s="13">
        <f>35*AL17</f>
        <v>15540.0</v>
      </c>
      <c r="AM6" s="13">
        <f>35*AM17</f>
        <v>16240.0</v>
      </c>
      <c r="AN6" s="13">
        <f>35*AN17</f>
        <v>16940.0</v>
      </c>
      <c r="AO6" s="13">
        <f>35*AO17</f>
        <v>17710.0</v>
      </c>
      <c r="AP6" s="13">
        <f>35*AP17</f>
        <v>18445.0</v>
      </c>
      <c r="AQ6" s="13">
        <f>35*AQ17</f>
        <v>19180.0</v>
      </c>
      <c r="AR6" s="13">
        <f>35*AR17</f>
        <v>19950.0</v>
      </c>
      <c r="AS6" s="13">
        <f>35*AS17</f>
        <v>20720.0</v>
      </c>
      <c r="AT6" s="13">
        <f>35*AT17</f>
        <v>21490.0</v>
      </c>
      <c r="AU6" s="13">
        <f>35*AU17</f>
        <v>22295.0</v>
      </c>
      <c r="AV6" s="13">
        <f>35*AV17</f>
        <v>23100.0</v>
      </c>
      <c r="AW6" s="13">
        <f>35*AW17</f>
        <v>23905.0</v>
      </c>
      <c r="AX6" s="13">
        <f>35*AX17</f>
        <v>24745.0</v>
      </c>
      <c r="AY6" s="13">
        <f>35*AY17</f>
        <v>25550.0</v>
      </c>
      <c r="AZ6" s="13">
        <f>35*AZ17</f>
        <v>26390.0</v>
      </c>
      <c r="BA6" s="13">
        <f>35*BA17</f>
        <v>27230.0</v>
      </c>
      <c r="BB6" s="13">
        <f>35*BB17</f>
        <v>28245.0</v>
      </c>
      <c r="BC6" s="13">
        <f>35*BC17</f>
        <v>29225.0</v>
      </c>
      <c r="BD6" s="13">
        <f>35*BD17</f>
        <v>30240.0</v>
      </c>
      <c r="BE6" s="13">
        <f>35*BE17</f>
        <v>31255.0</v>
      </c>
      <c r="BF6" s="13">
        <f>35*BF17</f>
        <v>32270.0</v>
      </c>
      <c r="BG6" s="13">
        <f>35*BG17</f>
        <v>33355.0</v>
      </c>
      <c r="BH6" s="13">
        <f>35*BH17</f>
        <v>34405.0</v>
      </c>
      <c r="BI6" s="13">
        <f>35*BI17</f>
        <v>35455.0</v>
      </c>
      <c r="BJ6" s="13">
        <f>35*BJ17</f>
        <v>36540.0</v>
      </c>
      <c r="BK6" s="13">
        <f>35*BK17</f>
        <v>37625.0</v>
      </c>
      <c r="BL6" s="13">
        <f>35*BL17</f>
        <v>38710.0</v>
      </c>
      <c r="BM6" s="13">
        <f>35*BM17</f>
        <v>39830.0</v>
      </c>
      <c r="BN6" s="110">
        <f>35*BN17</f>
        <v>3675.0</v>
      </c>
      <c r="BO6" s="13">
        <f>35*BO17</f>
        <v>9590.0</v>
      </c>
      <c r="BP6" s="13">
        <f>35*BP17</f>
        <v>17710.0</v>
      </c>
      <c r="BQ6" s="13">
        <f>35*BQ17</f>
        <v>27230.0</v>
      </c>
      <c r="BR6" s="13">
        <f>35*BR17</f>
        <v>39830.0</v>
      </c>
    </row>
    <row r="7" outlineLevel="1" ht="17" customFormat="1" customHeight="1" s="8">
      <c r="C7" s="12" t="inlineStr">
        <is>
          <t>役員報酬250万円以上割合</t>
        </is>
      </c>
      <c r="D7" s="11" t="n"/>
      <c r="E7" s="11" t="n"/>
      <c r="F7" s="509" t="n">
        <v>0.75</v>
      </c>
      <c r="G7" s="509" t="n">
        <v>0.75</v>
      </c>
      <c r="H7" s="509" t="n">
        <v>0.75</v>
      </c>
      <c r="I7" s="509" t="n">
        <v>0.75</v>
      </c>
      <c r="J7" s="509" t="n">
        <v>0.75</v>
      </c>
      <c r="K7" s="509" t="n">
        <v>0.75</v>
      </c>
      <c r="L7" s="509" t="n">
        <v>0.75</v>
      </c>
      <c r="M7" s="509" t="n">
        <v>0.75</v>
      </c>
      <c r="N7" s="509" t="n">
        <v>0.75</v>
      </c>
      <c r="O7" s="509" t="n">
        <v>0.75</v>
      </c>
      <c r="P7" s="509" t="n">
        <v>0.75</v>
      </c>
      <c r="Q7" s="509" t="n">
        <v>0.75</v>
      </c>
      <c r="R7" s="509" t="n">
        <v>0.75</v>
      </c>
      <c r="S7" s="509" t="n">
        <v>0.75</v>
      </c>
      <c r="T7" s="509" t="n">
        <v>0.75</v>
      </c>
      <c r="U7" s="509" t="n">
        <v>0.75</v>
      </c>
      <c r="V7" s="509" t="n">
        <v>0.75</v>
      </c>
      <c r="W7" s="509" t="n">
        <v>0.75</v>
      </c>
      <c r="X7" s="509" t="n">
        <v>0.75</v>
      </c>
      <c r="Y7" s="509" t="n">
        <v>0.75</v>
      </c>
      <c r="Z7" s="509" t="n">
        <v>0.75</v>
      </c>
      <c r="AA7" s="509" t="n">
        <v>0.75</v>
      </c>
      <c r="AB7" s="509" t="n">
        <v>0.75</v>
      </c>
      <c r="AC7" s="509" t="n">
        <v>0.75</v>
      </c>
      <c r="AD7" s="509" t="n">
        <v>0.75</v>
      </c>
      <c r="AE7" s="509" t="n">
        <v>0.75</v>
      </c>
      <c r="AF7" s="509" t="n">
        <v>0.75</v>
      </c>
      <c r="AG7" s="509" t="n">
        <v>0.75</v>
      </c>
      <c r="AH7" s="509" t="n">
        <v>0.75</v>
      </c>
      <c r="AI7" s="509" t="n">
        <v>0.75</v>
      </c>
      <c r="AJ7" s="509" t="n">
        <v>0.75</v>
      </c>
      <c r="AK7" s="509" t="n">
        <v>0.75</v>
      </c>
      <c r="AL7" s="509" t="n">
        <v>0.75</v>
      </c>
      <c r="AM7" s="509" t="n">
        <v>0.75</v>
      </c>
      <c r="AN7" s="509" t="n">
        <v>0.75</v>
      </c>
      <c r="AO7" s="509" t="n">
        <v>0.75</v>
      </c>
      <c r="AP7" s="509" t="n">
        <v>0.75</v>
      </c>
      <c r="AQ7" s="509" t="n">
        <v>0.75</v>
      </c>
      <c r="AR7" s="509" t="n">
        <v>0.75</v>
      </c>
      <c r="AS7" s="509" t="n">
        <v>0.75</v>
      </c>
      <c r="AT7" s="509" t="n">
        <v>0.75</v>
      </c>
      <c r="AU7" s="509" t="n">
        <v>0.75</v>
      </c>
      <c r="AV7" s="509" t="n">
        <v>0.75</v>
      </c>
      <c r="AW7" s="509" t="n">
        <v>0.75</v>
      </c>
      <c r="AX7" s="509" t="n">
        <v>0.75</v>
      </c>
      <c r="AY7" s="509" t="n">
        <v>0.75</v>
      </c>
      <c r="AZ7" s="509" t="n">
        <v>0.75</v>
      </c>
      <c r="BA7" s="509" t="n">
        <v>0.75</v>
      </c>
      <c r="BB7" s="509" t="n">
        <v>0.75</v>
      </c>
      <c r="BC7" s="509" t="n">
        <v>0.75</v>
      </c>
      <c r="BD7" s="509" t="n">
        <v>0.75</v>
      </c>
      <c r="BE7" s="509" t="n">
        <v>0.75</v>
      </c>
      <c r="BF7" s="509" t="n">
        <v>0.75</v>
      </c>
      <c r="BG7" s="509" t="n">
        <v>0.75</v>
      </c>
      <c r="BH7" s="509" t="n">
        <v>0.75</v>
      </c>
      <c r="BI7" s="509" t="n">
        <v>0.75</v>
      </c>
      <c r="BJ7" s="509" t="n">
        <v>0.75</v>
      </c>
      <c r="BK7" s="509" t="n">
        <v>0.75</v>
      </c>
      <c r="BL7" s="509" t="n">
        <v>0.75</v>
      </c>
      <c r="BM7" s="509" t="n">
        <v>0.75</v>
      </c>
      <c r="BN7" s="510" t="n">
        <v>0.75</v>
      </c>
      <c r="BO7" s="509" t="n">
        <v>0.75</v>
      </c>
      <c r="BP7" s="509" t="n">
        <v>0.75</v>
      </c>
      <c r="BQ7" s="509" t="n">
        <v>0.75</v>
      </c>
      <c r="BR7" s="509" t="n">
        <v>0.75</v>
      </c>
    </row>
    <row r="8" outlineLevel="1" ht="17" customFormat="1" customHeight="1" s="8">
      <c r="C8" s="12" t="inlineStr">
        <is>
          <t>出張・営業活動がある割アリ</t>
        </is>
      </c>
      <c r="D8" s="11" t="n"/>
      <c r="E8" s="11" t="n"/>
      <c r="F8" s="509" t="n">
        <v>0.7</v>
      </c>
      <c r="G8" s="509" t="n">
        <v>0.7</v>
      </c>
      <c r="H8" s="509" t="n">
        <v>0.7</v>
      </c>
      <c r="I8" s="509" t="n">
        <v>0.7</v>
      </c>
      <c r="J8" s="509" t="n">
        <v>0.7</v>
      </c>
      <c r="K8" s="509" t="n">
        <v>0.7</v>
      </c>
      <c r="L8" s="509" t="n">
        <v>0.7</v>
      </c>
      <c r="M8" s="509" t="n">
        <v>0.7</v>
      </c>
      <c r="N8" s="509" t="n">
        <v>0.7</v>
      </c>
      <c r="O8" s="509" t="n">
        <v>0.7</v>
      </c>
      <c r="P8" s="509" t="n">
        <v>0.7</v>
      </c>
      <c r="Q8" s="509" t="n">
        <v>0.7</v>
      </c>
      <c r="R8" s="509" t="n">
        <v>0.7</v>
      </c>
      <c r="S8" s="509" t="n">
        <v>0.7</v>
      </c>
      <c r="T8" s="509" t="n">
        <v>0.7</v>
      </c>
      <c r="U8" s="509" t="n">
        <v>0.7</v>
      </c>
      <c r="V8" s="509" t="n">
        <v>0.7</v>
      </c>
      <c r="W8" s="509" t="n">
        <v>0.7</v>
      </c>
      <c r="X8" s="509" t="n">
        <v>0.7</v>
      </c>
      <c r="Y8" s="509" t="n">
        <v>0.7</v>
      </c>
      <c r="Z8" s="509" t="n">
        <v>0.7</v>
      </c>
      <c r="AA8" s="509" t="n">
        <v>0.7</v>
      </c>
      <c r="AB8" s="509" t="n">
        <v>0.7</v>
      </c>
      <c r="AC8" s="509" t="n">
        <v>0.7</v>
      </c>
      <c r="AD8" s="509" t="n">
        <v>0.7</v>
      </c>
      <c r="AE8" s="509" t="n">
        <v>0.7</v>
      </c>
      <c r="AF8" s="509" t="n">
        <v>0.7</v>
      </c>
      <c r="AG8" s="509" t="n">
        <v>0.7</v>
      </c>
      <c r="AH8" s="509" t="n">
        <v>0.7</v>
      </c>
      <c r="AI8" s="509" t="n">
        <v>0.7</v>
      </c>
      <c r="AJ8" s="509" t="n">
        <v>0.7</v>
      </c>
      <c r="AK8" s="509" t="n">
        <v>0.7</v>
      </c>
      <c r="AL8" s="509" t="n">
        <v>0.7</v>
      </c>
      <c r="AM8" s="509" t="n">
        <v>0.7</v>
      </c>
      <c r="AN8" s="509" t="n">
        <v>0.7</v>
      </c>
      <c r="AO8" s="509" t="n">
        <v>0.7</v>
      </c>
      <c r="AP8" s="509" t="n">
        <v>0.7</v>
      </c>
      <c r="AQ8" s="509" t="n">
        <v>0.7</v>
      </c>
      <c r="AR8" s="509" t="n">
        <v>0.7</v>
      </c>
      <c r="AS8" s="509" t="n">
        <v>0.7</v>
      </c>
      <c r="AT8" s="509" t="n">
        <v>0.7</v>
      </c>
      <c r="AU8" s="509" t="n">
        <v>0.7</v>
      </c>
      <c r="AV8" s="509" t="n">
        <v>0.7</v>
      </c>
      <c r="AW8" s="509" t="n">
        <v>0.7</v>
      </c>
      <c r="AX8" s="509" t="n">
        <v>0.7</v>
      </c>
      <c r="AY8" s="509" t="n">
        <v>0.7</v>
      </c>
      <c r="AZ8" s="509" t="n">
        <v>0.7</v>
      </c>
      <c r="BA8" s="509" t="n">
        <v>0.7</v>
      </c>
      <c r="BB8" s="509" t="n">
        <v>0.7</v>
      </c>
      <c r="BC8" s="509" t="n">
        <v>0.7</v>
      </c>
      <c r="BD8" s="509" t="n">
        <v>0.7</v>
      </c>
      <c r="BE8" s="509" t="n">
        <v>0.7</v>
      </c>
      <c r="BF8" s="509" t="n">
        <v>0.7</v>
      </c>
      <c r="BG8" s="509" t="n">
        <v>0.7</v>
      </c>
      <c r="BH8" s="509" t="n">
        <v>0.7</v>
      </c>
      <c r="BI8" s="509" t="n">
        <v>0.7</v>
      </c>
      <c r="BJ8" s="509" t="n">
        <v>0.7</v>
      </c>
      <c r="BK8" s="509" t="n">
        <v>0.7</v>
      </c>
      <c r="BL8" s="509" t="n">
        <v>0.7</v>
      </c>
      <c r="BM8" s="509" t="n">
        <v>0.7</v>
      </c>
      <c r="BN8" s="510" t="n">
        <v>0.7</v>
      </c>
      <c r="BO8" s="509" t="n">
        <v>0.7</v>
      </c>
      <c r="BP8" s="509" t="n">
        <v>0.7</v>
      </c>
      <c r="BQ8" s="509" t="n">
        <v>0.7</v>
      </c>
      <c r="BR8" s="509" t="n">
        <v>0.7</v>
      </c>
    </row>
    <row r="9" outlineLevel="1" ht="17" customFormat="1" customHeight="1" s="8">
      <c r="C9" s="12" t="inlineStr">
        <is>
          <t>旅費規程が未整備</t>
        </is>
      </c>
      <c r="D9" s="11" t="n"/>
      <c r="E9" s="11" t="n"/>
      <c r="F9" s="509" t="n">
        <v>0.7</v>
      </c>
      <c r="G9" s="509" t="n">
        <v>0.7</v>
      </c>
      <c r="H9" s="509" t="n">
        <v>0.7</v>
      </c>
      <c r="I9" s="509" t="n">
        <v>0.7</v>
      </c>
      <c r="J9" s="509" t="n">
        <v>0.7</v>
      </c>
      <c r="K9" s="509" t="n">
        <v>0.7</v>
      </c>
      <c r="L9" s="509" t="n">
        <v>0.7</v>
      </c>
      <c r="M9" s="509" t="n">
        <v>0.7</v>
      </c>
      <c r="N9" s="509" t="n">
        <v>0.7</v>
      </c>
      <c r="O9" s="509" t="n">
        <v>0.7</v>
      </c>
      <c r="P9" s="509" t="n">
        <v>0.7</v>
      </c>
      <c r="Q9" s="509" t="n">
        <v>0.7</v>
      </c>
      <c r="R9" s="509" t="n">
        <v>0.7</v>
      </c>
      <c r="S9" s="509" t="n">
        <v>0.7</v>
      </c>
      <c r="T9" s="509" t="n">
        <v>0.7</v>
      </c>
      <c r="U9" s="509" t="n">
        <v>0.7</v>
      </c>
      <c r="V9" s="509" t="n">
        <v>0.7</v>
      </c>
      <c r="W9" s="509" t="n">
        <v>0.7</v>
      </c>
      <c r="X9" s="509" t="n">
        <v>0.7</v>
      </c>
      <c r="Y9" s="509" t="n">
        <v>0.7</v>
      </c>
      <c r="Z9" s="509" t="n">
        <v>0.7</v>
      </c>
      <c r="AA9" s="509" t="n">
        <v>0.7</v>
      </c>
      <c r="AB9" s="509" t="n">
        <v>0.7</v>
      </c>
      <c r="AC9" s="509" t="n">
        <v>0.7</v>
      </c>
      <c r="AD9" s="509" t="n">
        <v>0.7</v>
      </c>
      <c r="AE9" s="509" t="n">
        <v>0.7</v>
      </c>
      <c r="AF9" s="509" t="n">
        <v>0.7</v>
      </c>
      <c r="AG9" s="509" t="n">
        <v>0.7</v>
      </c>
      <c r="AH9" s="509" t="n">
        <v>0.7</v>
      </c>
      <c r="AI9" s="509" t="n">
        <v>0.7</v>
      </c>
      <c r="AJ9" s="509" t="n">
        <v>0.7</v>
      </c>
      <c r="AK9" s="509" t="n">
        <v>0.7</v>
      </c>
      <c r="AL9" s="509" t="n">
        <v>0.7</v>
      </c>
      <c r="AM9" s="509" t="n">
        <v>0.7</v>
      </c>
      <c r="AN9" s="509" t="n">
        <v>0.7</v>
      </c>
      <c r="AO9" s="509" t="n">
        <v>0.7</v>
      </c>
      <c r="AP9" s="509" t="n">
        <v>0.7</v>
      </c>
      <c r="AQ9" s="509" t="n">
        <v>0.7</v>
      </c>
      <c r="AR9" s="509" t="n">
        <v>0.7</v>
      </c>
      <c r="AS9" s="509" t="n">
        <v>0.7</v>
      </c>
      <c r="AT9" s="509" t="n">
        <v>0.7</v>
      </c>
      <c r="AU9" s="509" t="n">
        <v>0.7</v>
      </c>
      <c r="AV9" s="509" t="n">
        <v>0.7</v>
      </c>
      <c r="AW9" s="509" t="n">
        <v>0.7</v>
      </c>
      <c r="AX9" s="509" t="n">
        <v>0.7</v>
      </c>
      <c r="AY9" s="509" t="n">
        <v>0.7</v>
      </c>
      <c r="AZ9" s="509" t="n">
        <v>0.7</v>
      </c>
      <c r="BA9" s="509" t="n">
        <v>0.7</v>
      </c>
      <c r="BB9" s="509" t="n">
        <v>0.7</v>
      </c>
      <c r="BC9" s="509" t="n">
        <v>0.7</v>
      </c>
      <c r="BD9" s="509" t="n">
        <v>0.7</v>
      </c>
      <c r="BE9" s="509" t="n">
        <v>0.7</v>
      </c>
      <c r="BF9" s="509" t="n">
        <v>0.7</v>
      </c>
      <c r="BG9" s="509" t="n">
        <v>0.7</v>
      </c>
      <c r="BH9" s="509" t="n">
        <v>0.7</v>
      </c>
      <c r="BI9" s="509" t="n">
        <v>0.7</v>
      </c>
      <c r="BJ9" s="509" t="n">
        <v>0.7</v>
      </c>
      <c r="BK9" s="509" t="n">
        <v>0.7</v>
      </c>
      <c r="BL9" s="509" t="n">
        <v>0.7</v>
      </c>
      <c r="BM9" s="509" t="n">
        <v>0.7</v>
      </c>
      <c r="BN9" s="510" t="n">
        <v>0.7</v>
      </c>
      <c r="BO9" s="509" t="n">
        <v>0.7</v>
      </c>
      <c r="BP9" s="509" t="n">
        <v>0.7</v>
      </c>
      <c r="BQ9" s="509" t="n">
        <v>0.7</v>
      </c>
      <c r="BR9" s="509" t="n">
        <v>0.7</v>
      </c>
    </row>
    <row r="10" outlineLevel="1" ht="17" customFormat="1" customHeight="1" s="8">
      <c r="C10" s="12" t="inlineStr">
        <is>
          <t>税理士 ➡ 企業提案</t>
        </is>
      </c>
      <c r="D10" s="11" t="n"/>
      <c r="E10" s="11" t="n"/>
      <c r="F10" s="509" t="n">
        <v>0.6</v>
      </c>
      <c r="G10" s="509" t="n">
        <v>0.6</v>
      </c>
      <c r="H10" s="509" t="n">
        <v>0.6</v>
      </c>
      <c r="I10" s="509" t="n">
        <v>0.6</v>
      </c>
      <c r="J10" s="509" t="n">
        <v>0.6</v>
      </c>
      <c r="K10" s="509" t="n">
        <v>0.6</v>
      </c>
      <c r="L10" s="509" t="n">
        <v>0.6</v>
      </c>
      <c r="M10" s="509" t="n">
        <v>0.6</v>
      </c>
      <c r="N10" s="509" t="n">
        <v>0.6</v>
      </c>
      <c r="O10" s="509" t="n">
        <v>0.6</v>
      </c>
      <c r="P10" s="509" t="n">
        <v>0.6</v>
      </c>
      <c r="Q10" s="509" t="n">
        <v>0.6</v>
      </c>
      <c r="R10" s="509" t="n">
        <v>0.6</v>
      </c>
      <c r="S10" s="509" t="n">
        <v>0.6</v>
      </c>
      <c r="T10" s="509" t="n">
        <v>0.6</v>
      </c>
      <c r="U10" s="509" t="n">
        <v>0.6</v>
      </c>
      <c r="V10" s="509" t="n">
        <v>0.6</v>
      </c>
      <c r="W10" s="509" t="n">
        <v>0.6</v>
      </c>
      <c r="X10" s="509" t="n">
        <v>0.6</v>
      </c>
      <c r="Y10" s="509" t="n">
        <v>0.6</v>
      </c>
      <c r="Z10" s="509" t="n">
        <v>0.6</v>
      </c>
      <c r="AA10" s="509" t="n">
        <v>0.6</v>
      </c>
      <c r="AB10" s="509" t="n">
        <v>0.6</v>
      </c>
      <c r="AC10" s="509" t="n">
        <v>0.6</v>
      </c>
      <c r="AD10" s="509" t="n">
        <v>0.6</v>
      </c>
      <c r="AE10" s="509" t="n">
        <v>0.6</v>
      </c>
      <c r="AF10" s="509" t="n">
        <v>0.6</v>
      </c>
      <c r="AG10" s="509" t="n">
        <v>0.6</v>
      </c>
      <c r="AH10" s="509" t="n">
        <v>0.6</v>
      </c>
      <c r="AI10" s="509" t="n">
        <v>0.6</v>
      </c>
      <c r="AJ10" s="509" t="n">
        <v>0.6</v>
      </c>
      <c r="AK10" s="509" t="n">
        <v>0.6</v>
      </c>
      <c r="AL10" s="509" t="n">
        <v>0.6</v>
      </c>
      <c r="AM10" s="509" t="n">
        <v>0.6</v>
      </c>
      <c r="AN10" s="509" t="n">
        <v>0.6</v>
      </c>
      <c r="AO10" s="509" t="n">
        <v>0.6</v>
      </c>
      <c r="AP10" s="509" t="n">
        <v>0.6</v>
      </c>
      <c r="AQ10" s="509" t="n">
        <v>0.6</v>
      </c>
      <c r="AR10" s="509" t="n">
        <v>0.6</v>
      </c>
      <c r="AS10" s="509" t="n">
        <v>0.6</v>
      </c>
      <c r="AT10" s="509" t="n">
        <v>0.6</v>
      </c>
      <c r="AU10" s="509" t="n">
        <v>0.6</v>
      </c>
      <c r="AV10" s="509" t="n">
        <v>0.6</v>
      </c>
      <c r="AW10" s="509" t="n">
        <v>0.6</v>
      </c>
      <c r="AX10" s="509" t="n">
        <v>0.6</v>
      </c>
      <c r="AY10" s="509" t="n">
        <v>0.6</v>
      </c>
      <c r="AZ10" s="509" t="n">
        <v>0.6</v>
      </c>
      <c r="BA10" s="509" t="n">
        <v>0.6</v>
      </c>
      <c r="BB10" s="509" t="n">
        <v>0.6</v>
      </c>
      <c r="BC10" s="509" t="n">
        <v>0.6</v>
      </c>
      <c r="BD10" s="509" t="n">
        <v>0.6</v>
      </c>
      <c r="BE10" s="509" t="n">
        <v>0.6</v>
      </c>
      <c r="BF10" s="509" t="n">
        <v>0.6</v>
      </c>
      <c r="BG10" s="509" t="n">
        <v>0.6</v>
      </c>
      <c r="BH10" s="509" t="n">
        <v>0.6</v>
      </c>
      <c r="BI10" s="509" t="n">
        <v>0.6</v>
      </c>
      <c r="BJ10" s="509" t="n">
        <v>0.6</v>
      </c>
      <c r="BK10" s="509" t="n">
        <v>0.6</v>
      </c>
      <c r="BL10" s="509" t="n">
        <v>0.6</v>
      </c>
      <c r="BM10" s="509" t="n">
        <v>0.6</v>
      </c>
      <c r="BN10" s="510" t="n">
        <v>0.6</v>
      </c>
      <c r="BO10" s="509" t="n">
        <v>0.6</v>
      </c>
      <c r="BP10" s="509" t="n">
        <v>0.6</v>
      </c>
      <c r="BQ10" s="509" t="n">
        <v>0.6</v>
      </c>
      <c r="BR10" s="509" t="n">
        <v>0.6</v>
      </c>
    </row>
    <row r="11" outlineLevel="1" ht="18" customFormat="1" customHeight="1" s="8">
      <c r="A11" s="508" t="inlineStr">
        <is>
          <t>KPI</t>
        </is>
      </c>
      <c r="C11" s="10" t="inlineStr">
        <is>
          <t>受注率</t>
        </is>
      </c>
      <c r="D11" s="11" t="n"/>
      <c r="E11" s="11" t="n"/>
      <c r="F11" s="511" t="n">
        <v>0.25</v>
      </c>
      <c r="G11" s="511" t="n">
        <v>0.25</v>
      </c>
      <c r="H11" s="511" t="n">
        <v>0.25</v>
      </c>
      <c r="I11" s="511" t="n">
        <v>0.25</v>
      </c>
      <c r="J11" s="511" t="n">
        <v>0.25</v>
      </c>
      <c r="K11" s="511" t="n">
        <v>0.25</v>
      </c>
      <c r="L11" s="511" t="n">
        <v>0.25</v>
      </c>
      <c r="M11" s="511" t="n">
        <v>0.25</v>
      </c>
      <c r="N11" s="511" t="n">
        <v>0.25</v>
      </c>
      <c r="O11" s="511" t="n">
        <v>0.25</v>
      </c>
      <c r="P11" s="511" t="n">
        <v>0.25</v>
      </c>
      <c r="Q11" s="511" t="n">
        <v>0.25</v>
      </c>
      <c r="R11" s="511" t="n">
        <v>0.25</v>
      </c>
      <c r="S11" s="511" t="n">
        <v>0.25</v>
      </c>
      <c r="T11" s="511" t="n">
        <v>0.25</v>
      </c>
      <c r="U11" s="511" t="n">
        <v>0.25</v>
      </c>
      <c r="V11" s="511" t="n">
        <v>0.25</v>
      </c>
      <c r="W11" s="511" t="n">
        <v>0.25</v>
      </c>
      <c r="X11" s="511" t="n">
        <v>0.25</v>
      </c>
      <c r="Y11" s="511" t="n">
        <v>0.25</v>
      </c>
      <c r="Z11" s="511" t="n">
        <v>0.25</v>
      </c>
      <c r="AA11" s="511" t="n">
        <v>0.25</v>
      </c>
      <c r="AB11" s="511" t="n">
        <v>0.25</v>
      </c>
      <c r="AC11" s="511" t="n">
        <v>0.25</v>
      </c>
      <c r="AD11" s="511" t="n">
        <v>0.25</v>
      </c>
      <c r="AE11" s="511" t="n">
        <v>0.25</v>
      </c>
      <c r="AF11" s="511" t="n">
        <v>0.25</v>
      </c>
      <c r="AG11" s="511" t="n">
        <v>0.25</v>
      </c>
      <c r="AH11" s="511" t="n">
        <v>0.25</v>
      </c>
      <c r="AI11" s="511" t="n">
        <v>0.25</v>
      </c>
      <c r="AJ11" s="511" t="n">
        <v>0.25</v>
      </c>
      <c r="AK11" s="511" t="n">
        <v>0.25</v>
      </c>
      <c r="AL11" s="511" t="n">
        <v>0.25</v>
      </c>
      <c r="AM11" s="511" t="n">
        <v>0.25</v>
      </c>
      <c r="AN11" s="511" t="n">
        <v>0.25</v>
      </c>
      <c r="AO11" s="511" t="n">
        <v>0.25</v>
      </c>
      <c r="AP11" s="511" t="n">
        <v>0.25</v>
      </c>
      <c r="AQ11" s="511" t="n">
        <v>0.25</v>
      </c>
      <c r="AR11" s="511" t="n">
        <v>0.25</v>
      </c>
      <c r="AS11" s="511" t="n">
        <v>0.25</v>
      </c>
      <c r="AT11" s="511" t="n">
        <v>0.25</v>
      </c>
      <c r="AU11" s="511" t="n">
        <v>0.25</v>
      </c>
      <c r="AV11" s="511" t="n">
        <v>0.25</v>
      </c>
      <c r="AW11" s="511" t="n">
        <v>0.25</v>
      </c>
      <c r="AX11" s="511" t="n">
        <v>0.25</v>
      </c>
      <c r="AY11" s="511" t="n">
        <v>0.25</v>
      </c>
      <c r="AZ11" s="511" t="n">
        <v>0.25</v>
      </c>
      <c r="BA11" s="511" t="n">
        <v>0.25</v>
      </c>
      <c r="BB11" s="511" t="n">
        <v>0.25</v>
      </c>
      <c r="BC11" s="511" t="n">
        <v>0.25</v>
      </c>
      <c r="BD11" s="511" t="n">
        <v>0.25</v>
      </c>
      <c r="BE11" s="511" t="n">
        <v>0.25</v>
      </c>
      <c r="BF11" s="511" t="n">
        <v>0.25</v>
      </c>
      <c r="BG11" s="511" t="n">
        <v>0.25</v>
      </c>
      <c r="BH11" s="511" t="n">
        <v>0.25</v>
      </c>
      <c r="BI11" s="511" t="n">
        <v>0.25</v>
      </c>
      <c r="BJ11" s="511" t="n">
        <v>0.25</v>
      </c>
      <c r="BK11" s="511" t="n">
        <v>0.25</v>
      </c>
      <c r="BL11" s="511" t="n">
        <v>0.25</v>
      </c>
      <c r="BM11" s="511" t="n">
        <v>0.25</v>
      </c>
      <c r="BN11" s="512" t="n">
        <v>0.25</v>
      </c>
      <c r="BO11" s="511" t="n">
        <v>0.25</v>
      </c>
      <c r="BP11" s="511" t="n">
        <v>0.25</v>
      </c>
      <c r="BQ11" s="511" t="n">
        <v>0.25</v>
      </c>
      <c r="BR11" s="511" t="n">
        <v>0.25</v>
      </c>
    </row>
    <row r="12" outlineLevel="1" ht="18" customFormat="1" customHeight="1" s="8">
      <c r="A12" s="508" t="inlineStr">
        <is>
          <t>KPI</t>
        </is>
      </c>
      <c r="C12" s="16" t="inlineStr">
        <is>
          <t>１税理士 / 受注数（累計獲得数・解約前）</t>
        </is>
      </c>
      <c r="D12" s="11" t="n"/>
      <c r="E12" s="11" t="n"/>
      <c r="F12" s="17">
        <f>PRODUCT(F6:F11)</f>
        <v>0.0</v>
      </c>
      <c r="G12" s="17">
        <f>PRODUCT(G6:G11)</f>
        <v>3.85875</v>
      </c>
      <c r="H12" s="17">
        <f>PRODUCT(H6:H11)</f>
        <v>21.223125</v>
      </c>
      <c r="I12" s="17">
        <f>PRODUCT(I6:I11)</f>
        <v>38.5875</v>
      </c>
      <c r="J12" s="17">
        <f>PRODUCT(J6:J11)</f>
        <v>54.0225</v>
      </c>
      <c r="K12" s="17">
        <f>PRODUCT(K6:K11)</f>
        <v>73.31625</v>
      </c>
      <c r="L12" s="17">
        <f>PRODUCT(L6:L11)</f>
        <v>92.61</v>
      </c>
      <c r="M12" s="17">
        <f>PRODUCT(M6:M11)</f>
        <v>111.90375</v>
      </c>
      <c r="N12" s="17">
        <f>PRODUCT(N6:N11)</f>
        <v>135.05625</v>
      </c>
      <c r="O12" s="17">
        <f>PRODUCT(O6:O11)</f>
        <v>156.279375</v>
      </c>
      <c r="P12" s="17">
        <f>PRODUCT(P6:P11)</f>
        <v>177.5025</v>
      </c>
      <c r="Q12" s="17">
        <f>PRODUCT(Q6:Q11)</f>
        <v>202.584375</v>
      </c>
      <c r="R12" s="17">
        <f>PRODUCT(R6:R11)</f>
        <v>225.736875</v>
      </c>
      <c r="S12" s="17">
        <f>PRODUCT(S6:S11)</f>
        <v>248.889375</v>
      </c>
      <c r="T12" s="17">
        <f>PRODUCT(T6:T11)</f>
        <v>275.900625</v>
      </c>
      <c r="U12" s="17">
        <f>PRODUCT(U6:U11)</f>
        <v>300.9825</v>
      </c>
      <c r="V12" s="17">
        <f>PRODUCT(V6:V11)</f>
        <v>326.064375</v>
      </c>
      <c r="W12" s="17">
        <f>PRODUCT(W6:W11)</f>
        <v>355.005</v>
      </c>
      <c r="X12" s="17">
        <f>PRODUCT(X6:X11)</f>
        <v>382.01625</v>
      </c>
      <c r="Y12" s="17">
        <f>PRODUCT(Y6:Y11)</f>
        <v>409.0275</v>
      </c>
      <c r="Z12" s="17">
        <f>PRODUCT(Z6:Z11)</f>
        <v>439.8975</v>
      </c>
      <c r="AA12" s="17">
        <f>PRODUCT(AA6:AA11)</f>
        <v>468.838125</v>
      </c>
      <c r="AB12" s="17">
        <f>PRODUCT(AB6:AB11)</f>
        <v>497.77875</v>
      </c>
      <c r="AC12" s="17">
        <f>PRODUCT(AC6:AC11)</f>
        <v>528.64875</v>
      </c>
      <c r="AD12" s="17">
        <f>PRODUCT(AD6:AD11)</f>
        <v>563.3775</v>
      </c>
      <c r="AE12" s="17">
        <f>PRODUCT(AE6:AE11)</f>
        <v>596.176875</v>
      </c>
      <c r="AF12" s="17">
        <f>PRODUCT(AF6:AF11)</f>
        <v>632.835</v>
      </c>
      <c r="AG12" s="17">
        <f>PRODUCT(AG6:AG11)</f>
        <v>667.56375</v>
      </c>
      <c r="AH12" s="17">
        <f>PRODUCT(AH6:AH11)</f>
        <v>704.221875</v>
      </c>
      <c r="AI12" s="17">
        <f>PRODUCT(AI6:AI11)</f>
        <v>740.88</v>
      </c>
      <c r="AJ12" s="17">
        <f>PRODUCT(AJ6:AJ11)</f>
        <v>779.4675</v>
      </c>
      <c r="AK12" s="17">
        <f>PRODUCT(AK6:AK11)</f>
        <v>816.125625</v>
      </c>
      <c r="AL12" s="17">
        <f>PRODUCT(AL6:AL11)</f>
        <v>856.6425</v>
      </c>
      <c r="AM12" s="17">
        <f>PRODUCT(AM6:AM11)</f>
        <v>895.23</v>
      </c>
      <c r="AN12" s="17">
        <f>PRODUCT(AN6:AN11)</f>
        <v>933.8175</v>
      </c>
      <c r="AO12" s="17">
        <f>PRODUCT(AO6:AO11)</f>
        <v>976.26375</v>
      </c>
      <c r="AP12" s="17">
        <f>PRODUCT(AP6:AP11)</f>
        <v>1016.780625</v>
      </c>
      <c r="AQ12" s="17">
        <f>PRODUCT(AQ6:AQ11)</f>
        <v>1057.2975</v>
      </c>
      <c r="AR12" s="17">
        <f>PRODUCT(AR6:AR11)</f>
        <v>1099.74375</v>
      </c>
      <c r="AS12" s="17">
        <f>PRODUCT(AS6:AS11)</f>
        <v>1142.19</v>
      </c>
      <c r="AT12" s="17">
        <f>PRODUCT(AT6:AT11)</f>
        <v>1184.63625</v>
      </c>
      <c r="AU12" s="17">
        <f>PRODUCT(AU6:AU11)</f>
        <v>1229.011875</v>
      </c>
      <c r="AV12" s="17">
        <f>PRODUCT(AV6:AV11)</f>
        <v>1273.3875</v>
      </c>
      <c r="AW12" s="17">
        <f>PRODUCT(AW6:AW11)</f>
        <v>1317.763125</v>
      </c>
      <c r="AX12" s="17">
        <f>PRODUCT(AX6:AX11)</f>
        <v>1364.068125</v>
      </c>
      <c r="AY12" s="17">
        <f>PRODUCT(AY6:AY11)</f>
        <v>1408.44375</v>
      </c>
      <c r="AZ12" s="17">
        <f>PRODUCT(AZ6:AZ11)</f>
        <v>1454.74875</v>
      </c>
      <c r="BA12" s="17">
        <f>PRODUCT(BA6:BA11)</f>
        <v>1501.05375</v>
      </c>
      <c r="BB12" s="17">
        <f>PRODUCT(BB6:BB11)</f>
        <v>1557.005625</v>
      </c>
      <c r="BC12" s="17">
        <f>PRODUCT(BC6:BC11)</f>
        <v>1611.028125</v>
      </c>
      <c r="BD12" s="17">
        <f>PRODUCT(BD6:BD11)</f>
        <v>1666.98</v>
      </c>
      <c r="BE12" s="17">
        <f>PRODUCT(BE6:BE11)</f>
        <v>1722.931875</v>
      </c>
      <c r="BF12" s="17">
        <f>PRODUCT(BF6:BF11)</f>
        <v>1778.88375</v>
      </c>
      <c r="BG12" s="17">
        <f>PRODUCT(BG6:BG11)</f>
        <v>1838.694375</v>
      </c>
      <c r="BH12" s="17">
        <f>PRODUCT(BH6:BH11)</f>
        <v>1896.575625</v>
      </c>
      <c r="BI12" s="17">
        <f>PRODUCT(BI6:BI11)</f>
        <v>1954.456875</v>
      </c>
      <c r="BJ12" s="17">
        <f>PRODUCT(BJ6:BJ11)</f>
        <v>2014.2675</v>
      </c>
      <c r="BK12" s="17">
        <f>PRODUCT(BK6:BK11)</f>
        <v>2074.078125</v>
      </c>
      <c r="BL12" s="17">
        <f>PRODUCT(BL6:BL11)</f>
        <v>2133.88875</v>
      </c>
      <c r="BM12" s="17">
        <f>PRODUCT(BM6:BM11)</f>
        <v>2195.62875</v>
      </c>
      <c r="BN12" s="35">
        <f>PRODUCT(BN6:BN11)</f>
        <v>202.584375</v>
      </c>
      <c r="BO12" s="17">
        <f>PRODUCT(BO6:BO11)</f>
        <v>528.64875</v>
      </c>
      <c r="BP12" s="17">
        <f>PRODUCT(BP6:BP11)</f>
        <v>976.26375</v>
      </c>
      <c r="BQ12" s="17">
        <f>PRODUCT(BQ6:BQ11)</f>
        <v>1501.05375</v>
      </c>
      <c r="BR12" s="17">
        <f>PRODUCT(BR6:BR11)</f>
        <v>2195.62875</v>
      </c>
    </row>
    <row r="13" outlineLevel="1" ht="17" customFormat="1" customHeight="1" s="8">
      <c r="C13" s="12" t="inlineStr">
        <is>
          <t>ビジとり 税理士（月/社）</t>
        </is>
      </c>
      <c r="D13" s="11" t="n"/>
      <c r="E13" s="11" t="n"/>
      <c r="F13" s="513" t="n">
        <v>2500</v>
      </c>
      <c r="G13" s="513" t="n">
        <v>2500</v>
      </c>
      <c r="H13" s="513" t="n">
        <v>2500</v>
      </c>
      <c r="I13" s="513" t="n">
        <v>2500</v>
      </c>
      <c r="J13" s="513" t="n">
        <v>2500</v>
      </c>
      <c r="K13" s="513" t="n">
        <v>2500</v>
      </c>
      <c r="L13" s="513" t="n">
        <v>2500</v>
      </c>
      <c r="M13" s="513" t="n">
        <v>2500</v>
      </c>
      <c r="N13" s="513" t="n">
        <v>2500</v>
      </c>
      <c r="O13" s="513" t="n">
        <v>2500</v>
      </c>
      <c r="P13" s="513" t="n">
        <v>2500</v>
      </c>
      <c r="Q13" s="513" t="n">
        <v>2500</v>
      </c>
      <c r="R13" s="513" t="n">
        <v>2500</v>
      </c>
      <c r="S13" s="513" t="n">
        <v>2500</v>
      </c>
      <c r="T13" s="513" t="n">
        <v>2500</v>
      </c>
      <c r="U13" s="513" t="n">
        <v>2500</v>
      </c>
      <c r="V13" s="513" t="n">
        <v>2500</v>
      </c>
      <c r="W13" s="513" t="n">
        <v>2500</v>
      </c>
      <c r="X13" s="513" t="n">
        <v>2500</v>
      </c>
      <c r="Y13" s="513" t="n">
        <v>2500</v>
      </c>
      <c r="Z13" s="513" t="n">
        <v>2500</v>
      </c>
      <c r="AA13" s="513" t="n">
        <v>2500</v>
      </c>
      <c r="AB13" s="513" t="n">
        <v>2500</v>
      </c>
      <c r="AC13" s="513" t="n">
        <v>2500</v>
      </c>
      <c r="AD13" s="513" t="n">
        <v>2500</v>
      </c>
      <c r="AE13" s="513" t="n">
        <v>2500</v>
      </c>
      <c r="AF13" s="513" t="n">
        <v>2500</v>
      </c>
      <c r="AG13" s="513" t="n">
        <v>2500</v>
      </c>
      <c r="AH13" s="513" t="n">
        <v>2500</v>
      </c>
      <c r="AI13" s="513" t="n">
        <v>2500</v>
      </c>
      <c r="AJ13" s="513" t="n">
        <v>2500</v>
      </c>
      <c r="AK13" s="513" t="n">
        <v>2500</v>
      </c>
      <c r="AL13" s="513" t="n">
        <v>2500</v>
      </c>
      <c r="AM13" s="513" t="n">
        <v>2500</v>
      </c>
      <c r="AN13" s="513" t="n">
        <v>2500</v>
      </c>
      <c r="AO13" s="513" t="n">
        <v>2500</v>
      </c>
      <c r="AP13" s="513" t="n">
        <v>2500</v>
      </c>
      <c r="AQ13" s="513" t="n">
        <v>2500</v>
      </c>
      <c r="AR13" s="513" t="n">
        <v>2500</v>
      </c>
      <c r="AS13" s="513" t="n">
        <v>2500</v>
      </c>
      <c r="AT13" s="513" t="n">
        <v>2500</v>
      </c>
      <c r="AU13" s="513" t="n">
        <v>2500</v>
      </c>
      <c r="AV13" s="513" t="n">
        <v>2500</v>
      </c>
      <c r="AW13" s="513" t="n">
        <v>2500</v>
      </c>
      <c r="AX13" s="513" t="n">
        <v>2500</v>
      </c>
      <c r="AY13" s="513" t="n">
        <v>2500</v>
      </c>
      <c r="AZ13" s="513" t="n">
        <v>2500</v>
      </c>
      <c r="BA13" s="513" t="n">
        <v>2500</v>
      </c>
      <c r="BB13" s="513" t="n">
        <v>2500</v>
      </c>
      <c r="BC13" s="513" t="n">
        <v>2500</v>
      </c>
      <c r="BD13" s="513" t="n">
        <v>2500</v>
      </c>
      <c r="BE13" s="513" t="n">
        <v>2500</v>
      </c>
      <c r="BF13" s="513" t="n">
        <v>2500</v>
      </c>
      <c r="BG13" s="513" t="n">
        <v>2500</v>
      </c>
      <c r="BH13" s="513" t="n">
        <v>2500</v>
      </c>
      <c r="BI13" s="513" t="n">
        <v>2500</v>
      </c>
      <c r="BJ13" s="513" t="n">
        <v>2500</v>
      </c>
      <c r="BK13" s="513" t="n">
        <v>2500</v>
      </c>
      <c r="BL13" s="513" t="n">
        <v>2500</v>
      </c>
      <c r="BM13" s="513" t="n">
        <v>2500</v>
      </c>
      <c r="BN13" s="514" t="n">
        <v>2500</v>
      </c>
      <c r="BO13" s="513" t="n">
        <v>2500</v>
      </c>
      <c r="BP13" s="513" t="n">
        <v>2500</v>
      </c>
      <c r="BQ13" s="513" t="n">
        <v>2500</v>
      </c>
      <c r="BR13" s="513" t="n">
        <v>2500</v>
      </c>
    </row>
    <row r="14" outlineLevel="1" ht="17" customFormat="1" customHeight="1" s="8">
      <c r="C14" s="12" t="inlineStr">
        <is>
          <t>ビジとり Taxel（月/社）</t>
        </is>
      </c>
      <c r="D14" s="11" t="n"/>
      <c r="E14" s="11" t="n"/>
      <c r="F14" s="513" t="n">
        <v>500</v>
      </c>
      <c r="G14" s="513" t="n">
        <v>500</v>
      </c>
      <c r="H14" s="513" t="n">
        <v>500</v>
      </c>
      <c r="I14" s="513" t="n">
        <v>500</v>
      </c>
      <c r="J14" s="513" t="n">
        <v>500</v>
      </c>
      <c r="K14" s="513" t="n">
        <v>500</v>
      </c>
      <c r="L14" s="513" t="n">
        <v>500</v>
      </c>
      <c r="M14" s="513" t="n">
        <v>500</v>
      </c>
      <c r="N14" s="513" t="n">
        <v>500</v>
      </c>
      <c r="O14" s="513" t="n">
        <v>500</v>
      </c>
      <c r="P14" s="513" t="n">
        <v>500</v>
      </c>
      <c r="Q14" s="513" t="n">
        <v>500</v>
      </c>
      <c r="R14" s="513" t="n">
        <v>500</v>
      </c>
      <c r="S14" s="513" t="n">
        <v>500</v>
      </c>
      <c r="T14" s="513" t="n">
        <v>500</v>
      </c>
      <c r="U14" s="513" t="n">
        <v>500</v>
      </c>
      <c r="V14" s="513" t="n">
        <v>500</v>
      </c>
      <c r="W14" s="513" t="n">
        <v>500</v>
      </c>
      <c r="X14" s="513" t="n">
        <v>500</v>
      </c>
      <c r="Y14" s="513" t="n">
        <v>500</v>
      </c>
      <c r="Z14" s="513" t="n">
        <v>500</v>
      </c>
      <c r="AA14" s="513" t="n">
        <v>500</v>
      </c>
      <c r="AB14" s="513" t="n">
        <v>500</v>
      </c>
      <c r="AC14" s="513" t="n">
        <v>500</v>
      </c>
      <c r="AD14" s="513" t="n">
        <v>500</v>
      </c>
      <c r="AE14" s="513" t="n">
        <v>500</v>
      </c>
      <c r="AF14" s="513" t="n">
        <v>500</v>
      </c>
      <c r="AG14" s="513" t="n">
        <v>500</v>
      </c>
      <c r="AH14" s="513" t="n">
        <v>500</v>
      </c>
      <c r="AI14" s="513" t="n">
        <v>500</v>
      </c>
      <c r="AJ14" s="513" t="n">
        <v>500</v>
      </c>
      <c r="AK14" s="513" t="n">
        <v>500</v>
      </c>
      <c r="AL14" s="513" t="n">
        <v>500</v>
      </c>
      <c r="AM14" s="513" t="n">
        <v>500</v>
      </c>
      <c r="AN14" s="513" t="n">
        <v>500</v>
      </c>
      <c r="AO14" s="513" t="n">
        <v>500</v>
      </c>
      <c r="AP14" s="513" t="n">
        <v>500</v>
      </c>
      <c r="AQ14" s="513" t="n">
        <v>500</v>
      </c>
      <c r="AR14" s="513" t="n">
        <v>500</v>
      </c>
      <c r="AS14" s="513" t="n">
        <v>500</v>
      </c>
      <c r="AT14" s="513" t="n">
        <v>500</v>
      </c>
      <c r="AU14" s="513" t="n">
        <v>500</v>
      </c>
      <c r="AV14" s="513" t="n">
        <v>500</v>
      </c>
      <c r="AW14" s="513" t="n">
        <v>500</v>
      </c>
      <c r="AX14" s="513" t="n">
        <v>500</v>
      </c>
      <c r="AY14" s="513" t="n">
        <v>500</v>
      </c>
      <c r="AZ14" s="513" t="n">
        <v>500</v>
      </c>
      <c r="BA14" s="513" t="n">
        <v>500</v>
      </c>
      <c r="BB14" s="513" t="n">
        <v>500</v>
      </c>
      <c r="BC14" s="513" t="n">
        <v>500</v>
      </c>
      <c r="BD14" s="513" t="n">
        <v>500</v>
      </c>
      <c r="BE14" s="513" t="n">
        <v>500</v>
      </c>
      <c r="BF14" s="513" t="n">
        <v>500</v>
      </c>
      <c r="BG14" s="513" t="n">
        <v>500</v>
      </c>
      <c r="BH14" s="513" t="n">
        <v>500</v>
      </c>
      <c r="BI14" s="513" t="n">
        <v>500</v>
      </c>
      <c r="BJ14" s="513" t="n">
        <v>500</v>
      </c>
      <c r="BK14" s="513" t="n">
        <v>500</v>
      </c>
      <c r="BL14" s="513" t="n">
        <v>500</v>
      </c>
      <c r="BM14" s="513" t="n">
        <v>500</v>
      </c>
      <c r="BN14" s="514" t="n">
        <v>500</v>
      </c>
      <c r="BO14" s="513" t="n">
        <v>500</v>
      </c>
      <c r="BP14" s="513" t="n">
        <v>500</v>
      </c>
      <c r="BQ14" s="513" t="n">
        <v>500</v>
      </c>
      <c r="BR14" s="513" t="n">
        <v>500</v>
      </c>
    </row>
    <row r="15" outlineLevel="1" ht="17" customFormat="1" customHeight="1" s="8">
      <c r="C15" s="12" t="inlineStr">
        <is>
          <t>ビジとり 定常浸透率（対象社数に対して）</t>
        </is>
      </c>
      <c r="D15" s="11" t="n"/>
      <c r="E15" s="11" t="n"/>
      <c r="F15" s="509" t="n">
        <v>0.7</v>
      </c>
      <c r="G15" s="509" t="n">
        <v>0.7</v>
      </c>
      <c r="H15" s="509" t="n">
        <v>0.7</v>
      </c>
      <c r="I15" s="509" t="n">
        <v>0.7</v>
      </c>
      <c r="J15" s="509" t="n">
        <v>0.7</v>
      </c>
      <c r="K15" s="509" t="n">
        <v>0.7</v>
      </c>
      <c r="L15" s="509" t="n">
        <v>0.7</v>
      </c>
      <c r="M15" s="509" t="n">
        <v>0.7</v>
      </c>
      <c r="N15" s="509" t="n">
        <v>0.7</v>
      </c>
      <c r="O15" s="509" t="n">
        <v>0.7</v>
      </c>
      <c r="P15" s="509" t="n">
        <v>0.7</v>
      </c>
      <c r="Q15" s="509" t="n">
        <v>0.7</v>
      </c>
      <c r="R15" s="509" t="n">
        <v>0.7</v>
      </c>
      <c r="S15" s="509" t="n">
        <v>0.7</v>
      </c>
      <c r="T15" s="509" t="n">
        <v>0.7</v>
      </c>
      <c r="U15" s="509" t="n">
        <v>0.7</v>
      </c>
      <c r="V15" s="509" t="n">
        <v>0.7</v>
      </c>
      <c r="W15" s="509" t="n">
        <v>0.7</v>
      </c>
      <c r="X15" s="509" t="n">
        <v>0.7</v>
      </c>
      <c r="Y15" s="509" t="n">
        <v>0.7</v>
      </c>
      <c r="Z15" s="509" t="n">
        <v>0.7</v>
      </c>
      <c r="AA15" s="509" t="n">
        <v>0.7</v>
      </c>
      <c r="AB15" s="509" t="n">
        <v>0.7</v>
      </c>
      <c r="AC15" s="509" t="n">
        <v>0.7</v>
      </c>
      <c r="AD15" s="509" t="n">
        <v>0.7</v>
      </c>
      <c r="AE15" s="509" t="n">
        <v>0.7</v>
      </c>
      <c r="AF15" s="509" t="n">
        <v>0.7</v>
      </c>
      <c r="AG15" s="509" t="n">
        <v>0.7</v>
      </c>
      <c r="AH15" s="509" t="n">
        <v>0.7</v>
      </c>
      <c r="AI15" s="509" t="n">
        <v>0.7</v>
      </c>
      <c r="AJ15" s="509" t="n">
        <v>0.7</v>
      </c>
      <c r="AK15" s="509" t="n">
        <v>0.7</v>
      </c>
      <c r="AL15" s="509" t="n">
        <v>0.7</v>
      </c>
      <c r="AM15" s="509" t="n">
        <v>0.7</v>
      </c>
      <c r="AN15" s="509" t="n">
        <v>0.7</v>
      </c>
      <c r="AO15" s="509" t="n">
        <v>0.7</v>
      </c>
      <c r="AP15" s="509" t="n">
        <v>0.7</v>
      </c>
      <c r="AQ15" s="509" t="n">
        <v>0.7</v>
      </c>
      <c r="AR15" s="509" t="n">
        <v>0.7</v>
      </c>
      <c r="AS15" s="509" t="n">
        <v>0.7</v>
      </c>
      <c r="AT15" s="509" t="n">
        <v>0.7</v>
      </c>
      <c r="AU15" s="509" t="n">
        <v>0.7</v>
      </c>
      <c r="AV15" s="509" t="n">
        <v>0.7</v>
      </c>
      <c r="AW15" s="509" t="n">
        <v>0.7</v>
      </c>
      <c r="AX15" s="509" t="n">
        <v>0.7</v>
      </c>
      <c r="AY15" s="509" t="n">
        <v>0.7</v>
      </c>
      <c r="AZ15" s="509" t="n">
        <v>0.7</v>
      </c>
      <c r="BA15" s="509" t="n">
        <v>0.7</v>
      </c>
      <c r="BB15" s="509" t="n">
        <v>0.7</v>
      </c>
      <c r="BC15" s="509" t="n">
        <v>0.7</v>
      </c>
      <c r="BD15" s="509" t="n">
        <v>0.7</v>
      </c>
      <c r="BE15" s="509" t="n">
        <v>0.7</v>
      </c>
      <c r="BF15" s="509" t="n">
        <v>0.7</v>
      </c>
      <c r="BG15" s="509" t="n">
        <v>0.7</v>
      </c>
      <c r="BH15" s="509" t="n">
        <v>0.7</v>
      </c>
      <c r="BI15" s="509" t="n">
        <v>0.7</v>
      </c>
      <c r="BJ15" s="509" t="n">
        <v>0.7</v>
      </c>
      <c r="BK15" s="509" t="n">
        <v>0.7</v>
      </c>
      <c r="BL15" s="509" t="n">
        <v>0.7</v>
      </c>
      <c r="BM15" s="509" t="n">
        <v>0.7</v>
      </c>
      <c r="BN15" s="510" t="n">
        <v>0.7</v>
      </c>
      <c r="BO15" s="509" t="n">
        <v>0.7</v>
      </c>
      <c r="BP15" s="509" t="n">
        <v>0.7</v>
      </c>
      <c r="BQ15" s="509" t="n">
        <v>0.7</v>
      </c>
      <c r="BR15" s="509" t="n">
        <v>0.7</v>
      </c>
    </row>
    <row r="16" outlineLevel="1" ht="17" customFormat="1" customHeight="1" s="8">
      <c r="C16" s="12" t="inlineStr">
        <is>
          <t>１税理士 / 紹介費用</t>
        </is>
      </c>
      <c r="D16" s="11" t="n"/>
      <c r="E16" s="11" t="n"/>
      <c r="F16" s="17">
        <f>F13*F25</f>
        <v>0.0</v>
      </c>
      <c r="G16" s="17">
        <f>G13*G25</f>
        <v>9646.875</v>
      </c>
      <c r="H16" s="17">
        <f>H13*H25</f>
        <v>52864.875</v>
      </c>
      <c r="I16" s="17">
        <f>I13*I25</f>
        <v>95218.515</v>
      </c>
      <c r="J16" s="17">
        <f>J13*J25</f>
        <v>131901.6447</v>
      </c>
      <c r="K16" s="17">
        <f>K13*K25</f>
        <v>177497.986806</v>
      </c>
      <c r="L16" s="17">
        <f>L13*L25</f>
        <v>222182.40206988</v>
      </c>
      <c r="M16" s="17">
        <f>M13*M25</f>
        <v>265973.129028482</v>
      </c>
      <c r="N16" s="17">
        <f>N13*N25</f>
        <v>318534.916447913</v>
      </c>
      <c r="O16" s="17">
        <f>O13*O25</f>
        <v>365222.030618954</v>
      </c>
      <c r="P16" s="17">
        <f>P13*P25</f>
        <v>410975.402506575</v>
      </c>
      <c r="Q16" s="17">
        <f>Q13*Q25</f>
        <v>465460.581956444</v>
      </c>
      <c r="R16" s="17">
        <f>R13*R25</f>
        <v>514032.620317315</v>
      </c>
      <c r="S16" s="17">
        <f>S13*S25</f>
        <v>561633.217910969</v>
      </c>
      <c r="T16" s="17">
        <f>T13*T25</f>
        <v>617928.678552749</v>
      </c>
      <c r="U16" s="17">
        <f>U13*U25</f>
        <v>668274.792481694</v>
      </c>
      <c r="V16" s="17">
        <f>V13*V25</f>
        <v>717613.98413206</v>
      </c>
      <c r="W16" s="17">
        <f>W13*W25</f>
        <v>775613.266949419</v>
      </c>
      <c r="X16" s="17">
        <f>X13*X25</f>
        <v>827629.126610431</v>
      </c>
      <c r="Y16" s="17">
        <f>Y13*Y25</f>
        <v>878604.669078222</v>
      </c>
      <c r="Z16" s="17">
        <f>Z13*Z25</f>
        <v>938207.575696657</v>
      </c>
      <c r="AA16" s="17">
        <f>AA13*AA25</f>
        <v>991794.986682724</v>
      </c>
      <c r="AB16" s="17">
        <f>AB13*AB25</f>
        <v>1044310.64944907</v>
      </c>
      <c r="AC16" s="17">
        <f>AC13*AC25</f>
        <v>1100599.43646009</v>
      </c>
      <c r="AD16" s="17">
        <f>AD13*AD25</f>
        <v>1168160.82132204</v>
      </c>
      <c r="AE16" s="17">
        <f>AE13*AE25</f>
        <v>1229716.4444489</v>
      </c>
      <c r="AF16" s="17">
        <f>AF13*AF25</f>
        <v>1299841.71917105</v>
      </c>
      <c r="AG16" s="17">
        <f>AG13*AG25</f>
        <v>1363916.36408555</v>
      </c>
      <c r="AH16" s="17">
        <f>AH13*AH25</f>
        <v>1431693.14021405</v>
      </c>
      <c r="AI16" s="17">
        <f>AI13*AI25</f>
        <v>1498283.82276031</v>
      </c>
      <c r="AJ16" s="17">
        <f>AJ13*AJ25</f>
        <v>1568532.605862</v>
      </c>
      <c r="AK16" s="17">
        <f>AK13*AK25</f>
        <v>1632728.59775942</v>
      </c>
      <c r="AL16" s="17">
        <f>AL13*AL25</f>
        <v>1705448.03479863</v>
      </c>
      <c r="AM16" s="17">
        <f>AM13*AM25</f>
        <v>1772071.44418965</v>
      </c>
      <c r="AN16" s="17">
        <f>AN13*AN25</f>
        <v>1837528.94391633</v>
      </c>
      <c r="AO16" s="17">
        <f>AO13*AO25</f>
        <v>1911487.8123978</v>
      </c>
      <c r="AP16" s="17">
        <f>AP13*AP25</f>
        <v>1979328.96318084</v>
      </c>
      <c r="AQ16" s="17">
        <f>AQ13*AQ25</f>
        <v>2045982.89382517</v>
      </c>
      <c r="AR16" s="17">
        <f>AR13*AR25</f>
        <v>2116293.81818323</v>
      </c>
      <c r="AS16" s="17">
        <f>AS13*AS25</f>
        <v>2185374.30136502</v>
      </c>
      <c r="AT16" s="17">
        <f>AT13*AT25</f>
        <v>2253245.87609114</v>
      </c>
      <c r="AU16" s="17">
        <f>AU13*AU25</f>
        <v>2324753.13575954</v>
      </c>
      <c r="AV16" s="17">
        <f>AV13*AV25</f>
        <v>2395009.01838375</v>
      </c>
      <c r="AW16" s="17">
        <f>AW13*AW25</f>
        <v>2464035.42306203</v>
      </c>
      <c r="AX16" s="17">
        <f>AX13*AX25</f>
        <v>2536677.30315845</v>
      </c>
      <c r="AY16" s="17">
        <f>AY13*AY25</f>
        <v>2603224.51285318</v>
      </c>
      <c r="AZ16" s="17">
        <f>AZ13*AZ25</f>
        <v>2673430.58387824</v>
      </c>
      <c r="BA16" s="17">
        <f>BA13*BA25</f>
        <v>2742408.04866038</v>
      </c>
      <c r="BB16" s="17">
        <f>BB13*BB25</f>
        <v>2841151.61543047</v>
      </c>
      <c r="BC16" s="17">
        <f>BC13*BC25</f>
        <v>2933590.59119901</v>
      </c>
      <c r="BD16" s="17">
        <f>BD13*BD25</f>
        <v>3029466.41983103</v>
      </c>
      <c r="BE16" s="17">
        <f>BE13*BE25</f>
        <v>3123904.11103356</v>
      </c>
      <c r="BF16" s="17">
        <f>BF13*BF25</f>
        <v>3216925.23686806</v>
      </c>
      <c r="BG16" s="17">
        <f>BG13*BG25</f>
        <v>3318197.92081504</v>
      </c>
      <c r="BH16" s="17">
        <f>BH13*BH25</f>
        <v>3413128.07700281</v>
      </c>
      <c r="BI16" s="17">
        <f>BI13*BI25</f>
        <v>3506634.28084777</v>
      </c>
      <c r="BJ16" s="17">
        <f>BJ13*BJ25</f>
        <v>3603561.32913505</v>
      </c>
      <c r="BK16" s="17">
        <f>BK13*BK25</f>
        <v>3699034.47169803</v>
      </c>
      <c r="BL16" s="17">
        <f>BL13*BL25</f>
        <v>3793075.51712256</v>
      </c>
      <c r="BM16" s="17">
        <f>BM13*BM25</f>
        <v>3890529.38436572</v>
      </c>
      <c r="BN16" s="35">
        <f>SUM(F16:Q16)</f>
        <v>2515478.35913425</v>
      </c>
      <c r="BO16" s="17">
        <f>SUM(R16:AC16)</f>
        <v>9636243.0043214</v>
      </c>
      <c r="BP16" s="17">
        <f>SUM(AD16:AO16)</f>
        <v>18419409.7509257</v>
      </c>
      <c r="BQ16" s="17">
        <f>SUM(AP16:BA16)</f>
        <v>28319763.878401</v>
      </c>
      <c r="BR16" s="17">
        <f>SUM(BB16:BM16)</f>
        <v>40369198.9553491</v>
      </c>
    </row>
    <row r="17" outlineLevel="1" ht="17" customFormat="1" customHeight="1" s="8">
      <c r="C17" s="16" t="inlineStr">
        <is>
          <t>税理士数＝アカウト数</t>
        </is>
      </c>
      <c r="D17" s="11" t="n"/>
      <c r="E17" s="11" t="n"/>
      <c r="F17" s="99" t="n">
        <v>0</v>
      </c>
      <c r="G17" s="99" t="n">
        <v>2</v>
      </c>
      <c r="H17" s="99" t="n">
        <v>11</v>
      </c>
      <c r="I17" s="99" t="n">
        <v>20</v>
      </c>
      <c r="J17" s="99" t="n">
        <v>28</v>
      </c>
      <c r="K17" s="99" t="n">
        <v>38</v>
      </c>
      <c r="L17" s="99" t="n">
        <v>48</v>
      </c>
      <c r="M17" s="99" t="n">
        <v>58</v>
      </c>
      <c r="N17" s="99" t="n">
        <v>70</v>
      </c>
      <c r="O17" s="99" t="n">
        <v>81</v>
      </c>
      <c r="P17" s="99" t="n">
        <v>92</v>
      </c>
      <c r="Q17" s="99" t="n">
        <v>105</v>
      </c>
      <c r="R17" s="99" t="n">
        <v>117</v>
      </c>
      <c r="S17" s="99" t="n">
        <v>129</v>
      </c>
      <c r="T17" s="99" t="n">
        <v>143</v>
      </c>
      <c r="U17" s="99" t="n">
        <v>156</v>
      </c>
      <c r="V17" s="99" t="n">
        <v>169</v>
      </c>
      <c r="W17" s="99" t="n">
        <v>184</v>
      </c>
      <c r="X17" s="99" t="n">
        <v>198</v>
      </c>
      <c r="Y17" s="99" t="n">
        <v>212</v>
      </c>
      <c r="Z17" s="99" t="n">
        <v>228</v>
      </c>
      <c r="AA17" s="99" t="n">
        <v>243</v>
      </c>
      <c r="AB17" s="99" t="n">
        <v>258</v>
      </c>
      <c r="AC17" s="99" t="n">
        <v>274</v>
      </c>
      <c r="AD17" s="99" t="n">
        <v>292</v>
      </c>
      <c r="AE17" s="99" t="n">
        <v>309</v>
      </c>
      <c r="AF17" s="99" t="n">
        <v>328</v>
      </c>
      <c r="AG17" s="99" t="n">
        <v>346</v>
      </c>
      <c r="AH17" s="99" t="n">
        <v>365</v>
      </c>
      <c r="AI17" s="99" t="n">
        <v>384</v>
      </c>
      <c r="AJ17" s="99" t="n">
        <v>404</v>
      </c>
      <c r="AK17" s="99" t="n">
        <v>423</v>
      </c>
      <c r="AL17" s="99" t="n">
        <v>444</v>
      </c>
      <c r="AM17" s="99" t="n">
        <v>464</v>
      </c>
      <c r="AN17" s="99" t="n">
        <v>484</v>
      </c>
      <c r="AO17" s="99" t="n">
        <v>506</v>
      </c>
      <c r="AP17" s="99" t="n">
        <v>527</v>
      </c>
      <c r="AQ17" s="99" t="n">
        <v>548</v>
      </c>
      <c r="AR17" s="99" t="n">
        <v>570</v>
      </c>
      <c r="AS17" s="99" t="n">
        <v>592</v>
      </c>
      <c r="AT17" s="99" t="n">
        <v>614</v>
      </c>
      <c r="AU17" s="99" t="n">
        <v>637</v>
      </c>
      <c r="AV17" s="99" t="n">
        <v>660</v>
      </c>
      <c r="AW17" s="99" t="n">
        <v>683</v>
      </c>
      <c r="AX17" s="99" t="n">
        <v>707</v>
      </c>
      <c r="AY17" s="99" t="n">
        <v>730</v>
      </c>
      <c r="AZ17" s="99" t="n">
        <v>754</v>
      </c>
      <c r="BA17" s="99" t="n">
        <v>778</v>
      </c>
      <c r="BB17" s="99" t="n">
        <v>807</v>
      </c>
      <c r="BC17" s="99" t="n">
        <v>835</v>
      </c>
      <c r="BD17" s="99" t="n">
        <v>864</v>
      </c>
      <c r="BE17" s="99" t="n">
        <v>893</v>
      </c>
      <c r="BF17" s="99" t="n">
        <v>922</v>
      </c>
      <c r="BG17" s="99" t="n">
        <v>953</v>
      </c>
      <c r="BH17" s="99" t="n">
        <v>983</v>
      </c>
      <c r="BI17" s="99" t="n">
        <v>1013</v>
      </c>
      <c r="BJ17" s="99" t="n">
        <v>1044</v>
      </c>
      <c r="BK17" s="99" t="n">
        <v>1075</v>
      </c>
      <c r="BL17" s="99" t="n">
        <v>1106</v>
      </c>
      <c r="BM17" s="99" t="n">
        <v>1138</v>
      </c>
      <c r="BN17" s="111">
        <f>Q17</f>
        <v>105.0</v>
      </c>
      <c r="BO17" s="99">
        <f>AC17</f>
        <v>274.0</v>
      </c>
      <c r="BP17" s="99">
        <f>AO17</f>
        <v>506.0</v>
      </c>
      <c r="BQ17" s="99">
        <f>BA17</f>
        <v>778.0</v>
      </c>
      <c r="BR17" s="99">
        <f>BM17</f>
        <v>1138.0</v>
      </c>
    </row>
    <row r="18" ht="18" customHeight="1" s="145">
      <c r="A18" s="508" t="inlineStr">
        <is>
          <t>KPI</t>
        </is>
      </c>
      <c r="B18" s="515" t="n"/>
      <c r="C18" s="515" t="inlineStr">
        <is>
          <t>新規</t>
        </is>
      </c>
      <c r="D18" s="11" t="n"/>
      <c r="E18" s="515" t="n"/>
      <c r="F18" s="8" t="n">
        <v>0</v>
      </c>
      <c r="G18" s="23" t="n">
        <v>4</v>
      </c>
      <c r="H18" s="23">
        <f>PRODUCT(H6:H11)-G18</f>
        <v>17.223125</v>
      </c>
      <c r="I18" s="23" t="n">
        <v>5</v>
      </c>
      <c r="J18" s="23" t="n">
        <v>5</v>
      </c>
      <c r="K18" s="23">
        <f>H18+1</f>
        <v>18.223125</v>
      </c>
      <c r="L18" s="23">
        <f>I18+1</f>
        <v>6.0</v>
      </c>
      <c r="M18" s="23">
        <f>J18+1</f>
        <v>6.0</v>
      </c>
      <c r="N18" s="23">
        <f>K18+1</f>
        <v>19.223125</v>
      </c>
      <c r="O18" s="23">
        <f>L18+1</f>
        <v>7.0</v>
      </c>
      <c r="P18" s="23">
        <f>M18+1</f>
        <v>7.0</v>
      </c>
      <c r="Q18" s="23">
        <f>N18+1</f>
        <v>20.223125</v>
      </c>
      <c r="R18" s="23">
        <f>O18+1</f>
        <v>8.0</v>
      </c>
      <c r="S18" s="23">
        <f>P18+1</f>
        <v>8.0</v>
      </c>
      <c r="T18" s="23">
        <f>Q18+1</f>
        <v>21.223125</v>
      </c>
      <c r="U18" s="23">
        <f>R18+1</f>
        <v>9.0</v>
      </c>
      <c r="V18" s="23">
        <f>S18+1</f>
        <v>9.0</v>
      </c>
      <c r="W18" s="23">
        <f>T18+1</f>
        <v>22.223125</v>
      </c>
      <c r="X18" s="23">
        <f>U18+1</f>
        <v>10.0</v>
      </c>
      <c r="Y18" s="23">
        <f>V18+1</f>
        <v>10.0</v>
      </c>
      <c r="Z18" s="23">
        <f>W18+1</f>
        <v>23.223125</v>
      </c>
      <c r="AA18" s="23">
        <f>X18+1</f>
        <v>11.0</v>
      </c>
      <c r="AB18" s="23">
        <f>Y18+1</f>
        <v>11.0</v>
      </c>
      <c r="AC18" s="23">
        <f>Z18+1</f>
        <v>24.223125</v>
      </c>
      <c r="AD18" s="23">
        <f>AA18+1</f>
        <v>12.0</v>
      </c>
      <c r="AE18" s="23">
        <f>AB18+1</f>
        <v>12.0</v>
      </c>
      <c r="AF18" s="23">
        <f>AC18+1</f>
        <v>25.223125</v>
      </c>
      <c r="AG18" s="23">
        <f>AD18+1</f>
        <v>13.0</v>
      </c>
      <c r="AH18" s="23">
        <f>AE18+1</f>
        <v>13.0</v>
      </c>
      <c r="AI18" s="23">
        <f>AF18+1</f>
        <v>26.223125</v>
      </c>
      <c r="AJ18" s="23">
        <f>AG18+1</f>
        <v>14.0</v>
      </c>
      <c r="AK18" s="23">
        <f>AH18+1</f>
        <v>14.0</v>
      </c>
      <c r="AL18" s="23">
        <f>AI18+1</f>
        <v>27.223125</v>
      </c>
      <c r="AM18" s="23">
        <f>AJ18+1</f>
        <v>15.0</v>
      </c>
      <c r="AN18" s="23">
        <f>AK18+1</f>
        <v>15.0</v>
      </c>
      <c r="AO18" s="23">
        <f>AL18+1</f>
        <v>28.223125</v>
      </c>
      <c r="AP18" s="23">
        <f>AM18+1</f>
        <v>16.0</v>
      </c>
      <c r="AQ18" s="23">
        <f>AN18+1</f>
        <v>16.0</v>
      </c>
      <c r="AR18" s="23">
        <f>AO18+1</f>
        <v>29.223125</v>
      </c>
      <c r="AS18" s="23">
        <f>AP18+1</f>
        <v>17.0</v>
      </c>
      <c r="AT18" s="23">
        <f>AQ18+1</f>
        <v>17.0</v>
      </c>
      <c r="AU18" s="23">
        <f>AR18+1</f>
        <v>30.223125</v>
      </c>
      <c r="AV18" s="23">
        <f>AS18+1</f>
        <v>18.0</v>
      </c>
      <c r="AW18" s="23">
        <f>AT18+1</f>
        <v>18.0</v>
      </c>
      <c r="AX18" s="23">
        <f>AU18+1</f>
        <v>31.223125</v>
      </c>
      <c r="AY18" s="23">
        <f>AV18+1</f>
        <v>19.0</v>
      </c>
      <c r="AZ18" s="23">
        <f>AW18+1</f>
        <v>19.0</v>
      </c>
      <c r="BA18" s="23">
        <f>AX18+1</f>
        <v>32.223125</v>
      </c>
      <c r="BB18" s="23">
        <f>AY18+1</f>
        <v>20.0</v>
      </c>
      <c r="BC18" s="23">
        <f>AZ18+1</f>
        <v>20.0</v>
      </c>
      <c r="BD18" s="23">
        <f>BA18+1</f>
        <v>33.223125</v>
      </c>
      <c r="BE18" s="23">
        <f>BB18+1</f>
        <v>21.0</v>
      </c>
      <c r="BF18" s="23">
        <f>BC18+1</f>
        <v>21.0</v>
      </c>
      <c r="BG18" s="23">
        <f>BD18+1</f>
        <v>34.223125</v>
      </c>
      <c r="BH18" s="23">
        <f>BE18+1</f>
        <v>22.0</v>
      </c>
      <c r="BI18" s="23">
        <f>BF18+1</f>
        <v>22.0</v>
      </c>
      <c r="BJ18" s="23">
        <f>BG18+1</f>
        <v>35.223125</v>
      </c>
      <c r="BK18" s="23">
        <f>BH18+1</f>
        <v>23.0</v>
      </c>
      <c r="BL18" s="23">
        <f>BI18+1</f>
        <v>23.0</v>
      </c>
      <c r="BM18" s="24">
        <f>BJ18+1</f>
        <v>36.223125</v>
      </c>
      <c r="BN18" s="23">
        <f>SUM(F18:Q18)</f>
        <v>114.8925</v>
      </c>
      <c r="BO18" s="23">
        <f>SUM(R18:AC18)</f>
        <v>166.8925</v>
      </c>
      <c r="BP18" s="23">
        <f>SUM(AD18:AO18)</f>
        <v>214.8925</v>
      </c>
      <c r="BQ18" s="23">
        <f>SUM(AP18:BA18)</f>
        <v>262.8925</v>
      </c>
      <c r="BR18" s="23">
        <f>SUM(BB18:BM18)</f>
        <v>310.8925</v>
      </c>
    </row>
    <row r="19" ht="18" customHeight="1" s="145">
      <c r="A19" s="508" t="n"/>
      <c r="B19" s="516" t="n"/>
      <c r="C19" s="515" t="inlineStr">
        <is>
          <t>解約予想数</t>
        </is>
      </c>
      <c r="D19" s="11" t="n"/>
      <c r="E19" s="515" t="n"/>
      <c r="F19" s="26" t="n">
        <v>0</v>
      </c>
      <c r="G19" s="26">
        <f>F25*G20</f>
        <v>0.0</v>
      </c>
      <c r="H19" s="26">
        <f>G25*H20</f>
        <v>0.077175</v>
      </c>
      <c r="I19" s="26">
        <f>H25*I20</f>
        <v>0.422919</v>
      </c>
      <c r="J19" s="26">
        <f>I25*J20</f>
        <v>0.76174812</v>
      </c>
      <c r="K19" s="26">
        <f>J25*K20</f>
        <v>1.0552131576</v>
      </c>
      <c r="L19" s="26">
        <f>K25*L20</f>
        <v>1.419983894448</v>
      </c>
      <c r="M19" s="26">
        <f>L25*M20</f>
        <v>1.77745921655904</v>
      </c>
      <c r="N19" s="26">
        <f>M25*N20</f>
        <v>2.12778503222786</v>
      </c>
      <c r="O19" s="26">
        <f>N25*O20</f>
        <v>2.5482793315833</v>
      </c>
      <c r="P19" s="26">
        <f>O25*P20</f>
        <v>2.92177624495164</v>
      </c>
      <c r="Q19" s="26">
        <f>P25*Q20</f>
        <v>3.2878032200526</v>
      </c>
      <c r="R19" s="26">
        <f>Q25*R20</f>
        <v>3.72368465565155</v>
      </c>
      <c r="S19" s="26">
        <f>R25*S20</f>
        <v>4.11226096253852</v>
      </c>
      <c r="T19" s="26">
        <f>S25*T20</f>
        <v>4.49306574328775</v>
      </c>
      <c r="U19" s="26">
        <f>T25*U20</f>
        <v>4.94342942842199</v>
      </c>
      <c r="V19" s="26">
        <f>U25*V20</f>
        <v>5.34619833985355</v>
      </c>
      <c r="W19" s="26">
        <f>V25*W20</f>
        <v>5.74091187305648</v>
      </c>
      <c r="X19" s="26">
        <f>W25*X20</f>
        <v>6.20490613559535</v>
      </c>
      <c r="Y19" s="26">
        <f>X25*Y20</f>
        <v>6.62103301288345</v>
      </c>
      <c r="Z19" s="26">
        <f>Y25*Z20</f>
        <v>7.02883735262578</v>
      </c>
      <c r="AA19" s="26">
        <f>Z25*AA20</f>
        <v>7.50566060557326</v>
      </c>
      <c r="AB19" s="26">
        <f>AA25*AB20</f>
        <v>7.9343598934618</v>
      </c>
      <c r="AC19" s="26">
        <f>AB25*AC20</f>
        <v>8.35448519559256</v>
      </c>
      <c r="AD19" s="26">
        <f>AC25*AD20</f>
        <v>7.70419605522062</v>
      </c>
      <c r="AE19" s="26">
        <f>AD25*AE20</f>
        <v>8.17712574925426</v>
      </c>
      <c r="AF19" s="26">
        <f>AE25*AF20</f>
        <v>8.60801511114231</v>
      </c>
      <c r="AG19" s="26">
        <f>AF25*AG20</f>
        <v>9.09889203419732</v>
      </c>
      <c r="AH19" s="26">
        <f>AG25*AH20</f>
        <v>9.54741454859887</v>
      </c>
      <c r="AI19" s="26">
        <f>AH25*AI20</f>
        <v>10.0218519814984</v>
      </c>
      <c r="AJ19" s="26">
        <f>AI25*AJ20</f>
        <v>10.4879867593222</v>
      </c>
      <c r="AK19" s="26">
        <f>AJ25*AK20</f>
        <v>10.979728241034</v>
      </c>
      <c r="AL19" s="26">
        <f>AK25*AL20</f>
        <v>11.4291001843159</v>
      </c>
      <c r="AM19" s="26">
        <f>AL25*AM20</f>
        <v>11.9381362435904</v>
      </c>
      <c r="AN19" s="26">
        <f>AM25*AN20</f>
        <v>12.4045001093276</v>
      </c>
      <c r="AO19" s="26">
        <f>AN25*AO20</f>
        <v>12.8627026074143</v>
      </c>
      <c r="AP19" s="26">
        <f>AO25*AP20</f>
        <v>13.3804146867846</v>
      </c>
      <c r="AQ19" s="26">
        <f>AP25*AQ20</f>
        <v>13.8553027422659</v>
      </c>
      <c r="AR19" s="26">
        <f>AQ25*AR20</f>
        <v>14.3218802567762</v>
      </c>
      <c r="AS19" s="26">
        <f>AR25*AS20</f>
        <v>14.8140567272826</v>
      </c>
      <c r="AT19" s="26">
        <f>AS25*AT20</f>
        <v>15.2976201095552</v>
      </c>
      <c r="AU19" s="26">
        <f>AT25*AU20</f>
        <v>15.772721132638</v>
      </c>
      <c r="AV19" s="26">
        <f>AU25*AV20</f>
        <v>16.2732719503168</v>
      </c>
      <c r="AW19" s="26">
        <f>AV25*AW20</f>
        <v>16.7650631286863</v>
      </c>
      <c r="AX19" s="26">
        <f>AW25*AX20</f>
        <v>17.2482479614342</v>
      </c>
      <c r="AY19" s="26">
        <f>AX25*AY20</f>
        <v>17.7567411221091</v>
      </c>
      <c r="AZ19" s="26">
        <f>AY25*AZ20</f>
        <v>18.2225715899722</v>
      </c>
      <c r="BA19" s="26">
        <f>AZ25*BA20</f>
        <v>18.7140140871477</v>
      </c>
      <c r="BB19" s="26">
        <f>BA25*BB20</f>
        <v>16.4544482919623</v>
      </c>
      <c r="BC19" s="26">
        <f>BB25*BC20</f>
        <v>17.0469096925828</v>
      </c>
      <c r="BD19" s="26">
        <f>BC25*BD20</f>
        <v>17.6015435471941</v>
      </c>
      <c r="BE19" s="26">
        <f>BD25*BE20</f>
        <v>18.1767985189862</v>
      </c>
      <c r="BF19" s="26">
        <f>BE25*BF20</f>
        <v>18.7434246662014</v>
      </c>
      <c r="BG19" s="26">
        <f>BF25*BG20</f>
        <v>19.3015514212083</v>
      </c>
      <c r="BH19" s="26">
        <f>BG25*BH20</f>
        <v>19.9091875248902</v>
      </c>
      <c r="BI19" s="26">
        <f>BH25*BI20</f>
        <v>20.4787684620169</v>
      </c>
      <c r="BJ19" s="26">
        <f>BI25*BJ20</f>
        <v>21.0398056850866</v>
      </c>
      <c r="BK19" s="26">
        <f>BJ25*BK20</f>
        <v>21.6213679748103</v>
      </c>
      <c r="BL19" s="26">
        <f>BK25*BL20</f>
        <v>22.1942068301882</v>
      </c>
      <c r="BM19" s="26">
        <f>BL25*BM20</f>
        <v>22.7584531027353</v>
      </c>
      <c r="BN19" s="38">
        <f>SUM(F19:Q19)</f>
        <v>16.4001422174224</v>
      </c>
      <c r="BO19" s="23">
        <f>SUM(R19:AC19)</f>
        <v>72.008833198542</v>
      </c>
      <c r="BP19" s="23">
        <f>SUM(AD19:AO19)</f>
        <v>123.259649624916</v>
      </c>
      <c r="BQ19" s="23">
        <f>SUM(AP19:BA19)</f>
        <v>192.421905494969</v>
      </c>
      <c r="BR19" s="23">
        <f>SUM(BB19:BM19)</f>
        <v>235.326465717863</v>
      </c>
    </row>
    <row r="20" ht="18" customHeight="1" s="145">
      <c r="A20" s="508" t="n"/>
      <c r="B20" s="516" t="n"/>
      <c r="C20" s="515" t="inlineStr">
        <is>
          <t>解約率</t>
        </is>
      </c>
      <c r="D20" s="11" t="inlineStr">
        <is>
          <t>F&amp;M オフィスステーション1.01%</t>
        </is>
      </c>
      <c r="E20" s="515" t="n"/>
      <c r="F20" s="27" t="n">
        <v>0.02</v>
      </c>
      <c r="G20" s="27" t="n">
        <v>0.02</v>
      </c>
      <c r="H20" s="27" t="n">
        <v>0.02</v>
      </c>
      <c r="I20" s="27" t="n">
        <v>0.02</v>
      </c>
      <c r="J20" s="27" t="n">
        <v>0.02</v>
      </c>
      <c r="K20" s="27" t="n">
        <v>0.02</v>
      </c>
      <c r="L20" s="27" t="n">
        <v>0.02</v>
      </c>
      <c r="M20" s="27" t="n">
        <v>0.02</v>
      </c>
      <c r="N20" s="27" t="n">
        <v>0.02</v>
      </c>
      <c r="O20" s="27" t="n">
        <v>0.02</v>
      </c>
      <c r="P20" s="27" t="n">
        <v>0.02</v>
      </c>
      <c r="Q20" s="27" t="n">
        <v>0.02</v>
      </c>
      <c r="R20" s="27" t="n">
        <v>0.02</v>
      </c>
      <c r="S20" s="27" t="n">
        <v>0.02</v>
      </c>
      <c r="T20" s="27" t="n">
        <v>0.02</v>
      </c>
      <c r="U20" s="27" t="n">
        <v>0.02</v>
      </c>
      <c r="V20" s="27" t="n">
        <v>0.02</v>
      </c>
      <c r="W20" s="27" t="n">
        <v>0.02</v>
      </c>
      <c r="X20" s="27" t="n">
        <v>0.02</v>
      </c>
      <c r="Y20" s="27" t="n">
        <v>0.02</v>
      </c>
      <c r="Z20" s="27" t="n">
        <v>0.02</v>
      </c>
      <c r="AA20" s="27" t="n">
        <v>0.02</v>
      </c>
      <c r="AB20" s="27" t="n">
        <v>0.02</v>
      </c>
      <c r="AC20" s="27" t="n">
        <v>0.02</v>
      </c>
      <c r="AD20" s="517" t="n">
        <v>0.0175</v>
      </c>
      <c r="AE20" s="517" t="n">
        <v>0.0175</v>
      </c>
      <c r="AF20" s="517" t="n">
        <v>0.0175</v>
      </c>
      <c r="AG20" s="517" t="n">
        <v>0.0175</v>
      </c>
      <c r="AH20" s="517" t="n">
        <v>0.0175</v>
      </c>
      <c r="AI20" s="517" t="n">
        <v>0.0175</v>
      </c>
      <c r="AJ20" s="517" t="n">
        <v>0.0175</v>
      </c>
      <c r="AK20" s="517" t="n">
        <v>0.0175</v>
      </c>
      <c r="AL20" s="517" t="n">
        <v>0.0175</v>
      </c>
      <c r="AM20" s="517" t="n">
        <v>0.0175</v>
      </c>
      <c r="AN20" s="517" t="n">
        <v>0.0175</v>
      </c>
      <c r="AO20" s="517" t="n">
        <v>0.0175</v>
      </c>
      <c r="AP20" s="517" t="n">
        <v>0.0175</v>
      </c>
      <c r="AQ20" s="517" t="n">
        <v>0.0175</v>
      </c>
      <c r="AR20" s="517" t="n">
        <v>0.0175</v>
      </c>
      <c r="AS20" s="517" t="n">
        <v>0.0175</v>
      </c>
      <c r="AT20" s="517" t="n">
        <v>0.0175</v>
      </c>
      <c r="AU20" s="517" t="n">
        <v>0.0175</v>
      </c>
      <c r="AV20" s="517" t="n">
        <v>0.0175</v>
      </c>
      <c r="AW20" s="517" t="n">
        <v>0.0175</v>
      </c>
      <c r="AX20" s="517" t="n">
        <v>0.0175</v>
      </c>
      <c r="AY20" s="517" t="n">
        <v>0.0175</v>
      </c>
      <c r="AZ20" s="517" t="n">
        <v>0.0175</v>
      </c>
      <c r="BA20" s="517" t="n">
        <v>0.0175</v>
      </c>
      <c r="BB20" s="27" t="n">
        <v>0.015</v>
      </c>
      <c r="BC20" s="27" t="n">
        <v>0.015</v>
      </c>
      <c r="BD20" s="27" t="n">
        <v>0.015</v>
      </c>
      <c r="BE20" s="27" t="n">
        <v>0.015</v>
      </c>
      <c r="BF20" s="27" t="n">
        <v>0.015</v>
      </c>
      <c r="BG20" s="27" t="n">
        <v>0.015</v>
      </c>
      <c r="BH20" s="27" t="n">
        <v>0.015</v>
      </c>
      <c r="BI20" s="27" t="n">
        <v>0.015</v>
      </c>
      <c r="BJ20" s="27" t="n">
        <v>0.015</v>
      </c>
      <c r="BK20" s="27" t="n">
        <v>0.015</v>
      </c>
      <c r="BL20" s="27" t="n">
        <v>0.015</v>
      </c>
      <c r="BM20" s="29" t="n">
        <v>0.015</v>
      </c>
      <c r="BN20" s="27">
        <f>AVERAGE(F20:Q20)</f>
        <v>0.02</v>
      </c>
      <c r="BO20" s="27">
        <f>AVERAGE(R20:AC20)</f>
        <v>0.02</v>
      </c>
      <c r="BP20" s="27">
        <f>AVERAGE(AD20:AO20)</f>
        <v>0.0175</v>
      </c>
      <c r="BQ20" s="27">
        <f>AVERAGE(AP20:BA20)</f>
        <v>0.0175</v>
      </c>
      <c r="BR20" s="27">
        <f>AVERAGE(BB20:BM20)</f>
        <v>0.015</v>
      </c>
    </row>
    <row r="21">
      <c r="A21" s="1" t="n"/>
      <c r="B21" s="518" t="n"/>
      <c r="C21" s="519" t="n"/>
      <c r="D21" s="30" t="n"/>
      <c r="E21" s="520" t="n"/>
      <c r="F21" s="519" t="n"/>
      <c r="G21" s="521" t="n"/>
      <c r="H21" s="521" t="n"/>
      <c r="I21" s="522" t="n"/>
    </row>
    <row r="22"/>
    <row r="23">
      <c r="C23" s="146" t="inlineStr">
        <is>
          <t>■ ストック計算（契約社数＝前月契約社数＋当月新規受注－当月解約）</t>
        </is>
      </c>
    </row>
    <row r="24" ht="18" customHeight="1" s="145">
      <c r="A24" s="508" t="n"/>
      <c r="B24" s="147" t="n"/>
      <c r="C24" s="16" t="inlineStr">
        <is>
          <t>新規受注数（当月）</t>
        </is>
      </c>
      <c r="D24" s="11" t="inlineStr">
        <is>
          <t>＝当月の累計獲得数(12行)－前月の累計獲得数。税理士獲得ロジック(×35等)は別途検討中のため、既存ファネルを流用</t>
        </is>
      </c>
      <c r="E24" s="11" t="n"/>
      <c r="F24" s="523">
        <f>F12</f>
        <v>0.0</v>
      </c>
      <c r="G24" s="523">
        <f>G12-F12</f>
        <v>3.85875</v>
      </c>
      <c r="H24" s="523">
        <f>H12-G12</f>
        <v>17.364375</v>
      </c>
      <c r="I24" s="523">
        <f>I12-H12</f>
        <v>17.364375</v>
      </c>
      <c r="J24" s="523">
        <f>J12-I12</f>
        <v>15.435</v>
      </c>
      <c r="K24" s="523">
        <f>K12-J12</f>
        <v>19.29375</v>
      </c>
      <c r="L24" s="523">
        <f>L12-K12</f>
        <v>19.29375</v>
      </c>
      <c r="M24" s="523">
        <f>M12-L12</f>
        <v>19.29375</v>
      </c>
      <c r="N24" s="523">
        <f>N12-M12</f>
        <v>23.1525</v>
      </c>
      <c r="O24" s="523">
        <f>O12-N12</f>
        <v>21.223125</v>
      </c>
      <c r="P24" s="523">
        <f>P12-O12</f>
        <v>21.223125</v>
      </c>
      <c r="Q24" s="523">
        <f>Q12-P12</f>
        <v>25.081875</v>
      </c>
      <c r="R24" s="523">
        <f>R12-Q12</f>
        <v>23.1525</v>
      </c>
      <c r="S24" s="523">
        <f>S12-R12</f>
        <v>23.1525</v>
      </c>
      <c r="T24" s="523">
        <f>T12-S12</f>
        <v>27.01125</v>
      </c>
      <c r="U24" s="523">
        <f>U12-T12</f>
        <v>25.081875</v>
      </c>
      <c r="V24" s="523">
        <f>V12-U12</f>
        <v>25.081875</v>
      </c>
      <c r="W24" s="523">
        <f>W12-V12</f>
        <v>28.940625</v>
      </c>
      <c r="X24" s="523">
        <f>X12-W12</f>
        <v>27.01125</v>
      </c>
      <c r="Y24" s="523">
        <f>Y12-X12</f>
        <v>27.01125</v>
      </c>
      <c r="Z24" s="523">
        <f>Z12-Y12</f>
        <v>30.87</v>
      </c>
      <c r="AA24" s="523">
        <f>AA12-Z12</f>
        <v>28.940625</v>
      </c>
      <c r="AB24" s="523">
        <f>AB12-AA12</f>
        <v>28.940625</v>
      </c>
      <c r="AC24" s="523">
        <f>AC12-AB12</f>
        <v>30.87</v>
      </c>
      <c r="AD24" s="523">
        <f>AD12-AC12</f>
        <v>34.72875</v>
      </c>
      <c r="AE24" s="523">
        <f>AE12-AD12</f>
        <v>32.7993750000001</v>
      </c>
      <c r="AF24" s="523">
        <f>AF12-AE12</f>
        <v>36.6581249999999</v>
      </c>
      <c r="AG24" s="523">
        <f>AG12-AF12</f>
        <v>34.72875</v>
      </c>
      <c r="AH24" s="523">
        <f>AH12-AG12</f>
        <v>36.658125</v>
      </c>
      <c r="AI24" s="523">
        <f>AI12-AH12</f>
        <v>36.658125</v>
      </c>
      <c r="AJ24" s="523">
        <f>AJ12-AI12</f>
        <v>38.5874999999999</v>
      </c>
      <c r="AK24" s="523">
        <f>AK12-AJ12</f>
        <v>36.6581249999999</v>
      </c>
      <c r="AL24" s="523">
        <f>AL12-AK12</f>
        <v>40.516875</v>
      </c>
      <c r="AM24" s="523">
        <f>AM12-AL12</f>
        <v>38.5875000000001</v>
      </c>
      <c r="AN24" s="523">
        <f>AN12-AM12</f>
        <v>38.5875</v>
      </c>
      <c r="AO24" s="523">
        <f>AO12-AN12</f>
        <v>42.44625</v>
      </c>
      <c r="AP24" s="523">
        <f>AP12-AO12</f>
        <v>40.516875</v>
      </c>
      <c r="AQ24" s="523">
        <f>AQ12-AP12</f>
        <v>40.516875</v>
      </c>
      <c r="AR24" s="523">
        <f>AR12-AQ12</f>
        <v>42.44625</v>
      </c>
      <c r="AS24" s="523">
        <f>AS12-AR12</f>
        <v>42.44625</v>
      </c>
      <c r="AT24" s="523">
        <f>AT12-AS12</f>
        <v>42.4462500000002</v>
      </c>
      <c r="AU24" s="523">
        <f>AU12-AT12</f>
        <v>44.3756249999999</v>
      </c>
      <c r="AV24" s="523">
        <f>AV12-AU12</f>
        <v>44.3756250000001</v>
      </c>
      <c r="AW24" s="523">
        <f>AW12-AV12</f>
        <v>44.3756249999999</v>
      </c>
      <c r="AX24" s="523">
        <f>AX12-AW12</f>
        <v>46.3049999999998</v>
      </c>
      <c r="AY24" s="523">
        <f>AY12-AX12</f>
        <v>44.3756250000001</v>
      </c>
      <c r="AZ24" s="523">
        <f>AZ12-AY12</f>
        <v>46.3049999999998</v>
      </c>
      <c r="BA24" s="523">
        <f>BA12-AZ12</f>
        <v>46.3050000000001</v>
      </c>
      <c r="BB24" s="523">
        <f>BB12-BA12</f>
        <v>55.951875</v>
      </c>
      <c r="BC24" s="523">
        <f>BC12-BB12</f>
        <v>54.0224999999998</v>
      </c>
      <c r="BD24" s="523">
        <f>BD12-BC12</f>
        <v>55.9518750000002</v>
      </c>
      <c r="BE24" s="523">
        <f>BE12-BD12</f>
        <v>55.9518750000002</v>
      </c>
      <c r="BF24" s="523">
        <f>BF12-BE12</f>
        <v>55.9518749999997</v>
      </c>
      <c r="BG24" s="523">
        <f>BG12-BF12</f>
        <v>59.8106250000001</v>
      </c>
      <c r="BH24" s="523">
        <f>BH12-BG12</f>
        <v>57.8812500000001</v>
      </c>
      <c r="BI24" s="523">
        <f>BI12-BH12</f>
        <v>57.8812499999999</v>
      </c>
      <c r="BJ24" s="523">
        <f>BJ12-BI12</f>
        <v>59.8106249999998</v>
      </c>
      <c r="BK24" s="523">
        <f>BK12-BJ12</f>
        <v>59.8106250000003</v>
      </c>
      <c r="BL24" s="523">
        <f>BL12-BK12</f>
        <v>59.8106249999996</v>
      </c>
      <c r="BM24" s="523">
        <f>BM12-BL12</f>
        <v>61.7400000000002</v>
      </c>
      <c r="BN24" s="524">
        <f>SUM(F24:Q24)</f>
        <v>202.584375</v>
      </c>
      <c r="BO24" s="523">
        <f>SUM(R24:AC24)</f>
        <v>326.064375</v>
      </c>
      <c r="BP24" s="523">
        <f>SUM(AD24:AO24)</f>
        <v>447.615</v>
      </c>
      <c r="BQ24" s="523">
        <f>SUM(AP24:BA24)</f>
        <v>524.79</v>
      </c>
      <c r="BR24" s="523">
        <f>SUM(BB24:BM24)</f>
        <v>694.575</v>
      </c>
    </row>
    <row r="25" ht="18" customHeight="1" s="145">
      <c r="A25" s="508" t="n"/>
      <c r="B25" s="147" t="n"/>
      <c r="C25" s="16" t="inlineStr">
        <is>
          <t>期末契約社数（ストック）</t>
        </is>
      </c>
      <c r="D25" s="11" t="inlineStr">
        <is>
          <t>＝前月末契約社数＋新規受注数－解約予想数。売上＝本行×単価</t>
        </is>
      </c>
      <c r="E25" s="11" t="n"/>
      <c r="F25" s="523">
        <f>F24-F19</f>
        <v>0.0</v>
      </c>
      <c r="G25" s="523">
        <f>F25+G24-G19</f>
        <v>3.85875</v>
      </c>
      <c r="H25" s="523">
        <f>G25+H24-H19</f>
        <v>21.14595</v>
      </c>
      <c r="I25" s="523">
        <f>H25+I24-I19</f>
        <v>38.087406</v>
      </c>
      <c r="J25" s="523">
        <f>I25+J24-J19</f>
        <v>52.76065788</v>
      </c>
      <c r="K25" s="523">
        <f>J25+K24-K19</f>
        <v>70.9991947224</v>
      </c>
      <c r="L25" s="523">
        <f>K25+L24-L19</f>
        <v>88.872960827952</v>
      </c>
      <c r="M25" s="523">
        <f>L25+M24-M19</f>
        <v>106.389251611393</v>
      </c>
      <c r="N25" s="523">
        <f>M25+N24-N19</f>
        <v>127.413966579165</v>
      </c>
      <c r="O25" s="523">
        <f>N25+O24-O19</f>
        <v>146.088812247582</v>
      </c>
      <c r="P25" s="523">
        <f>O25+P24-P19</f>
        <v>164.39016100263</v>
      </c>
      <c r="Q25" s="523">
        <f>P25+Q24-Q19</f>
        <v>186.184232782578</v>
      </c>
      <c r="R25" s="523">
        <f>Q25+R24-R19</f>
        <v>205.613048126926</v>
      </c>
      <c r="S25" s="523">
        <f>R25+S24-S19</f>
        <v>224.653287164387</v>
      </c>
      <c r="T25" s="523">
        <f>S25+T24-T19</f>
        <v>247.1714714211</v>
      </c>
      <c r="U25" s="523">
        <f>T25+U24-U19</f>
        <v>267.309916992678</v>
      </c>
      <c r="V25" s="523">
        <f>U25+V24-V19</f>
        <v>287.045593652824</v>
      </c>
      <c r="W25" s="523">
        <f>V25+W24-W19</f>
        <v>310.245306779768</v>
      </c>
      <c r="X25" s="523">
        <f>W25+X24-X19</f>
        <v>331.051650644172</v>
      </c>
      <c r="Y25" s="523">
        <f>X25+Y24-Y19</f>
        <v>351.441867631289</v>
      </c>
      <c r="Z25" s="523">
        <f>Y25+Z24-Z19</f>
        <v>375.283030278663</v>
      </c>
      <c r="AA25" s="523">
        <f>Z25+AA24-AA19</f>
        <v>396.71799467309</v>
      </c>
      <c r="AB25" s="523">
        <f>AA25+AB24-AB19</f>
        <v>417.724259779628</v>
      </c>
      <c r="AC25" s="523">
        <f>AB25+AC24-AC19</f>
        <v>440.239774584035</v>
      </c>
      <c r="AD25" s="523">
        <f>AC25+AD24-AD19</f>
        <v>467.264328528815</v>
      </c>
      <c r="AE25" s="523">
        <f>AD25+AE24-AE19</f>
        <v>491.886577779561</v>
      </c>
      <c r="AF25" s="523">
        <f>AE25+AF24-AF19</f>
        <v>519.936687668418</v>
      </c>
      <c r="AG25" s="523">
        <f>AF25+AG24-AG19</f>
        <v>545.566545634221</v>
      </c>
      <c r="AH25" s="523">
        <f>AG25+AH24-AH19</f>
        <v>572.677256085622</v>
      </c>
      <c r="AI25" s="523">
        <f>AH25+AI24-AI19</f>
        <v>599.313529104124</v>
      </c>
      <c r="AJ25" s="523">
        <f>AI25+AJ24-AJ19</f>
        <v>627.413042344801</v>
      </c>
      <c r="AK25" s="523">
        <f>AJ25+AK24-AK19</f>
        <v>653.091439103767</v>
      </c>
      <c r="AL25" s="523">
        <f>AK25+AL24-AL19</f>
        <v>682.179213919451</v>
      </c>
      <c r="AM25" s="523">
        <f>AL25+AM24-AM19</f>
        <v>708.828577675861</v>
      </c>
      <c r="AN25" s="523">
        <f>AM25+AN24-AN19</f>
        <v>735.011577566533</v>
      </c>
      <c r="AO25" s="523">
        <f>AN25+AO24-AO19</f>
        <v>764.595124959119</v>
      </c>
      <c r="AP25" s="523">
        <f>AO25+AP24-AP19</f>
        <v>791.731585272334</v>
      </c>
      <c r="AQ25" s="523">
        <f>AP25+AQ24-AQ19</f>
        <v>818.393157530069</v>
      </c>
      <c r="AR25" s="523">
        <f>AQ25+AR24-AR19</f>
        <v>846.517527273292</v>
      </c>
      <c r="AS25" s="523">
        <f>AR25+AS24-AS19</f>
        <v>874.14972054601</v>
      </c>
      <c r="AT25" s="523">
        <f>AS25+AT24-AT19</f>
        <v>901.298350436455</v>
      </c>
      <c r="AU25" s="523">
        <f>AT25+AU24-AU19</f>
        <v>929.901254303817</v>
      </c>
      <c r="AV25" s="523">
        <f>AU25+AV24-AV19</f>
        <v>958.0036073535</v>
      </c>
      <c r="AW25" s="523">
        <f>AV25+AW24-AW19</f>
        <v>985.614169224814</v>
      </c>
      <c r="AX25" s="523">
        <f>AW25+AX24-AX19</f>
        <v>1014.67092126338</v>
      </c>
      <c r="AY25" s="523">
        <f>AX25+AY24-AY19</f>
        <v>1041.28980514127</v>
      </c>
      <c r="AZ25" s="523">
        <f>AY25+AZ24-AZ19</f>
        <v>1069.3722335513</v>
      </c>
      <c r="BA25" s="523">
        <f>AZ25+BA24-BA19</f>
        <v>1096.96321946415</v>
      </c>
      <c r="BB25" s="523">
        <f>BA25+BB24-BB19</f>
        <v>1136.46064617219</v>
      </c>
      <c r="BC25" s="523">
        <f>BB25+BC24-BC19</f>
        <v>1173.4362364796</v>
      </c>
      <c r="BD25" s="523">
        <f>BC25+BD24-BD19</f>
        <v>1211.78656793241</v>
      </c>
      <c r="BE25" s="523">
        <f>BD25+BE24-BE19</f>
        <v>1249.56164441343</v>
      </c>
      <c r="BF25" s="523">
        <f>BE25+BF24-BF19</f>
        <v>1286.77009474722</v>
      </c>
      <c r="BG25" s="523">
        <f>BF25+BG24-BG19</f>
        <v>1327.27916832602</v>
      </c>
      <c r="BH25" s="523">
        <f>BG25+BH24-BH19</f>
        <v>1365.25123080112</v>
      </c>
      <c r="BI25" s="523">
        <f>BH25+BI24-BI19</f>
        <v>1402.65371233911</v>
      </c>
      <c r="BJ25" s="523">
        <f>BI25+BJ24-BJ19</f>
        <v>1441.42453165402</v>
      </c>
      <c r="BK25" s="523">
        <f>BJ25+BK24-BK19</f>
        <v>1479.61378867921</v>
      </c>
      <c r="BL25" s="523">
        <f>BK25+BL24-BL19</f>
        <v>1517.23020684902</v>
      </c>
      <c r="BM25" s="523">
        <f>BL25+BM24-BM19</f>
        <v>1556.21175374629</v>
      </c>
      <c r="BN25" s="524">
        <f>Q25</f>
        <v>186.184232782578</v>
      </c>
      <c r="BO25" s="523">
        <f>AC25</f>
        <v>440.239774584035</v>
      </c>
      <c r="BP25" s="523">
        <f>AO25</f>
        <v>764.595124959119</v>
      </c>
      <c r="BQ25" s="523">
        <f>BA25</f>
        <v>1096.96321946415</v>
      </c>
      <c r="BR25" s="523">
        <f>BM25</f>
        <v>1556.21175374629</v>
      </c>
    </row>
  </sheetData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4"/>
  <sheetViews>
    <sheetView zoomScale="125" workbookViewId="0">
      <selection activeCell="F5" sqref="F5:BR5"/>
    </sheetView>
  </sheetViews>
  <sheetFormatPr baseColWidth="10" defaultRowHeight="20"/>
  <sheetData>
    <row r="1"/>
    <row r="2"/>
    <row r="3"/>
    <row r="4">
      <c r="C4" s="5" t="inlineStr">
        <is>
          <t>■ 支払い.com　 ➡ 　請求書クレカ払い</t>
        </is>
      </c>
      <c r="D4" s="6" t="n"/>
      <c r="E4" s="6" t="n"/>
      <c r="F4" s="7" t="inlineStr">
        <is>
          <t>Y1_M1</t>
        </is>
      </c>
      <c r="G4" s="7" t="inlineStr">
        <is>
          <t>Y1_M2</t>
        </is>
      </c>
      <c r="H4" s="7" t="inlineStr">
        <is>
          <t>Y1_M3</t>
        </is>
      </c>
      <c r="I4" s="7" t="inlineStr">
        <is>
          <t>Y1_M4</t>
        </is>
      </c>
      <c r="J4" s="7" t="inlineStr">
        <is>
          <t>Y1_M5</t>
        </is>
      </c>
      <c r="K4" s="7" t="inlineStr">
        <is>
          <t>Y1_M6</t>
        </is>
      </c>
      <c r="L4" s="7" t="inlineStr">
        <is>
          <t>Y1_M7</t>
        </is>
      </c>
      <c r="M4" s="7" t="inlineStr">
        <is>
          <t>Y1_M8</t>
        </is>
      </c>
      <c r="N4" s="7" t="inlineStr">
        <is>
          <t>Y1_M9</t>
        </is>
      </c>
      <c r="O4" s="7" t="inlineStr">
        <is>
          <t>Y1_M10</t>
        </is>
      </c>
      <c r="P4" s="7" t="inlineStr">
        <is>
          <t>Y1_M11</t>
        </is>
      </c>
      <c r="Q4" s="7" t="inlineStr">
        <is>
          <t>Y1_M12</t>
        </is>
      </c>
      <c r="R4" s="7" t="inlineStr">
        <is>
          <t>Y2_M1</t>
        </is>
      </c>
      <c r="S4" s="7" t="inlineStr">
        <is>
          <t>Y2_M2</t>
        </is>
      </c>
      <c r="T4" s="7" t="inlineStr">
        <is>
          <t>Y2_M3</t>
        </is>
      </c>
      <c r="U4" s="7" t="inlineStr">
        <is>
          <t>Y2_M4</t>
        </is>
      </c>
      <c r="V4" s="7" t="inlineStr">
        <is>
          <t>Y2_M5</t>
        </is>
      </c>
      <c r="W4" s="7" t="inlineStr">
        <is>
          <t>Y2_M6</t>
        </is>
      </c>
      <c r="X4" s="7" t="inlineStr">
        <is>
          <t>Y2_M7</t>
        </is>
      </c>
      <c r="Y4" s="7" t="inlineStr">
        <is>
          <t>Y2_M8</t>
        </is>
      </c>
      <c r="Z4" s="7" t="inlineStr">
        <is>
          <t>Y2_M9</t>
        </is>
      </c>
      <c r="AA4" s="7" t="inlineStr">
        <is>
          <t>Y2_M10</t>
        </is>
      </c>
      <c r="AB4" s="7" t="inlineStr">
        <is>
          <t>Y2_M11</t>
        </is>
      </c>
      <c r="AC4" s="7" t="inlineStr">
        <is>
          <t>Y2_M12</t>
        </is>
      </c>
      <c r="AD4" s="7" t="inlineStr">
        <is>
          <t>Y3_M1</t>
        </is>
      </c>
      <c r="AE4" s="7" t="inlineStr">
        <is>
          <t>Y3_M2</t>
        </is>
      </c>
      <c r="AF4" s="7" t="inlineStr">
        <is>
          <t>Y3_M3</t>
        </is>
      </c>
      <c r="AG4" s="7" t="inlineStr">
        <is>
          <t>Y3_M4</t>
        </is>
      </c>
      <c r="AH4" s="7" t="inlineStr">
        <is>
          <t>Y3_M5</t>
        </is>
      </c>
      <c r="AI4" s="7" t="inlineStr">
        <is>
          <t>Y3_M6</t>
        </is>
      </c>
      <c r="AJ4" s="7" t="inlineStr">
        <is>
          <t>Y3_M7</t>
        </is>
      </c>
      <c r="AK4" s="7" t="inlineStr">
        <is>
          <t>Y3_M8</t>
        </is>
      </c>
      <c r="AL4" s="7" t="inlineStr">
        <is>
          <t>Y3_M9</t>
        </is>
      </c>
      <c r="AM4" s="7" t="inlineStr">
        <is>
          <t>Y3_M10</t>
        </is>
      </c>
      <c r="AN4" s="7" t="inlineStr">
        <is>
          <t>Y3_M11</t>
        </is>
      </c>
      <c r="AO4" s="7" t="inlineStr">
        <is>
          <t>Y3_M12</t>
        </is>
      </c>
      <c r="AP4" s="7" t="inlineStr">
        <is>
          <t>Y4_M1</t>
        </is>
      </c>
      <c r="AQ4" s="7" t="inlineStr">
        <is>
          <t>Y4_M2</t>
        </is>
      </c>
      <c r="AR4" s="7" t="inlineStr">
        <is>
          <t>Y4_M3</t>
        </is>
      </c>
      <c r="AS4" s="7" t="inlineStr">
        <is>
          <t>Y4_M4</t>
        </is>
      </c>
      <c r="AT4" s="7" t="inlineStr">
        <is>
          <t>Y4_M5</t>
        </is>
      </c>
      <c r="AU4" s="7" t="inlineStr">
        <is>
          <t>Y4_M6</t>
        </is>
      </c>
      <c r="AV4" s="7" t="inlineStr">
        <is>
          <t>Y4_M7</t>
        </is>
      </c>
      <c r="AW4" s="7" t="inlineStr">
        <is>
          <t>Y4_M8</t>
        </is>
      </c>
      <c r="AX4" s="7" t="inlineStr">
        <is>
          <t>Y4_M9</t>
        </is>
      </c>
      <c r="AY4" s="7" t="inlineStr">
        <is>
          <t>Y4_M10</t>
        </is>
      </c>
      <c r="AZ4" s="7" t="inlineStr">
        <is>
          <t>Y4_M11</t>
        </is>
      </c>
      <c r="BA4" s="7" t="inlineStr">
        <is>
          <t>Y4_M12</t>
        </is>
      </c>
      <c r="BB4" s="7" t="inlineStr">
        <is>
          <t>Y5_M1</t>
        </is>
      </c>
      <c r="BC4" s="7" t="inlineStr">
        <is>
          <t>Y5_M2</t>
        </is>
      </c>
      <c r="BD4" s="7" t="inlineStr">
        <is>
          <t>Y5_M3</t>
        </is>
      </c>
      <c r="BE4" s="7" t="inlineStr">
        <is>
          <t>Y5_M4</t>
        </is>
      </c>
      <c r="BF4" s="7" t="inlineStr">
        <is>
          <t>Y5_M5</t>
        </is>
      </c>
      <c r="BG4" s="7" t="inlineStr">
        <is>
          <t>Y5_M6</t>
        </is>
      </c>
      <c r="BH4" s="7" t="inlineStr">
        <is>
          <t>Y5_M7</t>
        </is>
      </c>
      <c r="BI4" s="7" t="inlineStr">
        <is>
          <t>Y5_M8</t>
        </is>
      </c>
      <c r="BJ4" s="7" t="inlineStr">
        <is>
          <t>Y5_M9</t>
        </is>
      </c>
      <c r="BK4" s="7" t="inlineStr">
        <is>
          <t>Y5_M10</t>
        </is>
      </c>
      <c r="BL4" s="7" t="inlineStr">
        <is>
          <t>Y5_M11</t>
        </is>
      </c>
      <c r="BM4" s="7" t="inlineStr">
        <is>
          <t>Y5_M12</t>
        </is>
      </c>
      <c r="BN4" s="9" t="inlineStr">
        <is>
          <t>Y1</t>
        </is>
      </c>
      <c r="BO4" s="7" t="inlineStr">
        <is>
          <t>Y2</t>
        </is>
      </c>
      <c r="BP4" s="7" t="inlineStr">
        <is>
          <t>Y3</t>
        </is>
      </c>
      <c r="BQ4" s="7" t="inlineStr">
        <is>
          <t>Y4</t>
        </is>
      </c>
      <c r="BR4" s="7" t="inlineStr">
        <is>
          <t>Y5</t>
        </is>
      </c>
    </row>
    <row r="5">
      <c r="C5" s="5" t="inlineStr">
        <is>
          <t>売上</t>
        </is>
      </c>
      <c r="D5" s="6" t="n"/>
      <c r="E5" s="6" t="n"/>
      <c r="F5" s="525">
        <f>F12*F13</f>
        <v>0.0</v>
      </c>
      <c r="G5" s="525">
        <f>G12*G13</f>
        <v>3748.5</v>
      </c>
      <c r="H5" s="525">
        <f>H12*H13</f>
        <v>20616.75</v>
      </c>
      <c r="I5" s="525">
        <f>I12*I13</f>
        <v>37485.0</v>
      </c>
      <c r="J5" s="525">
        <f>J12*J13</f>
        <v>52479.0</v>
      </c>
      <c r="K5" s="525">
        <f>K12*K13</f>
        <v>71221.5</v>
      </c>
      <c r="L5" s="525">
        <f>L12*L13</f>
        <v>89964.0</v>
      </c>
      <c r="M5" s="525">
        <f>M12*M13</f>
        <v>108706.5</v>
      </c>
      <c r="N5" s="525">
        <f>N12*N13</f>
        <v>131197.5</v>
      </c>
      <c r="O5" s="525">
        <f>O12*O13</f>
        <v>151814.25</v>
      </c>
      <c r="P5" s="525">
        <f>P12*P13</f>
        <v>172431.0</v>
      </c>
      <c r="Q5" s="525">
        <f>Q12*Q13</f>
        <v>196796.25</v>
      </c>
      <c r="R5" s="525">
        <f>R12*R13</f>
        <v>219287.25</v>
      </c>
      <c r="S5" s="525">
        <f>S12*S13</f>
        <v>241778.25</v>
      </c>
      <c r="T5" s="525">
        <f>T12*T13</f>
        <v>268017.75</v>
      </c>
      <c r="U5" s="525">
        <f>U12*U13</f>
        <v>292383.0</v>
      </c>
      <c r="V5" s="525">
        <f>V12*V13</f>
        <v>316748.25</v>
      </c>
      <c r="W5" s="525">
        <f>W12*W13</f>
        <v>344862.0</v>
      </c>
      <c r="X5" s="525">
        <f>X12*X13</f>
        <v>371101.5</v>
      </c>
      <c r="Y5" s="525">
        <f>Y12*Y13</f>
        <v>397341.0</v>
      </c>
      <c r="Z5" s="525">
        <f>Z12*Z13</f>
        <v>427329.0</v>
      </c>
      <c r="AA5" s="525">
        <f>AA12*AA13</f>
        <v>455442.75</v>
      </c>
      <c r="AB5" s="525">
        <f>AB12*AB13</f>
        <v>483556.5</v>
      </c>
      <c r="AC5" s="525">
        <f>AC12*AC13</f>
        <v>513544.5</v>
      </c>
      <c r="AD5" s="525">
        <f>AD12*AD13</f>
        <v>547281.0</v>
      </c>
      <c r="AE5" s="525">
        <f>AE12*AE13</f>
        <v>579143.25</v>
      </c>
      <c r="AF5" s="525">
        <f>AF12*AF13</f>
        <v>614754.0</v>
      </c>
      <c r="AG5" s="525">
        <f>AG12*AG13</f>
        <v>648490.5</v>
      </c>
      <c r="AH5" s="525">
        <f>AH12*AH13</f>
        <v>684101.25</v>
      </c>
      <c r="AI5" s="525">
        <f>AI12*AI13</f>
        <v>719712.0</v>
      </c>
      <c r="AJ5" s="525">
        <f>AJ12*AJ13</f>
        <v>757197.0</v>
      </c>
      <c r="AK5" s="525">
        <f>AK12*AK13</f>
        <v>792807.75</v>
      </c>
      <c r="AL5" s="525">
        <f>AL12*AL13</f>
        <v>832167.0</v>
      </c>
      <c r="AM5" s="525">
        <f>AM12*AM13</f>
        <v>869652.0</v>
      </c>
      <c r="AN5" s="525">
        <f>AN12*AN13</f>
        <v>907137.0</v>
      </c>
      <c r="AO5" s="525">
        <f>AO12*AO13</f>
        <v>948370.5</v>
      </c>
      <c r="AP5" s="525">
        <f>AP12*AP13</f>
        <v>987729.75</v>
      </c>
      <c r="AQ5" s="525">
        <f>AQ12*AQ13</f>
        <v>1027089.0</v>
      </c>
      <c r="AR5" s="525">
        <f>AR12*AR13</f>
        <v>1068322.5</v>
      </c>
      <c r="AS5" s="525">
        <f>AS12*AS13</f>
        <v>1109556.0</v>
      </c>
      <c r="AT5" s="525">
        <f>AT12*AT13</f>
        <v>1150789.5</v>
      </c>
      <c r="AU5" s="525">
        <f>AU12*AU13</f>
        <v>1193897.25</v>
      </c>
      <c r="AV5" s="525">
        <f>AV12*AV13</f>
        <v>1237005.0</v>
      </c>
      <c r="AW5" s="525">
        <f>AW12*AW13</f>
        <v>1280112.75</v>
      </c>
      <c r="AX5" s="525">
        <f>AX12*AX13</f>
        <v>1325094.75</v>
      </c>
      <c r="AY5" s="525">
        <f>AY12*AY13</f>
        <v>1368202.5</v>
      </c>
      <c r="AZ5" s="525">
        <f>AZ12*AZ13</f>
        <v>1413184.5</v>
      </c>
      <c r="BA5" s="525">
        <f>BA12*BA13</f>
        <v>1458166.5</v>
      </c>
      <c r="BB5" s="525">
        <f>BB12*BB13</f>
        <v>1512519.75</v>
      </c>
      <c r="BC5" s="525">
        <f>BC12*BC13</f>
        <v>1564998.75</v>
      </c>
      <c r="BD5" s="525">
        <f>BD12*BD13</f>
        <v>1619352.0</v>
      </c>
      <c r="BE5" s="525">
        <f>BE12*BE13</f>
        <v>1673705.25</v>
      </c>
      <c r="BF5" s="525">
        <f>BF12*BF13</f>
        <v>1728058.5</v>
      </c>
      <c r="BG5" s="525">
        <f>BG12*BG13</f>
        <v>1786160.25</v>
      </c>
      <c r="BH5" s="525">
        <f>BH12*BH13</f>
        <v>1842387.75</v>
      </c>
      <c r="BI5" s="525">
        <f>BI12*BI13</f>
        <v>1898615.25</v>
      </c>
      <c r="BJ5" s="525">
        <f>BJ12*BJ13</f>
        <v>1956717.0</v>
      </c>
      <c r="BK5" s="525">
        <f>BK12*BK13</f>
        <v>2014818.75</v>
      </c>
      <c r="BL5" s="525">
        <f>BL12*BL13</f>
        <v>2072920.5</v>
      </c>
      <c r="BM5" s="525">
        <f>BM12*BM13</f>
        <v>2132896.5</v>
      </c>
      <c r="BN5" s="526">
        <f>SUM(F5:Q5)</f>
        <v>1036460.25</v>
      </c>
      <c r="BO5" s="525">
        <f>SUM(R5:AC5)</f>
        <v>4331391.75</v>
      </c>
      <c r="BP5" s="525">
        <f>SUM(AD5:AO5)</f>
        <v>8900813.25</v>
      </c>
      <c r="BQ5" s="525">
        <f>SUM(AP5:BA5)</f>
        <v>14619150.0</v>
      </c>
      <c r="BR5" s="525">
        <f>SUM(BB5:BM5)</f>
        <v>21803150.25</v>
      </c>
    </row>
    <row r="6">
      <c r="C6" s="40" t="inlineStr">
        <is>
          <t>顧問先</t>
        </is>
      </c>
      <c r="D6" s="41" t="n"/>
      <c r="E6" s="41" t="n"/>
      <c r="F6" s="40">
        <f>35*F17</f>
        <v>0.0</v>
      </c>
      <c r="G6" s="40">
        <f>35*G17</f>
        <v>70.0</v>
      </c>
      <c r="H6" s="40">
        <f>35*H17</f>
        <v>385.0</v>
      </c>
      <c r="I6" s="40">
        <f>35*I17</f>
        <v>700.0</v>
      </c>
      <c r="J6" s="40">
        <f>35*J17</f>
        <v>980.0</v>
      </c>
      <c r="K6" s="40">
        <f>35*K17</f>
        <v>1330.0</v>
      </c>
      <c r="L6" s="40">
        <f>35*L17</f>
        <v>1680.0</v>
      </c>
      <c r="M6" s="40">
        <f>35*M17</f>
        <v>2030.0</v>
      </c>
      <c r="N6" s="40">
        <f>35*N17</f>
        <v>2450.0</v>
      </c>
      <c r="O6" s="40">
        <f>35*O17</f>
        <v>2835.0</v>
      </c>
      <c r="P6" s="40">
        <f>35*P17</f>
        <v>3220.0</v>
      </c>
      <c r="Q6" s="40">
        <f>35*Q17</f>
        <v>3675.0</v>
      </c>
      <c r="R6" s="40">
        <f>35*R17</f>
        <v>4095.0</v>
      </c>
      <c r="S6" s="40">
        <f>35*S17</f>
        <v>4515.0</v>
      </c>
      <c r="T6" s="40">
        <f>35*T17</f>
        <v>5005.0</v>
      </c>
      <c r="U6" s="40">
        <f>35*U17</f>
        <v>5460.0</v>
      </c>
      <c r="V6" s="40">
        <f>35*V17</f>
        <v>5915.0</v>
      </c>
      <c r="W6" s="40">
        <f>35*W17</f>
        <v>6440.0</v>
      </c>
      <c r="X6" s="40">
        <f>35*X17</f>
        <v>6930.0</v>
      </c>
      <c r="Y6" s="40">
        <f>35*Y17</f>
        <v>7420.0</v>
      </c>
      <c r="Z6" s="40">
        <f>35*Z17</f>
        <v>7980.0</v>
      </c>
      <c r="AA6" s="40">
        <f>35*AA17</f>
        <v>8505.0</v>
      </c>
      <c r="AB6" s="40">
        <f>35*AB17</f>
        <v>9030.0</v>
      </c>
      <c r="AC6" s="40">
        <f>35*AC17</f>
        <v>9590.0</v>
      </c>
      <c r="AD6" s="40">
        <f>35*AD17</f>
        <v>10220.0</v>
      </c>
      <c r="AE6" s="40">
        <f>35*AE17</f>
        <v>10815.0</v>
      </c>
      <c r="AF6" s="40">
        <f>35*AF17</f>
        <v>11480.0</v>
      </c>
      <c r="AG6" s="40">
        <f>35*AG17</f>
        <v>12110.0</v>
      </c>
      <c r="AH6" s="40">
        <f>35*AH17</f>
        <v>12775.0</v>
      </c>
      <c r="AI6" s="40">
        <f>35*AI17</f>
        <v>13440.0</v>
      </c>
      <c r="AJ6" s="40">
        <f>35*AJ17</f>
        <v>14140.0</v>
      </c>
      <c r="AK6" s="40">
        <f>35*AK17</f>
        <v>14805.0</v>
      </c>
      <c r="AL6" s="40">
        <f>35*AL17</f>
        <v>15540.0</v>
      </c>
      <c r="AM6" s="40">
        <f>35*AM17</f>
        <v>16240.0</v>
      </c>
      <c r="AN6" s="40">
        <f>35*AN17</f>
        <v>16940.0</v>
      </c>
      <c r="AO6" s="40">
        <f>35*AO17</f>
        <v>17710.0</v>
      </c>
      <c r="AP6" s="40">
        <f>35*AP17</f>
        <v>18445.0</v>
      </c>
      <c r="AQ6" s="40">
        <f>35*AQ17</f>
        <v>19180.0</v>
      </c>
      <c r="AR6" s="40">
        <f>35*AR17</f>
        <v>19950.0</v>
      </c>
      <c r="AS6" s="40">
        <f>35*AS17</f>
        <v>20720.0</v>
      </c>
      <c r="AT6" s="40">
        <f>35*AT17</f>
        <v>21490.0</v>
      </c>
      <c r="AU6" s="40">
        <f>35*AU17</f>
        <v>22295.0</v>
      </c>
      <c r="AV6" s="40">
        <f>35*AV17</f>
        <v>23100.0</v>
      </c>
      <c r="AW6" s="40">
        <f>35*AW17</f>
        <v>23905.0</v>
      </c>
      <c r="AX6" s="40">
        <f>35*AX17</f>
        <v>24745.0</v>
      </c>
      <c r="AY6" s="40">
        <f>35*AY17</f>
        <v>25550.0</v>
      </c>
      <c r="AZ6" s="40">
        <f>35*AZ17</f>
        <v>26390.0</v>
      </c>
      <c r="BA6" s="40">
        <f>35*BA17</f>
        <v>27230.0</v>
      </c>
      <c r="BB6" s="40">
        <f>35*BB17</f>
        <v>28245.0</v>
      </c>
      <c r="BC6" s="40">
        <f>35*BC17</f>
        <v>29225.0</v>
      </c>
      <c r="BD6" s="40">
        <f>35*BD17</f>
        <v>30240.0</v>
      </c>
      <c r="BE6" s="40">
        <f>35*BE17</f>
        <v>31255.0</v>
      </c>
      <c r="BF6" s="40">
        <f>35*BF17</f>
        <v>32270.0</v>
      </c>
      <c r="BG6" s="40">
        <f>35*BG17</f>
        <v>33355.0</v>
      </c>
      <c r="BH6" s="40">
        <f>35*BH17</f>
        <v>34405.0</v>
      </c>
      <c r="BI6" s="40">
        <f>35*BI17</f>
        <v>35455.0</v>
      </c>
      <c r="BJ6" s="40">
        <f>35*BJ17</f>
        <v>36540.0</v>
      </c>
      <c r="BK6" s="40">
        <f>35*BK17</f>
        <v>37625.0</v>
      </c>
      <c r="BL6" s="40">
        <f>35*BL17</f>
        <v>38710.0</v>
      </c>
      <c r="BM6" s="42">
        <f>35*BM17</f>
        <v>39830.0</v>
      </c>
      <c r="BN6" s="40">
        <f>35*BN17</f>
        <v>3675.0</v>
      </c>
      <c r="BO6" s="40">
        <f>35*BO17</f>
        <v>9590.0</v>
      </c>
      <c r="BP6" s="40">
        <f>35*BP17</f>
        <v>17710.0</v>
      </c>
      <c r="BQ6" s="40">
        <f>35*BQ17</f>
        <v>27230.0</v>
      </c>
      <c r="BR6" s="40">
        <f>35*BR17</f>
        <v>39830.0</v>
      </c>
    </row>
    <row r="7">
      <c r="C7" s="43" t="inlineStr">
        <is>
          <t>年商3,000万円以上</t>
        </is>
      </c>
      <c r="D7" s="44" t="n"/>
      <c r="E7" s="44" t="n"/>
      <c r="F7" s="527" t="n">
        <v>0.85</v>
      </c>
      <c r="G7" s="527" t="n">
        <v>0.85</v>
      </c>
      <c r="H7" s="527" t="n">
        <v>0.85</v>
      </c>
      <c r="I7" s="527" t="n">
        <v>0.85</v>
      </c>
      <c r="J7" s="527" t="n">
        <v>0.85</v>
      </c>
      <c r="K7" s="527" t="n">
        <v>0.85</v>
      </c>
      <c r="L7" s="527" t="n">
        <v>0.85</v>
      </c>
      <c r="M7" s="527" t="n">
        <v>0.85</v>
      </c>
      <c r="N7" s="527" t="n">
        <v>0.85</v>
      </c>
      <c r="O7" s="527" t="n">
        <v>0.85</v>
      </c>
      <c r="P7" s="527" t="n">
        <v>0.85</v>
      </c>
      <c r="Q7" s="527" t="n">
        <v>0.85</v>
      </c>
      <c r="R7" s="527" t="n">
        <v>0.85</v>
      </c>
      <c r="S7" s="527" t="n">
        <v>0.85</v>
      </c>
      <c r="T7" s="527" t="n">
        <v>0.85</v>
      </c>
      <c r="U7" s="527" t="n">
        <v>0.85</v>
      </c>
      <c r="V7" s="527" t="n">
        <v>0.85</v>
      </c>
      <c r="W7" s="527" t="n">
        <v>0.85</v>
      </c>
      <c r="X7" s="527" t="n">
        <v>0.85</v>
      </c>
      <c r="Y7" s="527" t="n">
        <v>0.85</v>
      </c>
      <c r="Z7" s="527" t="n">
        <v>0.85</v>
      </c>
      <c r="AA7" s="527" t="n">
        <v>0.85</v>
      </c>
      <c r="AB7" s="527" t="n">
        <v>0.85</v>
      </c>
      <c r="AC7" s="527" t="n">
        <v>0.85</v>
      </c>
      <c r="AD7" s="527" t="n">
        <v>0.85</v>
      </c>
      <c r="AE7" s="527" t="n">
        <v>0.85</v>
      </c>
      <c r="AF7" s="527" t="n">
        <v>0.85</v>
      </c>
      <c r="AG7" s="527" t="n">
        <v>0.85</v>
      </c>
      <c r="AH7" s="527" t="n">
        <v>0.85</v>
      </c>
      <c r="AI7" s="527" t="n">
        <v>0.85</v>
      </c>
      <c r="AJ7" s="527" t="n">
        <v>0.85</v>
      </c>
      <c r="AK7" s="527" t="n">
        <v>0.85</v>
      </c>
      <c r="AL7" s="527" t="n">
        <v>0.85</v>
      </c>
      <c r="AM7" s="527" t="n">
        <v>0.85</v>
      </c>
      <c r="AN7" s="527" t="n">
        <v>0.85</v>
      </c>
      <c r="AO7" s="527" t="n">
        <v>0.85</v>
      </c>
      <c r="AP7" s="527" t="n">
        <v>0.85</v>
      </c>
      <c r="AQ7" s="527" t="n">
        <v>0.85</v>
      </c>
      <c r="AR7" s="527" t="n">
        <v>0.85</v>
      </c>
      <c r="AS7" s="527" t="n">
        <v>0.85</v>
      </c>
      <c r="AT7" s="527" t="n">
        <v>0.85</v>
      </c>
      <c r="AU7" s="527" t="n">
        <v>0.85</v>
      </c>
      <c r="AV7" s="527" t="n">
        <v>0.85</v>
      </c>
      <c r="AW7" s="527" t="n">
        <v>0.85</v>
      </c>
      <c r="AX7" s="527" t="n">
        <v>0.85</v>
      </c>
      <c r="AY7" s="527" t="n">
        <v>0.85</v>
      </c>
      <c r="AZ7" s="527" t="n">
        <v>0.85</v>
      </c>
      <c r="BA7" s="527" t="n">
        <v>0.85</v>
      </c>
      <c r="BB7" s="527" t="n">
        <v>0.85</v>
      </c>
      <c r="BC7" s="527" t="n">
        <v>0.85</v>
      </c>
      <c r="BD7" s="527" t="n">
        <v>0.85</v>
      </c>
      <c r="BE7" s="527" t="n">
        <v>0.85</v>
      </c>
      <c r="BF7" s="527" t="n">
        <v>0.85</v>
      </c>
      <c r="BG7" s="527" t="n">
        <v>0.85</v>
      </c>
      <c r="BH7" s="527" t="n">
        <v>0.85</v>
      </c>
      <c r="BI7" s="527" t="n">
        <v>0.85</v>
      </c>
      <c r="BJ7" s="527" t="n">
        <v>0.85</v>
      </c>
      <c r="BK7" s="527" t="n">
        <v>0.85</v>
      </c>
      <c r="BL7" s="527" t="n">
        <v>0.85</v>
      </c>
      <c r="BM7" s="528" t="n">
        <v>0.85</v>
      </c>
      <c r="BN7" s="527" t="n">
        <v>0.85</v>
      </c>
      <c r="BO7" s="527" t="n">
        <v>0.85</v>
      </c>
      <c r="BP7" s="527" t="n">
        <v>0.85</v>
      </c>
      <c r="BQ7" s="527" t="n">
        <v>0.85</v>
      </c>
      <c r="BR7" s="527" t="n">
        <v>0.85</v>
      </c>
    </row>
    <row r="8">
      <c r="C8" s="43" t="inlineStr">
        <is>
          <t>資金繰りが逼迫</t>
        </is>
      </c>
      <c r="D8" s="47" t="inlineStr">
        <is>
          <t>ゾンビ率14.3%/赤字法人率61%</t>
        </is>
      </c>
      <c r="E8" s="47" t="n"/>
      <c r="F8" s="527" t="n">
        <v>0.25</v>
      </c>
      <c r="G8" s="527" t="n">
        <v>0.25</v>
      </c>
      <c r="H8" s="527" t="n">
        <v>0.25</v>
      </c>
      <c r="I8" s="527" t="n">
        <v>0.25</v>
      </c>
      <c r="J8" s="527" t="n">
        <v>0.25</v>
      </c>
      <c r="K8" s="527" t="n">
        <v>0.25</v>
      </c>
      <c r="L8" s="527" t="n">
        <v>0.25</v>
      </c>
      <c r="M8" s="527" t="n">
        <v>0.25</v>
      </c>
      <c r="N8" s="527" t="n">
        <v>0.25</v>
      </c>
      <c r="O8" s="527" t="n">
        <v>0.25</v>
      </c>
      <c r="P8" s="527" t="n">
        <v>0.25</v>
      </c>
      <c r="Q8" s="527" t="n">
        <v>0.25</v>
      </c>
      <c r="R8" s="527" t="n">
        <v>0.25</v>
      </c>
      <c r="S8" s="527" t="n">
        <v>0.25</v>
      </c>
      <c r="T8" s="527" t="n">
        <v>0.25</v>
      </c>
      <c r="U8" s="527" t="n">
        <v>0.25</v>
      </c>
      <c r="V8" s="527" t="n">
        <v>0.25</v>
      </c>
      <c r="W8" s="527" t="n">
        <v>0.25</v>
      </c>
      <c r="X8" s="527" t="n">
        <v>0.25</v>
      </c>
      <c r="Y8" s="527" t="n">
        <v>0.25</v>
      </c>
      <c r="Z8" s="527" t="n">
        <v>0.25</v>
      </c>
      <c r="AA8" s="527" t="n">
        <v>0.25</v>
      </c>
      <c r="AB8" s="527" t="n">
        <v>0.25</v>
      </c>
      <c r="AC8" s="527" t="n">
        <v>0.25</v>
      </c>
      <c r="AD8" s="527" t="n">
        <v>0.25</v>
      </c>
      <c r="AE8" s="527" t="n">
        <v>0.25</v>
      </c>
      <c r="AF8" s="527" t="n">
        <v>0.25</v>
      </c>
      <c r="AG8" s="527" t="n">
        <v>0.25</v>
      </c>
      <c r="AH8" s="527" t="n">
        <v>0.25</v>
      </c>
      <c r="AI8" s="527" t="n">
        <v>0.25</v>
      </c>
      <c r="AJ8" s="527" t="n">
        <v>0.25</v>
      </c>
      <c r="AK8" s="527" t="n">
        <v>0.25</v>
      </c>
      <c r="AL8" s="527" t="n">
        <v>0.25</v>
      </c>
      <c r="AM8" s="527" t="n">
        <v>0.25</v>
      </c>
      <c r="AN8" s="527" t="n">
        <v>0.25</v>
      </c>
      <c r="AO8" s="527" t="n">
        <v>0.25</v>
      </c>
      <c r="AP8" s="527" t="n">
        <v>0.25</v>
      </c>
      <c r="AQ8" s="527" t="n">
        <v>0.25</v>
      </c>
      <c r="AR8" s="527" t="n">
        <v>0.25</v>
      </c>
      <c r="AS8" s="527" t="n">
        <v>0.25</v>
      </c>
      <c r="AT8" s="527" t="n">
        <v>0.25</v>
      </c>
      <c r="AU8" s="527" t="n">
        <v>0.25</v>
      </c>
      <c r="AV8" s="527" t="n">
        <v>0.25</v>
      </c>
      <c r="AW8" s="527" t="n">
        <v>0.25</v>
      </c>
      <c r="AX8" s="527" t="n">
        <v>0.25</v>
      </c>
      <c r="AY8" s="527" t="n">
        <v>0.25</v>
      </c>
      <c r="AZ8" s="527" t="n">
        <v>0.25</v>
      </c>
      <c r="BA8" s="527" t="n">
        <v>0.25</v>
      </c>
      <c r="BB8" s="527" t="n">
        <v>0.25</v>
      </c>
      <c r="BC8" s="527" t="n">
        <v>0.25</v>
      </c>
      <c r="BD8" s="527" t="n">
        <v>0.25</v>
      </c>
      <c r="BE8" s="527" t="n">
        <v>0.25</v>
      </c>
      <c r="BF8" s="527" t="n">
        <v>0.25</v>
      </c>
      <c r="BG8" s="527" t="n">
        <v>0.25</v>
      </c>
      <c r="BH8" s="527" t="n">
        <v>0.25</v>
      </c>
      <c r="BI8" s="527" t="n">
        <v>0.25</v>
      </c>
      <c r="BJ8" s="527" t="n">
        <v>0.25</v>
      </c>
      <c r="BK8" s="527" t="n">
        <v>0.25</v>
      </c>
      <c r="BL8" s="527" t="n">
        <v>0.25</v>
      </c>
      <c r="BM8" s="528" t="n">
        <v>0.25</v>
      </c>
      <c r="BN8" s="527" t="n">
        <v>0.25</v>
      </c>
      <c r="BO8" s="527" t="n">
        <v>0.25</v>
      </c>
      <c r="BP8" s="527" t="n">
        <v>0.25</v>
      </c>
      <c r="BQ8" s="527" t="n">
        <v>0.25</v>
      </c>
      <c r="BR8" s="527" t="n">
        <v>0.25</v>
      </c>
    </row>
    <row r="9">
      <c r="C9" s="43" t="inlineStr">
        <is>
          <t>カード与信を通過</t>
        </is>
      </c>
      <c r="D9" s="44" t="n"/>
      <c r="E9" s="44" t="n"/>
      <c r="F9" s="527" t="n">
        <v>0.7</v>
      </c>
      <c r="G9" s="527" t="n">
        <v>0.7</v>
      </c>
      <c r="H9" s="527" t="n">
        <v>0.7</v>
      </c>
      <c r="I9" s="527" t="n">
        <v>0.7</v>
      </c>
      <c r="J9" s="527" t="n">
        <v>0.7</v>
      </c>
      <c r="K9" s="527" t="n">
        <v>0.7</v>
      </c>
      <c r="L9" s="527" t="n">
        <v>0.7</v>
      </c>
      <c r="M9" s="527" t="n">
        <v>0.7</v>
      </c>
      <c r="N9" s="527" t="n">
        <v>0.7</v>
      </c>
      <c r="O9" s="527" t="n">
        <v>0.7</v>
      </c>
      <c r="P9" s="527" t="n">
        <v>0.7</v>
      </c>
      <c r="Q9" s="527" t="n">
        <v>0.7</v>
      </c>
      <c r="R9" s="527" t="n">
        <v>0.7</v>
      </c>
      <c r="S9" s="527" t="n">
        <v>0.7</v>
      </c>
      <c r="T9" s="527" t="n">
        <v>0.7</v>
      </c>
      <c r="U9" s="527" t="n">
        <v>0.7</v>
      </c>
      <c r="V9" s="527" t="n">
        <v>0.7</v>
      </c>
      <c r="W9" s="527" t="n">
        <v>0.7</v>
      </c>
      <c r="X9" s="527" t="n">
        <v>0.7</v>
      </c>
      <c r="Y9" s="527" t="n">
        <v>0.7</v>
      </c>
      <c r="Z9" s="527" t="n">
        <v>0.7</v>
      </c>
      <c r="AA9" s="527" t="n">
        <v>0.7</v>
      </c>
      <c r="AB9" s="527" t="n">
        <v>0.7</v>
      </c>
      <c r="AC9" s="527" t="n">
        <v>0.7</v>
      </c>
      <c r="AD9" s="527" t="n">
        <v>0.7</v>
      </c>
      <c r="AE9" s="527" t="n">
        <v>0.7</v>
      </c>
      <c r="AF9" s="527" t="n">
        <v>0.7</v>
      </c>
      <c r="AG9" s="527" t="n">
        <v>0.7</v>
      </c>
      <c r="AH9" s="527" t="n">
        <v>0.7</v>
      </c>
      <c r="AI9" s="527" t="n">
        <v>0.7</v>
      </c>
      <c r="AJ9" s="527" t="n">
        <v>0.7</v>
      </c>
      <c r="AK9" s="527" t="n">
        <v>0.7</v>
      </c>
      <c r="AL9" s="527" t="n">
        <v>0.7</v>
      </c>
      <c r="AM9" s="527" t="n">
        <v>0.7</v>
      </c>
      <c r="AN9" s="527" t="n">
        <v>0.7</v>
      </c>
      <c r="AO9" s="527" t="n">
        <v>0.7</v>
      </c>
      <c r="AP9" s="527" t="n">
        <v>0.7</v>
      </c>
      <c r="AQ9" s="527" t="n">
        <v>0.7</v>
      </c>
      <c r="AR9" s="527" t="n">
        <v>0.7</v>
      </c>
      <c r="AS9" s="527" t="n">
        <v>0.7</v>
      </c>
      <c r="AT9" s="527" t="n">
        <v>0.7</v>
      </c>
      <c r="AU9" s="527" t="n">
        <v>0.7</v>
      </c>
      <c r="AV9" s="527" t="n">
        <v>0.7</v>
      </c>
      <c r="AW9" s="527" t="n">
        <v>0.7</v>
      </c>
      <c r="AX9" s="527" t="n">
        <v>0.7</v>
      </c>
      <c r="AY9" s="527" t="n">
        <v>0.7</v>
      </c>
      <c r="AZ9" s="527" t="n">
        <v>0.7</v>
      </c>
      <c r="BA9" s="527" t="n">
        <v>0.7</v>
      </c>
      <c r="BB9" s="527" t="n">
        <v>0.7</v>
      </c>
      <c r="BC9" s="527" t="n">
        <v>0.7</v>
      </c>
      <c r="BD9" s="527" t="n">
        <v>0.7</v>
      </c>
      <c r="BE9" s="527" t="n">
        <v>0.7</v>
      </c>
      <c r="BF9" s="527" t="n">
        <v>0.7</v>
      </c>
      <c r="BG9" s="527" t="n">
        <v>0.7</v>
      </c>
      <c r="BH9" s="527" t="n">
        <v>0.7</v>
      </c>
      <c r="BI9" s="527" t="n">
        <v>0.7</v>
      </c>
      <c r="BJ9" s="527" t="n">
        <v>0.7</v>
      </c>
      <c r="BK9" s="527" t="n">
        <v>0.7</v>
      </c>
      <c r="BL9" s="527" t="n">
        <v>0.7</v>
      </c>
      <c r="BM9" s="528" t="n">
        <v>0.7</v>
      </c>
      <c r="BN9" s="527" t="n">
        <v>0.7</v>
      </c>
      <c r="BO9" s="527" t="n">
        <v>0.7</v>
      </c>
      <c r="BP9" s="527" t="n">
        <v>0.7</v>
      </c>
      <c r="BQ9" s="527" t="n">
        <v>0.7</v>
      </c>
      <c r="BR9" s="527" t="n">
        <v>0.7</v>
      </c>
    </row>
    <row r="10">
      <c r="C10" s="43" t="inlineStr">
        <is>
          <t>税理士 ➡ 企業提案</t>
        </is>
      </c>
      <c r="D10" s="44" t="n"/>
      <c r="E10" s="44" t="n"/>
      <c r="F10" s="527" t="n">
        <v>0.4</v>
      </c>
      <c r="G10" s="527" t="n">
        <v>0.4</v>
      </c>
      <c r="H10" s="527" t="n">
        <v>0.4</v>
      </c>
      <c r="I10" s="527" t="n">
        <v>0.4</v>
      </c>
      <c r="J10" s="527" t="n">
        <v>0.4</v>
      </c>
      <c r="K10" s="527" t="n">
        <v>0.4</v>
      </c>
      <c r="L10" s="527" t="n">
        <v>0.4</v>
      </c>
      <c r="M10" s="527" t="n">
        <v>0.4</v>
      </c>
      <c r="N10" s="527" t="n">
        <v>0.4</v>
      </c>
      <c r="O10" s="527" t="n">
        <v>0.4</v>
      </c>
      <c r="P10" s="527" t="n">
        <v>0.4</v>
      </c>
      <c r="Q10" s="527" t="n">
        <v>0.4</v>
      </c>
      <c r="R10" s="527" t="n">
        <v>0.4</v>
      </c>
      <c r="S10" s="527" t="n">
        <v>0.4</v>
      </c>
      <c r="T10" s="527" t="n">
        <v>0.4</v>
      </c>
      <c r="U10" s="527" t="n">
        <v>0.4</v>
      </c>
      <c r="V10" s="527" t="n">
        <v>0.4</v>
      </c>
      <c r="W10" s="527" t="n">
        <v>0.4</v>
      </c>
      <c r="X10" s="527" t="n">
        <v>0.4</v>
      </c>
      <c r="Y10" s="527" t="n">
        <v>0.4</v>
      </c>
      <c r="Z10" s="527" t="n">
        <v>0.4</v>
      </c>
      <c r="AA10" s="527" t="n">
        <v>0.4</v>
      </c>
      <c r="AB10" s="527" t="n">
        <v>0.4</v>
      </c>
      <c r="AC10" s="527" t="n">
        <v>0.4</v>
      </c>
      <c r="AD10" s="527" t="n">
        <v>0.4</v>
      </c>
      <c r="AE10" s="527" t="n">
        <v>0.4</v>
      </c>
      <c r="AF10" s="527" t="n">
        <v>0.4</v>
      </c>
      <c r="AG10" s="527" t="n">
        <v>0.4</v>
      </c>
      <c r="AH10" s="527" t="n">
        <v>0.4</v>
      </c>
      <c r="AI10" s="527" t="n">
        <v>0.4</v>
      </c>
      <c r="AJ10" s="527" t="n">
        <v>0.4</v>
      </c>
      <c r="AK10" s="527" t="n">
        <v>0.4</v>
      </c>
      <c r="AL10" s="527" t="n">
        <v>0.4</v>
      </c>
      <c r="AM10" s="527" t="n">
        <v>0.4</v>
      </c>
      <c r="AN10" s="527" t="n">
        <v>0.4</v>
      </c>
      <c r="AO10" s="527" t="n">
        <v>0.4</v>
      </c>
      <c r="AP10" s="527" t="n">
        <v>0.4</v>
      </c>
      <c r="AQ10" s="527" t="n">
        <v>0.4</v>
      </c>
      <c r="AR10" s="527" t="n">
        <v>0.4</v>
      </c>
      <c r="AS10" s="527" t="n">
        <v>0.4</v>
      </c>
      <c r="AT10" s="527" t="n">
        <v>0.4</v>
      </c>
      <c r="AU10" s="527" t="n">
        <v>0.4</v>
      </c>
      <c r="AV10" s="527" t="n">
        <v>0.4</v>
      </c>
      <c r="AW10" s="527" t="n">
        <v>0.4</v>
      </c>
      <c r="AX10" s="527" t="n">
        <v>0.4</v>
      </c>
      <c r="AY10" s="527" t="n">
        <v>0.4</v>
      </c>
      <c r="AZ10" s="527" t="n">
        <v>0.4</v>
      </c>
      <c r="BA10" s="527" t="n">
        <v>0.4</v>
      </c>
      <c r="BB10" s="527" t="n">
        <v>0.4</v>
      </c>
      <c r="BC10" s="527" t="n">
        <v>0.4</v>
      </c>
      <c r="BD10" s="527" t="n">
        <v>0.4</v>
      </c>
      <c r="BE10" s="527" t="n">
        <v>0.4</v>
      </c>
      <c r="BF10" s="527" t="n">
        <v>0.4</v>
      </c>
      <c r="BG10" s="527" t="n">
        <v>0.4</v>
      </c>
      <c r="BH10" s="527" t="n">
        <v>0.4</v>
      </c>
      <c r="BI10" s="527" t="n">
        <v>0.4</v>
      </c>
      <c r="BJ10" s="527" t="n">
        <v>0.4</v>
      </c>
      <c r="BK10" s="527" t="n">
        <v>0.4</v>
      </c>
      <c r="BL10" s="527" t="n">
        <v>0.4</v>
      </c>
      <c r="BM10" s="528" t="n">
        <v>0.4</v>
      </c>
      <c r="BN10" s="527" t="n">
        <v>0.4</v>
      </c>
      <c r="BO10" s="527" t="n">
        <v>0.4</v>
      </c>
      <c r="BP10" s="527" t="n">
        <v>0.4</v>
      </c>
      <c r="BQ10" s="527" t="n">
        <v>0.4</v>
      </c>
      <c r="BR10" s="527" t="n">
        <v>0.4</v>
      </c>
    </row>
    <row r="11">
      <c r="C11" s="48" t="inlineStr">
        <is>
          <t>受注率</t>
        </is>
      </c>
      <c r="D11" s="41" t="n"/>
      <c r="E11" s="41" t="n"/>
      <c r="F11" s="529" t="n">
        <v>0.6</v>
      </c>
      <c r="G11" s="529" t="n">
        <v>0.6</v>
      </c>
      <c r="H11" s="529" t="n">
        <v>0.6</v>
      </c>
      <c r="I11" s="529" t="n">
        <v>0.6</v>
      </c>
      <c r="J11" s="529" t="n">
        <v>0.6</v>
      </c>
      <c r="K11" s="529" t="n">
        <v>0.6</v>
      </c>
      <c r="L11" s="529" t="n">
        <v>0.6</v>
      </c>
      <c r="M11" s="529" t="n">
        <v>0.6</v>
      </c>
      <c r="N11" s="529" t="n">
        <v>0.6</v>
      </c>
      <c r="O11" s="529" t="n">
        <v>0.6</v>
      </c>
      <c r="P11" s="529" t="n">
        <v>0.6</v>
      </c>
      <c r="Q11" s="529" t="n">
        <v>0.6</v>
      </c>
      <c r="R11" s="529" t="n">
        <v>0.6</v>
      </c>
      <c r="S11" s="529" t="n">
        <v>0.6</v>
      </c>
      <c r="T11" s="529" t="n">
        <v>0.6</v>
      </c>
      <c r="U11" s="529" t="n">
        <v>0.6</v>
      </c>
      <c r="V11" s="529" t="n">
        <v>0.6</v>
      </c>
      <c r="W11" s="529" t="n">
        <v>0.6</v>
      </c>
      <c r="X11" s="529" t="n">
        <v>0.6</v>
      </c>
      <c r="Y11" s="529" t="n">
        <v>0.6</v>
      </c>
      <c r="Z11" s="529" t="n">
        <v>0.6</v>
      </c>
      <c r="AA11" s="529" t="n">
        <v>0.6</v>
      </c>
      <c r="AB11" s="529" t="n">
        <v>0.6</v>
      </c>
      <c r="AC11" s="529" t="n">
        <v>0.6</v>
      </c>
      <c r="AD11" s="529" t="n">
        <v>0.6</v>
      </c>
      <c r="AE11" s="529" t="n">
        <v>0.6</v>
      </c>
      <c r="AF11" s="529" t="n">
        <v>0.6</v>
      </c>
      <c r="AG11" s="529" t="n">
        <v>0.6</v>
      </c>
      <c r="AH11" s="529" t="n">
        <v>0.6</v>
      </c>
      <c r="AI11" s="529" t="n">
        <v>0.6</v>
      </c>
      <c r="AJ11" s="529" t="n">
        <v>0.6</v>
      </c>
      <c r="AK11" s="529" t="n">
        <v>0.6</v>
      </c>
      <c r="AL11" s="529" t="n">
        <v>0.6</v>
      </c>
      <c r="AM11" s="529" t="n">
        <v>0.6</v>
      </c>
      <c r="AN11" s="529" t="n">
        <v>0.6</v>
      </c>
      <c r="AO11" s="529" t="n">
        <v>0.6</v>
      </c>
      <c r="AP11" s="529" t="n">
        <v>0.6</v>
      </c>
      <c r="AQ11" s="529" t="n">
        <v>0.6</v>
      </c>
      <c r="AR11" s="529" t="n">
        <v>0.6</v>
      </c>
      <c r="AS11" s="529" t="n">
        <v>0.6</v>
      </c>
      <c r="AT11" s="529" t="n">
        <v>0.6</v>
      </c>
      <c r="AU11" s="529" t="n">
        <v>0.6</v>
      </c>
      <c r="AV11" s="529" t="n">
        <v>0.6</v>
      </c>
      <c r="AW11" s="529" t="n">
        <v>0.6</v>
      </c>
      <c r="AX11" s="529" t="n">
        <v>0.6</v>
      </c>
      <c r="AY11" s="529" t="n">
        <v>0.6</v>
      </c>
      <c r="AZ11" s="529" t="n">
        <v>0.6</v>
      </c>
      <c r="BA11" s="529" t="n">
        <v>0.6</v>
      </c>
      <c r="BB11" s="529" t="n">
        <v>0.6</v>
      </c>
      <c r="BC11" s="529" t="n">
        <v>0.6</v>
      </c>
      <c r="BD11" s="529" t="n">
        <v>0.6</v>
      </c>
      <c r="BE11" s="529" t="n">
        <v>0.6</v>
      </c>
      <c r="BF11" s="529" t="n">
        <v>0.6</v>
      </c>
      <c r="BG11" s="529" t="n">
        <v>0.6</v>
      </c>
      <c r="BH11" s="529" t="n">
        <v>0.6</v>
      </c>
      <c r="BI11" s="529" t="n">
        <v>0.6</v>
      </c>
      <c r="BJ11" s="529" t="n">
        <v>0.6</v>
      </c>
      <c r="BK11" s="529" t="n">
        <v>0.6</v>
      </c>
      <c r="BL11" s="529" t="n">
        <v>0.6</v>
      </c>
      <c r="BM11" s="530" t="n">
        <v>0.6</v>
      </c>
      <c r="BN11" s="529" t="n">
        <v>0.6</v>
      </c>
      <c r="BO11" s="529" t="n">
        <v>0.6</v>
      </c>
      <c r="BP11" s="529" t="n">
        <v>0.6</v>
      </c>
      <c r="BQ11" s="529" t="n">
        <v>0.6</v>
      </c>
      <c r="BR11" s="529" t="n">
        <v>0.6</v>
      </c>
    </row>
    <row r="12">
      <c r="C12" s="43" t="inlineStr">
        <is>
          <t>１税理士 / 受注数（累計獲得数・解約前）</t>
        </is>
      </c>
      <c r="D12" s="44" t="n"/>
      <c r="E12" s="44" t="n"/>
      <c r="F12" s="531">
        <f>PRODUCT(F6:F11)</f>
        <v>0.0</v>
      </c>
      <c r="G12" s="531">
        <f>PRODUCT(G6:G11)</f>
        <v>2.499</v>
      </c>
      <c r="H12" s="531">
        <f>PRODUCT(H6:H11)</f>
        <v>13.7445</v>
      </c>
      <c r="I12" s="531">
        <f>PRODUCT(I6:I11)</f>
        <v>24.99</v>
      </c>
      <c r="J12" s="531">
        <f>PRODUCT(J6:J11)</f>
        <v>34.986</v>
      </c>
      <c r="K12" s="531">
        <f>PRODUCT(K6:K11)</f>
        <v>47.481</v>
      </c>
      <c r="L12" s="531">
        <f>PRODUCT(L6:L11)</f>
        <v>59.976</v>
      </c>
      <c r="M12" s="531">
        <f>PRODUCT(M6:M11)</f>
        <v>72.471</v>
      </c>
      <c r="N12" s="531">
        <f>PRODUCT(N6:N11)</f>
        <v>87.465</v>
      </c>
      <c r="O12" s="531">
        <f>PRODUCT(O6:O11)</f>
        <v>101.2095</v>
      </c>
      <c r="P12" s="531">
        <f>PRODUCT(P6:P11)</f>
        <v>114.954</v>
      </c>
      <c r="Q12" s="531">
        <f>PRODUCT(Q6:Q11)</f>
        <v>131.1975</v>
      </c>
      <c r="R12" s="531">
        <f>PRODUCT(R6:R11)</f>
        <v>146.1915</v>
      </c>
      <c r="S12" s="531">
        <f>PRODUCT(S6:S11)</f>
        <v>161.1855</v>
      </c>
      <c r="T12" s="531">
        <f>PRODUCT(T6:T11)</f>
        <v>178.6785</v>
      </c>
      <c r="U12" s="531">
        <f>PRODUCT(U6:U11)</f>
        <v>194.922</v>
      </c>
      <c r="V12" s="531">
        <f>PRODUCT(V6:V11)</f>
        <v>211.1655</v>
      </c>
      <c r="W12" s="531">
        <f>PRODUCT(W6:W11)</f>
        <v>229.908</v>
      </c>
      <c r="X12" s="531">
        <f>PRODUCT(X6:X11)</f>
        <v>247.401</v>
      </c>
      <c r="Y12" s="531">
        <f>PRODUCT(Y6:Y11)</f>
        <v>264.894</v>
      </c>
      <c r="Z12" s="531">
        <f>PRODUCT(Z6:Z11)</f>
        <v>284.886</v>
      </c>
      <c r="AA12" s="531">
        <f>PRODUCT(AA6:AA11)</f>
        <v>303.6285</v>
      </c>
      <c r="AB12" s="531">
        <f>PRODUCT(AB6:AB11)</f>
        <v>322.371</v>
      </c>
      <c r="AC12" s="531">
        <f>PRODUCT(AC6:AC11)</f>
        <v>342.363</v>
      </c>
      <c r="AD12" s="531">
        <f>PRODUCT(AD6:AD11)</f>
        <v>364.854</v>
      </c>
      <c r="AE12" s="531">
        <f>PRODUCT(AE6:AE11)</f>
        <v>386.0955</v>
      </c>
      <c r="AF12" s="531">
        <f>PRODUCT(AF6:AF11)</f>
        <v>409.836</v>
      </c>
      <c r="AG12" s="531">
        <f>PRODUCT(AG6:AG11)</f>
        <v>432.327</v>
      </c>
      <c r="AH12" s="531">
        <f>PRODUCT(AH6:AH11)</f>
        <v>456.0675</v>
      </c>
      <c r="AI12" s="531">
        <f>PRODUCT(AI6:AI11)</f>
        <v>479.808</v>
      </c>
      <c r="AJ12" s="531">
        <f>PRODUCT(AJ6:AJ11)</f>
        <v>504.798</v>
      </c>
      <c r="AK12" s="531">
        <f>PRODUCT(AK6:AK11)</f>
        <v>528.5385</v>
      </c>
      <c r="AL12" s="531">
        <f>PRODUCT(AL6:AL11)</f>
        <v>554.778</v>
      </c>
      <c r="AM12" s="531">
        <f>PRODUCT(AM6:AM11)</f>
        <v>579.768</v>
      </c>
      <c r="AN12" s="531">
        <f>PRODUCT(AN6:AN11)</f>
        <v>604.758</v>
      </c>
      <c r="AO12" s="531">
        <f>PRODUCT(AO6:AO11)</f>
        <v>632.247</v>
      </c>
      <c r="AP12" s="531">
        <f>PRODUCT(AP6:AP11)</f>
        <v>658.4865</v>
      </c>
      <c r="AQ12" s="531">
        <f>PRODUCT(AQ6:AQ11)</f>
        <v>684.726</v>
      </c>
      <c r="AR12" s="531">
        <f>PRODUCT(AR6:AR11)</f>
        <v>712.215</v>
      </c>
      <c r="AS12" s="531">
        <f>PRODUCT(AS6:AS11)</f>
        <v>739.704</v>
      </c>
      <c r="AT12" s="531">
        <f>PRODUCT(AT6:AT11)</f>
        <v>767.193</v>
      </c>
      <c r="AU12" s="531">
        <f>PRODUCT(AU6:AU11)</f>
        <v>795.9315</v>
      </c>
      <c r="AV12" s="531">
        <f>PRODUCT(AV6:AV11)</f>
        <v>824.67</v>
      </c>
      <c r="AW12" s="531">
        <f>PRODUCT(AW6:AW11)</f>
        <v>853.4085</v>
      </c>
      <c r="AX12" s="531">
        <f>PRODUCT(AX6:AX11)</f>
        <v>883.3965</v>
      </c>
      <c r="AY12" s="531">
        <f>PRODUCT(AY6:AY11)</f>
        <v>912.135</v>
      </c>
      <c r="AZ12" s="531">
        <f>PRODUCT(AZ6:AZ11)</f>
        <v>942.123</v>
      </c>
      <c r="BA12" s="531">
        <f>PRODUCT(BA6:BA11)</f>
        <v>972.111</v>
      </c>
      <c r="BB12" s="531">
        <f>PRODUCT(BB6:BB11)</f>
        <v>1008.3465</v>
      </c>
      <c r="BC12" s="531">
        <f>PRODUCT(BC6:BC11)</f>
        <v>1043.3325</v>
      </c>
      <c r="BD12" s="531">
        <f>PRODUCT(BD6:BD11)</f>
        <v>1079.568</v>
      </c>
      <c r="BE12" s="531">
        <f>PRODUCT(BE6:BE11)</f>
        <v>1115.8035</v>
      </c>
      <c r="BF12" s="531">
        <f>PRODUCT(BF6:BF11)</f>
        <v>1152.039</v>
      </c>
      <c r="BG12" s="531">
        <f>PRODUCT(BG6:BG11)</f>
        <v>1190.7735</v>
      </c>
      <c r="BH12" s="531">
        <f>PRODUCT(BH6:BH11)</f>
        <v>1228.2585</v>
      </c>
      <c r="BI12" s="531">
        <f>PRODUCT(BI6:BI11)</f>
        <v>1265.7435</v>
      </c>
      <c r="BJ12" s="531">
        <f>PRODUCT(BJ6:BJ11)</f>
        <v>1304.478</v>
      </c>
      <c r="BK12" s="531">
        <f>PRODUCT(BK6:BK11)</f>
        <v>1343.2125</v>
      </c>
      <c r="BL12" s="531">
        <f>PRODUCT(BL6:BL11)</f>
        <v>1381.947</v>
      </c>
      <c r="BM12" s="531">
        <f>PRODUCT(BM6:BM11)</f>
        <v>1421.931</v>
      </c>
      <c r="BN12" s="532">
        <f>PRODUCT(BN6:BN11)</f>
        <v>131.1975</v>
      </c>
      <c r="BO12" s="531">
        <f>PRODUCT(BO6:BO11)</f>
        <v>342.363</v>
      </c>
      <c r="BP12" s="531">
        <f>PRODUCT(BP6:BP11)</f>
        <v>632.247</v>
      </c>
      <c r="BQ12" s="531">
        <f>PRODUCT(BQ6:BQ11)</f>
        <v>972.111</v>
      </c>
      <c r="BR12" s="531">
        <f>PRODUCT(BR6:BR11)</f>
        <v>1421.931</v>
      </c>
    </row>
    <row r="13">
      <c r="C13" s="52" t="inlineStr">
        <is>
          <t>単価</t>
        </is>
      </c>
      <c r="D13" s="44" t="n"/>
      <c r="E13" s="44" t="n"/>
      <c r="F13" s="533">
        <f>F14*F15</f>
        <v>1500.0</v>
      </c>
      <c r="G13" s="533">
        <f>G14*G15</f>
        <v>1500.0</v>
      </c>
      <c r="H13" s="533">
        <f>H14*H15</f>
        <v>1500.0</v>
      </c>
      <c r="I13" s="533">
        <f>I14*I15</f>
        <v>1500.0</v>
      </c>
      <c r="J13" s="533">
        <f>J14*J15</f>
        <v>1500.0</v>
      </c>
      <c r="K13" s="533">
        <f>K14*K15</f>
        <v>1500.0</v>
      </c>
      <c r="L13" s="533">
        <f>L14*L15</f>
        <v>1500.0</v>
      </c>
      <c r="M13" s="533">
        <f>M14*M15</f>
        <v>1500.0</v>
      </c>
      <c r="N13" s="533">
        <f>N14*N15</f>
        <v>1500.0</v>
      </c>
      <c r="O13" s="533">
        <f>O14*O15</f>
        <v>1500.0</v>
      </c>
      <c r="P13" s="533">
        <f>P14*P15</f>
        <v>1500.0</v>
      </c>
      <c r="Q13" s="533">
        <f>Q14*Q15</f>
        <v>1500.0</v>
      </c>
      <c r="R13" s="533">
        <f>R14*R15</f>
        <v>1500.0</v>
      </c>
      <c r="S13" s="533">
        <f>S14*S15</f>
        <v>1500.0</v>
      </c>
      <c r="T13" s="533">
        <f>T14*T15</f>
        <v>1500.0</v>
      </c>
      <c r="U13" s="533">
        <f>U14*U15</f>
        <v>1500.0</v>
      </c>
      <c r="V13" s="533">
        <f>V14*V15</f>
        <v>1500.0</v>
      </c>
      <c r="W13" s="533">
        <f>W14*W15</f>
        <v>1500.0</v>
      </c>
      <c r="X13" s="533">
        <f>X14*X15</f>
        <v>1500.0</v>
      </c>
      <c r="Y13" s="533">
        <f>Y14*Y15</f>
        <v>1500.0</v>
      </c>
      <c r="Z13" s="533">
        <f>Z14*Z15</f>
        <v>1500.0</v>
      </c>
      <c r="AA13" s="533">
        <f>AA14*AA15</f>
        <v>1500.0</v>
      </c>
      <c r="AB13" s="533">
        <f>AB14*AB15</f>
        <v>1500.0</v>
      </c>
      <c r="AC13" s="533">
        <f>AC14*AC15</f>
        <v>1500.0</v>
      </c>
      <c r="AD13" s="533">
        <f>AD14*AD15</f>
        <v>1500.0</v>
      </c>
      <c r="AE13" s="533">
        <f>AE14*AE15</f>
        <v>1500.0</v>
      </c>
      <c r="AF13" s="533">
        <f>AF14*AF15</f>
        <v>1500.0</v>
      </c>
      <c r="AG13" s="533">
        <f>AG14*AG15</f>
        <v>1500.0</v>
      </c>
      <c r="AH13" s="533">
        <f>AH14*AH15</f>
        <v>1500.0</v>
      </c>
      <c r="AI13" s="533">
        <f>AI14*AI15</f>
        <v>1500.0</v>
      </c>
      <c r="AJ13" s="533">
        <f>AJ14*AJ15</f>
        <v>1500.0</v>
      </c>
      <c r="AK13" s="533">
        <f>AK14*AK15</f>
        <v>1500.0</v>
      </c>
      <c r="AL13" s="533">
        <f>AL14*AL15</f>
        <v>1500.0</v>
      </c>
      <c r="AM13" s="533">
        <f>AM14*AM15</f>
        <v>1500.0</v>
      </c>
      <c r="AN13" s="533">
        <f>AN14*AN15</f>
        <v>1500.0</v>
      </c>
      <c r="AO13" s="533">
        <f>AO14*AO15</f>
        <v>1500.0</v>
      </c>
      <c r="AP13" s="533">
        <f>AP14*AP15</f>
        <v>1500.0</v>
      </c>
      <c r="AQ13" s="533">
        <f>AQ14*AQ15</f>
        <v>1500.0</v>
      </c>
      <c r="AR13" s="533">
        <f>AR14*AR15</f>
        <v>1500.0</v>
      </c>
      <c r="AS13" s="533">
        <f>AS14*AS15</f>
        <v>1500.0</v>
      </c>
      <c r="AT13" s="533">
        <f>AT14*AT15</f>
        <v>1500.0</v>
      </c>
      <c r="AU13" s="533">
        <f>AU14*AU15</f>
        <v>1500.0</v>
      </c>
      <c r="AV13" s="533">
        <f>AV14*AV15</f>
        <v>1500.0</v>
      </c>
      <c r="AW13" s="533">
        <f>AW14*AW15</f>
        <v>1500.0</v>
      </c>
      <c r="AX13" s="533">
        <f>AX14*AX15</f>
        <v>1500.0</v>
      </c>
      <c r="AY13" s="533">
        <f>AY14*AY15</f>
        <v>1500.0</v>
      </c>
      <c r="AZ13" s="533">
        <f>AZ14*AZ15</f>
        <v>1500.0</v>
      </c>
      <c r="BA13" s="533">
        <f>BA14*BA15</f>
        <v>1500.0</v>
      </c>
      <c r="BB13" s="533">
        <f>BB14*BB15</f>
        <v>1500.0</v>
      </c>
      <c r="BC13" s="533">
        <f>BC14*BC15</f>
        <v>1500.0</v>
      </c>
      <c r="BD13" s="533">
        <f>BD14*BD15</f>
        <v>1500.0</v>
      </c>
      <c r="BE13" s="533">
        <f>BE14*BE15</f>
        <v>1500.0</v>
      </c>
      <c r="BF13" s="533">
        <f>BF14*BF15</f>
        <v>1500.0</v>
      </c>
      <c r="BG13" s="533">
        <f>BG14*BG15</f>
        <v>1500.0</v>
      </c>
      <c r="BH13" s="533">
        <f>BH14*BH15</f>
        <v>1500.0</v>
      </c>
      <c r="BI13" s="533">
        <f>BI14*BI15</f>
        <v>1500.0</v>
      </c>
      <c r="BJ13" s="533">
        <f>BJ14*BJ15</f>
        <v>1500.0</v>
      </c>
      <c r="BK13" s="533">
        <f>BK14*BK15</f>
        <v>1500.0</v>
      </c>
      <c r="BL13" s="533">
        <f>BL14*BL15</f>
        <v>1500.0</v>
      </c>
      <c r="BM13" s="534">
        <f>BM14*BM15</f>
        <v>1500.0</v>
      </c>
      <c r="BN13" s="533">
        <f>BN14*BN15</f>
        <v>1500.0</v>
      </c>
      <c r="BO13" s="533">
        <f>BO14*BO15</f>
        <v>1500.0</v>
      </c>
      <c r="BP13" s="533">
        <f>BP14*BP15</f>
        <v>1500.0</v>
      </c>
      <c r="BQ13" s="533">
        <f>BQ14*BQ15</f>
        <v>1500.0</v>
      </c>
      <c r="BR13" s="533">
        <f>BR14*BR15</f>
        <v>1500.0</v>
      </c>
    </row>
    <row r="14">
      <c r="C14" s="52" t="inlineStr">
        <is>
          <t>企業の年間販管費（人件費抜き）</t>
        </is>
      </c>
      <c r="D14" s="55" t="inlineStr">
        <is>
          <t>https://www.e-stat.go.jp/stat-search/files?tclass=000001230645&amp;cycle=7&amp;year=20240</t>
        </is>
      </c>
      <c r="E14" s="44" t="n"/>
      <c r="F14" s="53" t="n">
        <v>3000000</v>
      </c>
      <c r="G14" s="53" t="n">
        <v>3000000</v>
      </c>
      <c r="H14" s="53" t="n">
        <v>3000000</v>
      </c>
      <c r="I14" s="53" t="n">
        <v>3000000</v>
      </c>
      <c r="J14" s="53" t="n">
        <v>3000000</v>
      </c>
      <c r="K14" s="53" t="n">
        <v>3000000</v>
      </c>
      <c r="L14" s="53" t="n">
        <v>3000000</v>
      </c>
      <c r="M14" s="53" t="n">
        <v>3000000</v>
      </c>
      <c r="N14" s="53" t="n">
        <v>3000000</v>
      </c>
      <c r="O14" s="53" t="n">
        <v>3000000</v>
      </c>
      <c r="P14" s="53" t="n">
        <v>3000000</v>
      </c>
      <c r="Q14" s="53" t="n">
        <v>3000000</v>
      </c>
      <c r="R14" s="53" t="n">
        <v>3000000</v>
      </c>
      <c r="S14" s="53" t="n">
        <v>3000000</v>
      </c>
      <c r="T14" s="53" t="n">
        <v>3000000</v>
      </c>
      <c r="U14" s="53" t="n">
        <v>3000000</v>
      </c>
      <c r="V14" s="53" t="n">
        <v>3000000</v>
      </c>
      <c r="W14" s="53" t="n">
        <v>3000000</v>
      </c>
      <c r="X14" s="53" t="n">
        <v>3000000</v>
      </c>
      <c r="Y14" s="53" t="n">
        <v>3000000</v>
      </c>
      <c r="Z14" s="53" t="n">
        <v>3000000</v>
      </c>
      <c r="AA14" s="53" t="n">
        <v>3000000</v>
      </c>
      <c r="AB14" s="53" t="n">
        <v>3000000</v>
      </c>
      <c r="AC14" s="53" t="n">
        <v>3000000</v>
      </c>
      <c r="AD14" s="53" t="n">
        <v>3000000</v>
      </c>
      <c r="AE14" s="53" t="n">
        <v>3000000</v>
      </c>
      <c r="AF14" s="53" t="n">
        <v>3000000</v>
      </c>
      <c r="AG14" s="53" t="n">
        <v>3000000</v>
      </c>
      <c r="AH14" s="53" t="n">
        <v>3000000</v>
      </c>
      <c r="AI14" s="53" t="n">
        <v>3000000</v>
      </c>
      <c r="AJ14" s="53" t="n">
        <v>3000000</v>
      </c>
      <c r="AK14" s="53" t="n">
        <v>3000000</v>
      </c>
      <c r="AL14" s="53" t="n">
        <v>3000000</v>
      </c>
      <c r="AM14" s="53" t="n">
        <v>3000000</v>
      </c>
      <c r="AN14" s="53" t="n">
        <v>3000000</v>
      </c>
      <c r="AO14" s="53" t="n">
        <v>3000000</v>
      </c>
      <c r="AP14" s="53" t="n">
        <v>3000000</v>
      </c>
      <c r="AQ14" s="53" t="n">
        <v>3000000</v>
      </c>
      <c r="AR14" s="53" t="n">
        <v>3000000</v>
      </c>
      <c r="AS14" s="53" t="n">
        <v>3000000</v>
      </c>
      <c r="AT14" s="53" t="n">
        <v>3000000</v>
      </c>
      <c r="AU14" s="53" t="n">
        <v>3000000</v>
      </c>
      <c r="AV14" s="53" t="n">
        <v>3000000</v>
      </c>
      <c r="AW14" s="53" t="n">
        <v>3000000</v>
      </c>
      <c r="AX14" s="53" t="n">
        <v>3000000</v>
      </c>
      <c r="AY14" s="53" t="n">
        <v>3000000</v>
      </c>
      <c r="AZ14" s="53" t="n">
        <v>3000000</v>
      </c>
      <c r="BA14" s="53" t="n">
        <v>3000000</v>
      </c>
      <c r="BB14" s="53" t="n">
        <v>3000000</v>
      </c>
      <c r="BC14" s="53" t="n">
        <v>3000000</v>
      </c>
      <c r="BD14" s="53" t="n">
        <v>3000000</v>
      </c>
      <c r="BE14" s="53" t="n">
        <v>3000000</v>
      </c>
      <c r="BF14" s="53" t="n">
        <v>3000000</v>
      </c>
      <c r="BG14" s="53" t="n">
        <v>3000000</v>
      </c>
      <c r="BH14" s="53" t="n">
        <v>3000000</v>
      </c>
      <c r="BI14" s="53" t="n">
        <v>3000000</v>
      </c>
      <c r="BJ14" s="53" t="n">
        <v>3000000</v>
      </c>
      <c r="BK14" s="53" t="n">
        <v>3000000</v>
      </c>
      <c r="BL14" s="53" t="n">
        <v>3000000</v>
      </c>
      <c r="BM14" s="54" t="n">
        <v>3000000</v>
      </c>
      <c r="BN14" s="53" t="n">
        <v>3000000</v>
      </c>
      <c r="BO14" s="53" t="n">
        <v>3000000</v>
      </c>
      <c r="BP14" s="53" t="n">
        <v>3000000</v>
      </c>
      <c r="BQ14" s="53" t="n">
        <v>3000000</v>
      </c>
      <c r="BR14" s="53" t="n">
        <v>3000000</v>
      </c>
    </row>
    <row r="15">
      <c r="C15" s="43" t="inlineStr">
        <is>
          <t>支払い.com Taxel 紹介費用率</t>
        </is>
      </c>
      <c r="D15" s="44" t="n"/>
      <c r="E15" s="44" t="n"/>
      <c r="F15" s="56" t="n">
        <v>0.0005</v>
      </c>
      <c r="G15" s="56" t="n">
        <v>0.0005</v>
      </c>
      <c r="H15" s="56" t="n">
        <v>0.0005</v>
      </c>
      <c r="I15" s="56" t="n">
        <v>0.0005</v>
      </c>
      <c r="J15" s="56" t="n">
        <v>0.0005</v>
      </c>
      <c r="K15" s="56" t="n">
        <v>0.0005</v>
      </c>
      <c r="L15" s="56" t="n">
        <v>0.0005</v>
      </c>
      <c r="M15" s="56" t="n">
        <v>0.0005</v>
      </c>
      <c r="N15" s="56" t="n">
        <v>0.0005</v>
      </c>
      <c r="O15" s="56" t="n">
        <v>0.0005</v>
      </c>
      <c r="P15" s="56" t="n">
        <v>0.0005</v>
      </c>
      <c r="Q15" s="56" t="n">
        <v>0.0005</v>
      </c>
      <c r="R15" s="56" t="n">
        <v>0.0005</v>
      </c>
      <c r="S15" s="56" t="n">
        <v>0.0005</v>
      </c>
      <c r="T15" s="56" t="n">
        <v>0.0005</v>
      </c>
      <c r="U15" s="56" t="n">
        <v>0.0005</v>
      </c>
      <c r="V15" s="56" t="n">
        <v>0.0005</v>
      </c>
      <c r="W15" s="56" t="n">
        <v>0.0005</v>
      </c>
      <c r="X15" s="56" t="n">
        <v>0.0005</v>
      </c>
      <c r="Y15" s="56" t="n">
        <v>0.0005</v>
      </c>
      <c r="Z15" s="56" t="n">
        <v>0.0005</v>
      </c>
      <c r="AA15" s="56" t="n">
        <v>0.0005</v>
      </c>
      <c r="AB15" s="56" t="n">
        <v>0.0005</v>
      </c>
      <c r="AC15" s="56" t="n">
        <v>0.0005</v>
      </c>
      <c r="AD15" s="56" t="n">
        <v>0.0005</v>
      </c>
      <c r="AE15" s="56" t="n">
        <v>0.0005</v>
      </c>
      <c r="AF15" s="56" t="n">
        <v>0.0005</v>
      </c>
      <c r="AG15" s="56" t="n">
        <v>0.0005</v>
      </c>
      <c r="AH15" s="56" t="n">
        <v>0.0005</v>
      </c>
      <c r="AI15" s="56" t="n">
        <v>0.0005</v>
      </c>
      <c r="AJ15" s="56" t="n">
        <v>0.0005</v>
      </c>
      <c r="AK15" s="56" t="n">
        <v>0.0005</v>
      </c>
      <c r="AL15" s="56" t="n">
        <v>0.0005</v>
      </c>
      <c r="AM15" s="56" t="n">
        <v>0.0005</v>
      </c>
      <c r="AN15" s="56" t="n">
        <v>0.0005</v>
      </c>
      <c r="AO15" s="56" t="n">
        <v>0.0005</v>
      </c>
      <c r="AP15" s="56" t="n">
        <v>0.0005</v>
      </c>
      <c r="AQ15" s="56" t="n">
        <v>0.0005</v>
      </c>
      <c r="AR15" s="56" t="n">
        <v>0.0005</v>
      </c>
      <c r="AS15" s="56" t="n">
        <v>0.0005</v>
      </c>
      <c r="AT15" s="56" t="n">
        <v>0.0005</v>
      </c>
      <c r="AU15" s="56" t="n">
        <v>0.0005</v>
      </c>
      <c r="AV15" s="56" t="n">
        <v>0.0005</v>
      </c>
      <c r="AW15" s="56" t="n">
        <v>0.0005</v>
      </c>
      <c r="AX15" s="56" t="n">
        <v>0.0005</v>
      </c>
      <c r="AY15" s="56" t="n">
        <v>0.0005</v>
      </c>
      <c r="AZ15" s="56" t="n">
        <v>0.0005</v>
      </c>
      <c r="BA15" s="56" t="n">
        <v>0.0005</v>
      </c>
      <c r="BB15" s="56" t="n">
        <v>0.0005</v>
      </c>
      <c r="BC15" s="56" t="n">
        <v>0.0005</v>
      </c>
      <c r="BD15" s="56" t="n">
        <v>0.0005</v>
      </c>
      <c r="BE15" s="56" t="n">
        <v>0.0005</v>
      </c>
      <c r="BF15" s="56" t="n">
        <v>0.0005</v>
      </c>
      <c r="BG15" s="56" t="n">
        <v>0.0005</v>
      </c>
      <c r="BH15" s="56" t="n">
        <v>0.0005</v>
      </c>
      <c r="BI15" s="56" t="n">
        <v>0.0005</v>
      </c>
      <c r="BJ15" s="56" t="n">
        <v>0.0005</v>
      </c>
      <c r="BK15" s="56" t="n">
        <v>0.0005</v>
      </c>
      <c r="BL15" s="56" t="n">
        <v>0.0005</v>
      </c>
      <c r="BM15" s="57" t="n">
        <v>0.0005</v>
      </c>
      <c r="BN15" s="56" t="n">
        <v>0.0005</v>
      </c>
      <c r="BO15" s="56" t="n">
        <v>0.0005</v>
      </c>
      <c r="BP15" s="56" t="n">
        <v>0.0005</v>
      </c>
      <c r="BQ15" s="56" t="n">
        <v>0.0005</v>
      </c>
      <c r="BR15" s="56" t="n">
        <v>0.0005</v>
      </c>
    </row>
    <row r="16">
      <c r="C16" s="43" t="inlineStr">
        <is>
          <t>１税理士 / 紹介費用</t>
        </is>
      </c>
      <c r="D16" s="44" t="n"/>
      <c r="E16" s="44" t="n"/>
      <c r="F16" s="535">
        <f>F24*F13/12</f>
        <v>0.0</v>
      </c>
      <c r="G16" s="535">
        <f>G24*G13/12</f>
        <v>312.375</v>
      </c>
      <c r="H16" s="535">
        <f>H24*H13/12</f>
        <v>1711.815</v>
      </c>
      <c r="I16" s="535">
        <f>I24*I13/12</f>
        <v>3083.2662</v>
      </c>
      <c r="J16" s="535">
        <f>J24*J13/12</f>
        <v>4271.100876</v>
      </c>
      <c r="K16" s="535">
        <f>K24*K13/12</f>
        <v>5747.55385848</v>
      </c>
      <c r="L16" s="535">
        <f>L24*L13/12</f>
        <v>7194.4777813104</v>
      </c>
      <c r="M16" s="535">
        <f>M24*M13/12</f>
        <v>8612.46322568419</v>
      </c>
      <c r="N16" s="535">
        <f>N24*N13/12</f>
        <v>10314.4639611705</v>
      </c>
      <c r="O16" s="535">
        <f>O24*O13/12</f>
        <v>11826.2371819471</v>
      </c>
      <c r="P16" s="535">
        <f>P24*P13/12</f>
        <v>13307.7749383082</v>
      </c>
      <c r="Q16" s="535">
        <f>Q24*Q13/12</f>
        <v>15072.056939542</v>
      </c>
      <c r="R16" s="535">
        <f>R24*R13/12</f>
        <v>16644.8658007512</v>
      </c>
      <c r="S16" s="535">
        <f>S24*S13/12</f>
        <v>18186.2184847361</v>
      </c>
      <c r="T16" s="535">
        <f>T24*T13/12</f>
        <v>20009.1191150414</v>
      </c>
      <c r="U16" s="535">
        <f>U24*U13/12</f>
        <v>21639.3742327406</v>
      </c>
      <c r="V16" s="535">
        <f>V24*V13/12</f>
        <v>23237.0242480858</v>
      </c>
      <c r="W16" s="535">
        <f>W24*W13/12</f>
        <v>25115.0962631241</v>
      </c>
      <c r="X16" s="535">
        <f>X24*X13/12</f>
        <v>26799.4193378616</v>
      </c>
      <c r="Y16" s="535">
        <f>Y24*Y13/12</f>
        <v>28450.0559511043</v>
      </c>
      <c r="Z16" s="535">
        <f>Z24*Z13/12</f>
        <v>30380.0548320822</v>
      </c>
      <c r="AA16" s="535">
        <f>AA24*AA13/12</f>
        <v>32115.2662354406</v>
      </c>
      <c r="AB16" s="535">
        <f>AB24*AB13/12</f>
        <v>33815.7734107318</v>
      </c>
      <c r="AC16" s="535">
        <f>AC24*AC13/12</f>
        <v>35638.4579425172</v>
      </c>
      <c r="AD16" s="535">
        <f>AD24*AD13/12</f>
        <v>37826.1599285231</v>
      </c>
      <c r="AE16" s="535">
        <f>AE24*AE13/12</f>
        <v>39819.389629774</v>
      </c>
      <c r="AF16" s="535">
        <f>AF24*AF13/12</f>
        <v>42090.1128112529</v>
      </c>
      <c r="AG16" s="535">
        <f>AG24*AG13/12</f>
        <v>44164.910837056</v>
      </c>
      <c r="AH16" s="535">
        <f>AH24*AH13/12</f>
        <v>46359.5873974075</v>
      </c>
      <c r="AI16" s="535">
        <f>AI24*AI13/12</f>
        <v>48515.8571179529</v>
      </c>
      <c r="AJ16" s="535">
        <f>AJ24*AJ13/12</f>
        <v>50790.5796183887</v>
      </c>
      <c r="AK16" s="535">
        <f>AK24*AK13/12</f>
        <v>52869.3069750669</v>
      </c>
      <c r="AL16" s="535">
        <f>AL24*AL13/12</f>
        <v>55224.0316030032</v>
      </c>
      <c r="AM16" s="535">
        <f>AM24*AM13/12</f>
        <v>57381.3610499507</v>
      </c>
      <c r="AN16" s="535">
        <f>AN24*AN13/12</f>
        <v>59500.9372315765</v>
      </c>
      <c r="AO16" s="535">
        <f>AO24*AO13/12</f>
        <v>61895.7958300239</v>
      </c>
      <c r="AP16" s="535">
        <f>AP24*AP13/12</f>
        <v>64092.5569029985</v>
      </c>
      <c r="AQ16" s="535">
        <f>AQ24*AQ13/12</f>
        <v>66250.874657196</v>
      </c>
      <c r="AR16" s="535">
        <f>AR24*AR13/12</f>
        <v>68527.6093506951</v>
      </c>
      <c r="AS16" s="535">
        <f>AS24*AS13/12</f>
        <v>70764.501187058</v>
      </c>
      <c r="AT16" s="535">
        <f>AT24*AT13/12</f>
        <v>72962.2474162845</v>
      </c>
      <c r="AU16" s="535">
        <f>AU24*AU13/12</f>
        <v>75277.7205864995</v>
      </c>
      <c r="AV16" s="535">
        <f>AV24*AV13/12</f>
        <v>77552.6729762357</v>
      </c>
      <c r="AW16" s="535">
        <f>AW24*AW13/12</f>
        <v>79787.8136991516</v>
      </c>
      <c r="AX16" s="535">
        <f>AX24*AX13/12</f>
        <v>82140.0269594165</v>
      </c>
      <c r="AY16" s="535">
        <f>AY24*AY13/12</f>
        <v>84294.8889876267</v>
      </c>
      <c r="AZ16" s="535">
        <f>AZ24*AZ13/12</f>
        <v>86568.2284303432</v>
      </c>
      <c r="BA16" s="535">
        <f>BA24*BA13/12</f>
        <v>88801.7844328122</v>
      </c>
      <c r="BB16" s="535">
        <f>BB24*BB13/12</f>
        <v>91999.19516632</v>
      </c>
      <c r="BC16" s="535">
        <f>BC24*BC13/12</f>
        <v>94992.4572388252</v>
      </c>
      <c r="BD16" s="535">
        <f>BD24*BD13/12</f>
        <v>98097.0078802428</v>
      </c>
      <c r="BE16" s="535">
        <f>BE24*BE13/12</f>
        <v>101154.990262039</v>
      </c>
      <c r="BF16" s="535">
        <f>BF24*BF13/12</f>
        <v>104167.102908109</v>
      </c>
      <c r="BG16" s="535">
        <f>BG24*BG13/12</f>
        <v>107446.408864487</v>
      </c>
      <c r="BH16" s="535">
        <f>BH24*BH13/12</f>
        <v>110520.33773152</v>
      </c>
      <c r="BI16" s="535">
        <f>BI24*BI13/12</f>
        <v>113548.157665547</v>
      </c>
      <c r="BJ16" s="535">
        <f>BJ24*BJ13/12</f>
        <v>116686.747800564</v>
      </c>
      <c r="BK16" s="535">
        <f>BK24*BK13/12</f>
        <v>119778.259083555</v>
      </c>
      <c r="BL16" s="535">
        <f>BL24*BL13/12</f>
        <v>122823.397697302</v>
      </c>
      <c r="BM16" s="536">
        <f>BM24*BM13/12</f>
        <v>125979.046731842</v>
      </c>
      <c r="BN16" s="535">
        <f>SUM(F16:Q16)</f>
        <v>81453.5849624423</v>
      </c>
      <c r="BO16" s="535">
        <f>SUM(R16:AC16)</f>
        <v>312030.725854217</v>
      </c>
      <c r="BP16" s="535">
        <f>SUM(AD16:AO16)</f>
        <v>596438.030029976</v>
      </c>
      <c r="BQ16" s="535">
        <f>SUM(AP16:BA16)</f>
        <v>917020.925586317</v>
      </c>
      <c r="BR16" s="535">
        <f>SUM(BB16:BM16)</f>
        <v>1307193.10903035</v>
      </c>
    </row>
    <row r="17">
      <c r="C17" s="10" t="inlineStr">
        <is>
          <t>税理士数＝アカウト数</t>
        </is>
      </c>
      <c r="D17" s="98" t="n"/>
      <c r="E17" s="98" t="n"/>
      <c r="F17" s="99" t="n">
        <v>0</v>
      </c>
      <c r="G17" s="99" t="n">
        <v>2</v>
      </c>
      <c r="H17" s="99" t="n">
        <v>11</v>
      </c>
      <c r="I17" s="99" t="n">
        <v>20</v>
      </c>
      <c r="J17" s="99" t="n">
        <v>28</v>
      </c>
      <c r="K17" s="99" t="n">
        <v>38</v>
      </c>
      <c r="L17" s="99" t="n">
        <v>48</v>
      </c>
      <c r="M17" s="99" t="n">
        <v>58</v>
      </c>
      <c r="N17" s="99" t="n">
        <v>70</v>
      </c>
      <c r="O17" s="99" t="n">
        <v>81</v>
      </c>
      <c r="P17" s="99" t="n">
        <v>92</v>
      </c>
      <c r="Q17" s="99" t="n">
        <v>105</v>
      </c>
      <c r="R17" s="99" t="n">
        <v>117</v>
      </c>
      <c r="S17" s="99" t="n">
        <v>129</v>
      </c>
      <c r="T17" s="99" t="n">
        <v>143</v>
      </c>
      <c r="U17" s="99" t="n">
        <v>156</v>
      </c>
      <c r="V17" s="99" t="n">
        <v>169</v>
      </c>
      <c r="W17" s="99" t="n">
        <v>184</v>
      </c>
      <c r="X17" s="99" t="n">
        <v>198</v>
      </c>
      <c r="Y17" s="99" t="n">
        <v>212</v>
      </c>
      <c r="Z17" s="99" t="n">
        <v>228</v>
      </c>
      <c r="AA17" s="99" t="n">
        <v>243</v>
      </c>
      <c r="AB17" s="99" t="n">
        <v>258</v>
      </c>
      <c r="AC17" s="99" t="n">
        <v>274</v>
      </c>
      <c r="AD17" s="99" t="n">
        <v>292</v>
      </c>
      <c r="AE17" s="99" t="n">
        <v>309</v>
      </c>
      <c r="AF17" s="99" t="n">
        <v>328</v>
      </c>
      <c r="AG17" s="99" t="n">
        <v>346</v>
      </c>
      <c r="AH17" s="99" t="n">
        <v>365</v>
      </c>
      <c r="AI17" s="99" t="n">
        <v>384</v>
      </c>
      <c r="AJ17" s="99" t="n">
        <v>404</v>
      </c>
      <c r="AK17" s="99" t="n">
        <v>423</v>
      </c>
      <c r="AL17" s="99" t="n">
        <v>444</v>
      </c>
      <c r="AM17" s="99" t="n">
        <v>464</v>
      </c>
      <c r="AN17" s="99" t="n">
        <v>484</v>
      </c>
      <c r="AO17" s="99" t="n">
        <v>506</v>
      </c>
      <c r="AP17" s="99" t="n">
        <v>527</v>
      </c>
      <c r="AQ17" s="99" t="n">
        <v>548</v>
      </c>
      <c r="AR17" s="99" t="n">
        <v>570</v>
      </c>
      <c r="AS17" s="99" t="n">
        <v>592</v>
      </c>
      <c r="AT17" s="99" t="n">
        <v>614</v>
      </c>
      <c r="AU17" s="99" t="n">
        <v>637</v>
      </c>
      <c r="AV17" s="99" t="n">
        <v>660</v>
      </c>
      <c r="AW17" s="99" t="n">
        <v>683</v>
      </c>
      <c r="AX17" s="99" t="n">
        <v>707</v>
      </c>
      <c r="AY17" s="99" t="n">
        <v>730</v>
      </c>
      <c r="AZ17" s="99" t="n">
        <v>754</v>
      </c>
      <c r="BA17" s="99" t="n">
        <v>778</v>
      </c>
      <c r="BB17" s="99" t="n">
        <v>807</v>
      </c>
      <c r="BC17" s="99" t="n">
        <v>835</v>
      </c>
      <c r="BD17" s="99" t="n">
        <v>864</v>
      </c>
      <c r="BE17" s="99" t="n">
        <v>893</v>
      </c>
      <c r="BF17" s="99" t="n">
        <v>922</v>
      </c>
      <c r="BG17" s="99" t="n">
        <v>953</v>
      </c>
      <c r="BH17" s="99" t="n">
        <v>983</v>
      </c>
      <c r="BI17" s="99" t="n">
        <v>1013</v>
      </c>
      <c r="BJ17" s="99" t="n">
        <v>1044</v>
      </c>
      <c r="BK17" s="99" t="n">
        <v>1075</v>
      </c>
      <c r="BL17" s="99" t="n">
        <v>1106</v>
      </c>
      <c r="BM17" s="100" t="n">
        <v>1138</v>
      </c>
      <c r="BN17" s="99">
        <f>Q17</f>
        <v>105.0</v>
      </c>
      <c r="BO17" s="99">
        <f>AC17</f>
        <v>274.0</v>
      </c>
      <c r="BP17" s="99">
        <f>AO17</f>
        <v>506.0</v>
      </c>
      <c r="BQ17" s="99">
        <f>BA17</f>
        <v>778.0</v>
      </c>
      <c r="BR17" s="99">
        <f>BM17</f>
        <v>1138.0</v>
      </c>
    </row>
    <row r="18">
      <c r="C18" s="515" t="inlineStr">
        <is>
          <t>新規</t>
        </is>
      </c>
      <c r="D18" s="11" t="n"/>
      <c r="E18" s="515" t="n"/>
      <c r="F18" s="8" t="n">
        <v>0</v>
      </c>
      <c r="G18" s="23" t="n">
        <v>1</v>
      </c>
      <c r="H18" s="23" t="n">
        <v>5</v>
      </c>
      <c r="I18" s="23" t="n">
        <v>5</v>
      </c>
      <c r="J18" s="23" t="n">
        <v>5</v>
      </c>
      <c r="K18" s="23">
        <f>H18+1</f>
        <v>6.0</v>
      </c>
      <c r="L18" s="23">
        <f>I18+1</f>
        <v>6.0</v>
      </c>
      <c r="M18" s="23">
        <f>J18+1</f>
        <v>6.0</v>
      </c>
      <c r="N18" s="23">
        <f>K18+1</f>
        <v>7.0</v>
      </c>
      <c r="O18" s="23">
        <f>L18+1</f>
        <v>7.0</v>
      </c>
      <c r="P18" s="23">
        <f>M18+1</f>
        <v>7.0</v>
      </c>
      <c r="Q18" s="23">
        <f>N18+1</f>
        <v>8.0</v>
      </c>
      <c r="R18" s="23">
        <f>O18+1</f>
        <v>8.0</v>
      </c>
      <c r="S18" s="23">
        <f>P18+1</f>
        <v>8.0</v>
      </c>
      <c r="T18" s="23">
        <f>Q18+1</f>
        <v>9.0</v>
      </c>
      <c r="U18" s="23">
        <f>R18+1</f>
        <v>9.0</v>
      </c>
      <c r="V18" s="23">
        <f>S18+1</f>
        <v>9.0</v>
      </c>
      <c r="W18" s="23">
        <f>T18+1</f>
        <v>10.0</v>
      </c>
      <c r="X18" s="23">
        <f>U18+1</f>
        <v>10.0</v>
      </c>
      <c r="Y18" s="23">
        <f>V18+1</f>
        <v>10.0</v>
      </c>
      <c r="Z18" s="23">
        <f>W18+1</f>
        <v>11.0</v>
      </c>
      <c r="AA18" s="23">
        <f>X18+1</f>
        <v>11.0</v>
      </c>
      <c r="AB18" s="23">
        <f>Y18+1</f>
        <v>11.0</v>
      </c>
      <c r="AC18" s="23">
        <f>Z18+1</f>
        <v>12.0</v>
      </c>
      <c r="AD18" s="23">
        <f>AA18+1</f>
        <v>12.0</v>
      </c>
      <c r="AE18" s="23">
        <f>AB18+1</f>
        <v>12.0</v>
      </c>
      <c r="AF18" s="23">
        <f>AC18+1</f>
        <v>13.0</v>
      </c>
      <c r="AG18" s="23">
        <f>AD18+1</f>
        <v>13.0</v>
      </c>
      <c r="AH18" s="23">
        <f>AE18+1</f>
        <v>13.0</v>
      </c>
      <c r="AI18" s="23">
        <f>AF18+1</f>
        <v>14.0</v>
      </c>
      <c r="AJ18" s="23">
        <f>AG18+1</f>
        <v>14.0</v>
      </c>
      <c r="AK18" s="23">
        <f>AH18+1</f>
        <v>14.0</v>
      </c>
      <c r="AL18" s="23">
        <f>AI18+1</f>
        <v>15.0</v>
      </c>
      <c r="AM18" s="23">
        <f>AJ18+1</f>
        <v>15.0</v>
      </c>
      <c r="AN18" s="23">
        <f>AK18+1</f>
        <v>15.0</v>
      </c>
      <c r="AO18" s="23">
        <f>AL18+1</f>
        <v>16.0</v>
      </c>
      <c r="AP18" s="23">
        <f>AM18+1</f>
        <v>16.0</v>
      </c>
      <c r="AQ18" s="23">
        <f>AN18+1</f>
        <v>16.0</v>
      </c>
      <c r="AR18" s="23">
        <f>AO18+1</f>
        <v>17.0</v>
      </c>
      <c r="AS18" s="23">
        <f>AP18+1</f>
        <v>17.0</v>
      </c>
      <c r="AT18" s="23">
        <f>AQ18+1</f>
        <v>17.0</v>
      </c>
      <c r="AU18" s="23">
        <f>AR18+1</f>
        <v>18.0</v>
      </c>
      <c r="AV18" s="23">
        <f>AS18+1</f>
        <v>18.0</v>
      </c>
      <c r="AW18" s="23">
        <f>AT18+1</f>
        <v>18.0</v>
      </c>
      <c r="AX18" s="23">
        <f>AU18+1</f>
        <v>19.0</v>
      </c>
      <c r="AY18" s="23">
        <f>AV18+1</f>
        <v>19.0</v>
      </c>
      <c r="AZ18" s="23">
        <f>AW18+1</f>
        <v>19.0</v>
      </c>
      <c r="BA18" s="23">
        <f>AX18+1</f>
        <v>20.0</v>
      </c>
      <c r="BB18" s="23">
        <f>AY18+1</f>
        <v>20.0</v>
      </c>
      <c r="BC18" s="23">
        <f>AZ18+1</f>
        <v>20.0</v>
      </c>
      <c r="BD18" s="23">
        <f>BA18+1</f>
        <v>21.0</v>
      </c>
      <c r="BE18" s="23">
        <f>BB18+1</f>
        <v>21.0</v>
      </c>
      <c r="BF18" s="23">
        <f>BC18+1</f>
        <v>21.0</v>
      </c>
      <c r="BG18" s="23">
        <f>BD18+1</f>
        <v>22.0</v>
      </c>
      <c r="BH18" s="23">
        <f>BE18+1</f>
        <v>22.0</v>
      </c>
      <c r="BI18" s="23">
        <f>BF18+1</f>
        <v>22.0</v>
      </c>
      <c r="BJ18" s="23">
        <f>BG18+1</f>
        <v>23.0</v>
      </c>
      <c r="BK18" s="23">
        <f>BH18+1</f>
        <v>23.0</v>
      </c>
      <c r="BL18" s="23">
        <f>BI18+1</f>
        <v>23.0</v>
      </c>
      <c r="BM18" s="24">
        <f>BJ18+1</f>
        <v>24.0</v>
      </c>
      <c r="BN18" s="23">
        <f>SUM(F18:Q18)</f>
        <v>63.0</v>
      </c>
      <c r="BO18" s="23">
        <f>SUM(R18:AC18)</f>
        <v>118.0</v>
      </c>
      <c r="BP18" s="23">
        <f>SUM(AD18:AO18)</f>
        <v>166.0</v>
      </c>
      <c r="BQ18" s="23">
        <f>SUM(AP18:BA18)</f>
        <v>214.0</v>
      </c>
      <c r="BR18" s="23">
        <f>SUM(BB18:BM18)</f>
        <v>262.0</v>
      </c>
    </row>
    <row r="19">
      <c r="C19" s="515" t="inlineStr">
        <is>
          <t>解約予想数</t>
        </is>
      </c>
      <c r="D19" s="11" t="n"/>
      <c r="E19" s="515" t="n"/>
      <c r="F19" s="26" t="n">
        <v>0</v>
      </c>
      <c r="G19" s="26">
        <f>F24*G20</f>
        <v>0.0</v>
      </c>
      <c r="H19" s="26">
        <f>G24*H20</f>
        <v>0.04998</v>
      </c>
      <c r="I19" s="26">
        <f>H24*I20</f>
        <v>0.2738904</v>
      </c>
      <c r="J19" s="26">
        <f>I24*J20</f>
        <v>0.493322592</v>
      </c>
      <c r="K19" s="26">
        <f>J24*K20</f>
        <v>0.68337614016</v>
      </c>
      <c r="L19" s="26">
        <f>K24*L20</f>
        <v>0.9196086173568</v>
      </c>
      <c r="M19" s="26">
        <f>L24*M20</f>
        <v>1.15111644500966</v>
      </c>
      <c r="N19" s="26">
        <f>M24*N20</f>
        <v>1.37799411610947</v>
      </c>
      <c r="O19" s="26">
        <f>N24*O20</f>
        <v>1.65031423378728</v>
      </c>
      <c r="P19" s="26">
        <f>O24*P20</f>
        <v>1.89219794911154</v>
      </c>
      <c r="Q19" s="26">
        <f>P24*Q20</f>
        <v>2.12924399012931</v>
      </c>
      <c r="R19" s="26">
        <f>Q24*R20</f>
        <v>2.41152911032672</v>
      </c>
      <c r="S19" s="26">
        <f>R24*S20</f>
        <v>2.66317852812018</v>
      </c>
      <c r="T19" s="26">
        <f>S24*T20</f>
        <v>2.90979495755778</v>
      </c>
      <c r="U19" s="26">
        <f>T24*U20</f>
        <v>3.20145905840663</v>
      </c>
      <c r="V19" s="26">
        <f>U24*V20</f>
        <v>3.46229987723849</v>
      </c>
      <c r="W19" s="26">
        <f>V24*W20</f>
        <v>3.71792387969372</v>
      </c>
      <c r="X19" s="26">
        <f>W24*X20</f>
        <v>4.01841540209985</v>
      </c>
      <c r="Y19" s="26">
        <f>X24*Y20</f>
        <v>4.28790709405785</v>
      </c>
      <c r="Z19" s="26">
        <f>Y24*Z20</f>
        <v>4.5520089521767</v>
      </c>
      <c r="AA19" s="26">
        <f>Z24*AA20</f>
        <v>4.86080877313316</v>
      </c>
      <c r="AB19" s="26">
        <f>AA24*AB20</f>
        <v>5.1384425976705</v>
      </c>
      <c r="AC19" s="26">
        <f>AB24*AC20</f>
        <v>5.41052374571709</v>
      </c>
      <c r="AD19" s="26">
        <f>AC24*AD20</f>
        <v>4.9893841119524</v>
      </c>
      <c r="AE19" s="26">
        <f>AD24*AE20</f>
        <v>5.29566238999324</v>
      </c>
      <c r="AF19" s="26">
        <f>AE24*AF20</f>
        <v>5.57471454816835</v>
      </c>
      <c r="AG19" s="26">
        <f>AF24*AG20</f>
        <v>5.89261579357541</v>
      </c>
      <c r="AH19" s="26">
        <f>AG24*AH20</f>
        <v>6.18308751718784</v>
      </c>
      <c r="AI19" s="26">
        <f>AH24*AI20</f>
        <v>6.49034223563705</v>
      </c>
      <c r="AJ19" s="26">
        <f>AI24*AJ20</f>
        <v>6.7922199965134</v>
      </c>
      <c r="AK19" s="26">
        <f>AJ24*AK20</f>
        <v>7.11068114657442</v>
      </c>
      <c r="AL19" s="26">
        <f>AK24*AL20</f>
        <v>7.40170297650936</v>
      </c>
      <c r="AM19" s="26">
        <f>AL24*AM20</f>
        <v>7.73136442442045</v>
      </c>
      <c r="AN19" s="26">
        <f>AM24*AN20</f>
        <v>8.03339054699309</v>
      </c>
      <c r="AO19" s="26">
        <f>AN24*AO20</f>
        <v>8.33013121242071</v>
      </c>
      <c r="AP19" s="26">
        <f>AO24*AP20</f>
        <v>8.66541141620335</v>
      </c>
      <c r="AQ19" s="26">
        <f>AP24*AQ20</f>
        <v>8.9729579664198</v>
      </c>
      <c r="AR19" s="26">
        <f>AQ24*AR20</f>
        <v>9.27512245200745</v>
      </c>
      <c r="AS19" s="26">
        <f>AR24*AS20</f>
        <v>9.59386530909732</v>
      </c>
      <c r="AT19" s="26">
        <f>AS24*AT20</f>
        <v>9.90703016618812</v>
      </c>
      <c r="AU19" s="26">
        <f>AT24*AU20</f>
        <v>10.2147146382798</v>
      </c>
      <c r="AV19" s="26">
        <f>AU24*AV20</f>
        <v>10.5388808821099</v>
      </c>
      <c r="AW19" s="26">
        <f>AV24*AW20</f>
        <v>10.857374216673</v>
      </c>
      <c r="AX19" s="26">
        <f>AW24*AX20</f>
        <v>11.1702939178812</v>
      </c>
      <c r="AY19" s="26">
        <f>AX24*AY20</f>
        <v>11.4996037743183</v>
      </c>
      <c r="AZ19" s="26">
        <f>AY24*AZ20</f>
        <v>11.8012844582677</v>
      </c>
      <c r="BA19" s="26">
        <f>AZ24*BA20</f>
        <v>12.1195519802481</v>
      </c>
      <c r="BB19" s="26">
        <f>BA24*BB20</f>
        <v>10.6562141319375</v>
      </c>
      <c r="BC19" s="26">
        <f>BB24*BC20</f>
        <v>11.0399034199584</v>
      </c>
      <c r="BD19" s="26">
        <f>BC24*BD20</f>
        <v>11.399094868659</v>
      </c>
      <c r="BE19" s="26">
        <f>BD24*BE20</f>
        <v>11.7716409456291</v>
      </c>
      <c r="BF19" s="26">
        <f>BE24*BF20</f>
        <v>12.1385988314447</v>
      </c>
      <c r="BG19" s="26">
        <f>BF24*BG20</f>
        <v>12.500052348973</v>
      </c>
      <c r="BH19" s="26">
        <f>BG24*BH20</f>
        <v>12.8935690637384</v>
      </c>
      <c r="BI19" s="26">
        <f>BH24*BI20</f>
        <v>13.2624405277824</v>
      </c>
      <c r="BJ19" s="26">
        <f>BI24*BJ20</f>
        <v>13.6257789198656</v>
      </c>
      <c r="BK19" s="26">
        <f>BJ24*BK20</f>
        <v>14.0024097360676</v>
      </c>
      <c r="BL19" s="26">
        <f>BK24*BL20</f>
        <v>14.3733910900266</v>
      </c>
      <c r="BM19" s="58">
        <f>BL24*BM20</f>
        <v>14.7388077236762</v>
      </c>
      <c r="BN19" s="38">
        <f>SUM(F19:Q19)</f>
        <v>10.6210444836641</v>
      </c>
      <c r="BO19" s="23">
        <f>SUM(R19:AC19)</f>
        <v>46.6342919761987</v>
      </c>
      <c r="BP19" s="23">
        <f>SUM(AD19:AO19)</f>
        <v>79.8252968999457</v>
      </c>
      <c r="BQ19" s="23">
        <f>SUM(AP19:BA19)</f>
        <v>124.616091177694</v>
      </c>
      <c r="BR19" s="23">
        <f>SUM(BB19:BM19)</f>
        <v>152.401901607759</v>
      </c>
    </row>
    <row r="20">
      <c r="C20" s="515" t="inlineStr">
        <is>
          <t>解約率</t>
        </is>
      </c>
      <c r="D20" s="11" t="inlineStr">
        <is>
          <t>F&amp;M オフィスステーション1.01%</t>
        </is>
      </c>
      <c r="E20" s="515" t="n"/>
      <c r="F20" s="27" t="n">
        <v>0.02</v>
      </c>
      <c r="G20" s="27" t="n">
        <v>0.02</v>
      </c>
      <c r="H20" s="27" t="n">
        <v>0.02</v>
      </c>
      <c r="I20" s="27" t="n">
        <v>0.02</v>
      </c>
      <c r="J20" s="27" t="n">
        <v>0.02</v>
      </c>
      <c r="K20" s="27" t="n">
        <v>0.02</v>
      </c>
      <c r="L20" s="27" t="n">
        <v>0.02</v>
      </c>
      <c r="M20" s="27" t="n">
        <v>0.02</v>
      </c>
      <c r="N20" s="27" t="n">
        <v>0.02</v>
      </c>
      <c r="O20" s="27" t="n">
        <v>0.02</v>
      </c>
      <c r="P20" s="27" t="n">
        <v>0.02</v>
      </c>
      <c r="Q20" s="27" t="n">
        <v>0.02</v>
      </c>
      <c r="R20" s="27" t="n">
        <v>0.02</v>
      </c>
      <c r="S20" s="27" t="n">
        <v>0.02</v>
      </c>
      <c r="T20" s="27" t="n">
        <v>0.02</v>
      </c>
      <c r="U20" s="27" t="n">
        <v>0.02</v>
      </c>
      <c r="V20" s="27" t="n">
        <v>0.02</v>
      </c>
      <c r="W20" s="27" t="n">
        <v>0.02</v>
      </c>
      <c r="X20" s="27" t="n">
        <v>0.02</v>
      </c>
      <c r="Y20" s="27" t="n">
        <v>0.02</v>
      </c>
      <c r="Z20" s="27" t="n">
        <v>0.02</v>
      </c>
      <c r="AA20" s="27" t="n">
        <v>0.02</v>
      </c>
      <c r="AB20" s="27" t="n">
        <v>0.02</v>
      </c>
      <c r="AC20" s="27" t="n">
        <v>0.02</v>
      </c>
      <c r="AD20" s="517" t="n">
        <v>0.0175</v>
      </c>
      <c r="AE20" s="517" t="n">
        <v>0.0175</v>
      </c>
      <c r="AF20" s="517" t="n">
        <v>0.0175</v>
      </c>
      <c r="AG20" s="517" t="n">
        <v>0.0175</v>
      </c>
      <c r="AH20" s="517" t="n">
        <v>0.0175</v>
      </c>
      <c r="AI20" s="517" t="n">
        <v>0.0175</v>
      </c>
      <c r="AJ20" s="517" t="n">
        <v>0.0175</v>
      </c>
      <c r="AK20" s="517" t="n">
        <v>0.0175</v>
      </c>
      <c r="AL20" s="517" t="n">
        <v>0.0175</v>
      </c>
      <c r="AM20" s="517" t="n">
        <v>0.0175</v>
      </c>
      <c r="AN20" s="517" t="n">
        <v>0.0175</v>
      </c>
      <c r="AO20" s="517" t="n">
        <v>0.0175</v>
      </c>
      <c r="AP20" s="517" t="n">
        <v>0.0175</v>
      </c>
      <c r="AQ20" s="517" t="n">
        <v>0.0175</v>
      </c>
      <c r="AR20" s="517" t="n">
        <v>0.0175</v>
      </c>
      <c r="AS20" s="517" t="n">
        <v>0.0175</v>
      </c>
      <c r="AT20" s="517" t="n">
        <v>0.0175</v>
      </c>
      <c r="AU20" s="517" t="n">
        <v>0.0175</v>
      </c>
      <c r="AV20" s="517" t="n">
        <v>0.0175</v>
      </c>
      <c r="AW20" s="517" t="n">
        <v>0.0175</v>
      </c>
      <c r="AX20" s="517" t="n">
        <v>0.0175</v>
      </c>
      <c r="AY20" s="517" t="n">
        <v>0.0175</v>
      </c>
      <c r="AZ20" s="517" t="n">
        <v>0.0175</v>
      </c>
      <c r="BA20" s="517" t="n">
        <v>0.0175</v>
      </c>
      <c r="BB20" s="27" t="n">
        <v>0.015</v>
      </c>
      <c r="BC20" s="27" t="n">
        <v>0.015</v>
      </c>
      <c r="BD20" s="27" t="n">
        <v>0.015</v>
      </c>
      <c r="BE20" s="27" t="n">
        <v>0.015</v>
      </c>
      <c r="BF20" s="27" t="n">
        <v>0.015</v>
      </c>
      <c r="BG20" s="27" t="n">
        <v>0.015</v>
      </c>
      <c r="BH20" s="27" t="n">
        <v>0.015</v>
      </c>
      <c r="BI20" s="27" t="n">
        <v>0.015</v>
      </c>
      <c r="BJ20" s="27" t="n">
        <v>0.015</v>
      </c>
      <c r="BK20" s="27" t="n">
        <v>0.015</v>
      </c>
      <c r="BL20" s="27" t="n">
        <v>0.015</v>
      </c>
      <c r="BM20" s="29" t="n">
        <v>0.015</v>
      </c>
      <c r="BN20" s="27">
        <f>AVERAGE(F20:Q20)</f>
        <v>0.02</v>
      </c>
      <c r="BO20" s="27">
        <f>AVERAGE(R20:AC20)</f>
        <v>0.02</v>
      </c>
      <c r="BP20" s="27">
        <f>AVERAGE(AD20:AO20)</f>
        <v>0.0175</v>
      </c>
      <c r="BQ20" s="27">
        <f>AVERAGE(AP20:BA20)</f>
        <v>0.0175</v>
      </c>
      <c r="BR20" s="27">
        <f>AVERAGE(BB20:BM20)</f>
        <v>0.015</v>
      </c>
    </row>
    <row r="21"/>
    <row r="22">
      <c r="C22" s="146" t="inlineStr">
        <is>
          <t>■ ストック計算（契約社数＝前月契約社数＋当月新規受注－当月解約）</t>
        </is>
      </c>
    </row>
    <row r="23">
      <c r="A23" s="147" t="n"/>
      <c r="B23" s="147" t="n"/>
      <c r="C23" s="43" t="inlineStr">
        <is>
          <t>新規受注数（当月）</t>
        </is>
      </c>
      <c r="D23" s="44" t="inlineStr">
        <is>
          <t>＝当月の累計獲得数(12行)－前月の累計獲得数。税理士獲得ロジック(×35等)は別途検討中のため、既存ファネルを流用</t>
        </is>
      </c>
      <c r="E23" s="44" t="n"/>
      <c r="F23" s="537">
        <f>F12</f>
        <v>0.0</v>
      </c>
      <c r="G23" s="537">
        <f>G12-F12</f>
        <v>2.499</v>
      </c>
      <c r="H23" s="537">
        <f>H12-G12</f>
        <v>11.2455</v>
      </c>
      <c r="I23" s="537">
        <f>I12-H12</f>
        <v>11.2455</v>
      </c>
      <c r="J23" s="537">
        <f>J12-I12</f>
        <v>9.996</v>
      </c>
      <c r="K23" s="537">
        <f>K12-J12</f>
        <v>12.495</v>
      </c>
      <c r="L23" s="537">
        <f>L12-K12</f>
        <v>12.495</v>
      </c>
      <c r="M23" s="537">
        <f>M12-L12</f>
        <v>12.495</v>
      </c>
      <c r="N23" s="537">
        <f>N12-M12</f>
        <v>14.994</v>
      </c>
      <c r="O23" s="537">
        <f>O12-N12</f>
        <v>13.7445</v>
      </c>
      <c r="P23" s="537">
        <f>P12-O12</f>
        <v>13.7445</v>
      </c>
      <c r="Q23" s="537">
        <f>Q12-P12</f>
        <v>16.2435</v>
      </c>
      <c r="R23" s="537">
        <f>R12-Q12</f>
        <v>14.994</v>
      </c>
      <c r="S23" s="537">
        <f>S12-R12</f>
        <v>14.994</v>
      </c>
      <c r="T23" s="537">
        <f>T12-S12</f>
        <v>17.493</v>
      </c>
      <c r="U23" s="537">
        <f>U12-T12</f>
        <v>16.2435</v>
      </c>
      <c r="V23" s="537">
        <f>V12-U12</f>
        <v>16.2435</v>
      </c>
      <c r="W23" s="537">
        <f>W12-V12</f>
        <v>18.7425</v>
      </c>
      <c r="X23" s="537">
        <f>X12-W12</f>
        <v>17.493</v>
      </c>
      <c r="Y23" s="537">
        <f>Y12-X12</f>
        <v>17.493</v>
      </c>
      <c r="Z23" s="537">
        <f>Z12-Y12</f>
        <v>19.992</v>
      </c>
      <c r="AA23" s="537">
        <f>AA12-Z12</f>
        <v>18.7425</v>
      </c>
      <c r="AB23" s="537">
        <f>AB12-AA12</f>
        <v>18.7425</v>
      </c>
      <c r="AC23" s="537">
        <f>AC12-AB12</f>
        <v>19.992</v>
      </c>
      <c r="AD23" s="537">
        <f>AD12-AC12</f>
        <v>22.491</v>
      </c>
      <c r="AE23" s="537">
        <f>AE12-AD12</f>
        <v>21.2415</v>
      </c>
      <c r="AF23" s="537">
        <f>AF12-AE12</f>
        <v>23.7405</v>
      </c>
      <c r="AG23" s="537">
        <f>AG12-AF12</f>
        <v>22.4910000000001</v>
      </c>
      <c r="AH23" s="537">
        <f>AH12-AG12</f>
        <v>23.7404999999999</v>
      </c>
      <c r="AI23" s="537">
        <f>AI12-AH12</f>
        <v>23.7405</v>
      </c>
      <c r="AJ23" s="537">
        <f>AJ12-AI12</f>
        <v>24.99</v>
      </c>
      <c r="AK23" s="537">
        <f>AK12-AJ12</f>
        <v>23.7404999999999</v>
      </c>
      <c r="AL23" s="537">
        <f>AL12-AK12</f>
        <v>26.2395000000001</v>
      </c>
      <c r="AM23" s="537">
        <f>AM12-AL12</f>
        <v>24.9899999999999</v>
      </c>
      <c r="AN23" s="537">
        <f>AN12-AM12</f>
        <v>24.99</v>
      </c>
      <c r="AO23" s="537">
        <f>AO12-AN12</f>
        <v>27.489</v>
      </c>
      <c r="AP23" s="537">
        <f>AP12-AO12</f>
        <v>26.2395</v>
      </c>
      <c r="AQ23" s="537">
        <f>AQ12-AP12</f>
        <v>26.2394999999999</v>
      </c>
      <c r="AR23" s="537">
        <f>AR12-AQ12</f>
        <v>27.4890000000001</v>
      </c>
      <c r="AS23" s="537">
        <f>AS12-AR12</f>
        <v>27.489</v>
      </c>
      <c r="AT23" s="537">
        <f>AT12-AS12</f>
        <v>27.4889999999999</v>
      </c>
      <c r="AU23" s="537">
        <f>AU12-AT12</f>
        <v>28.7385</v>
      </c>
      <c r="AV23" s="537">
        <f>AV12-AU12</f>
        <v>28.7384999999999</v>
      </c>
      <c r="AW23" s="537">
        <f>AW12-AV12</f>
        <v>28.7384999999999</v>
      </c>
      <c r="AX23" s="537">
        <f>AX12-AW12</f>
        <v>29.9880000000002</v>
      </c>
      <c r="AY23" s="537">
        <f>AY12-AX12</f>
        <v>28.7384999999998</v>
      </c>
      <c r="AZ23" s="537">
        <f>AZ12-AY12</f>
        <v>29.9880000000001</v>
      </c>
      <c r="BA23" s="537">
        <f>BA12-AZ12</f>
        <v>29.9879999999999</v>
      </c>
      <c r="BB23" s="537">
        <f>BB12-BA12</f>
        <v>36.2355</v>
      </c>
      <c r="BC23" s="537">
        <f>BC12-BB12</f>
        <v>34.9860000000001</v>
      </c>
      <c r="BD23" s="537">
        <f>BD12-BC12</f>
        <v>36.2355</v>
      </c>
      <c r="BE23" s="537">
        <f>BE12-BD12</f>
        <v>36.2355</v>
      </c>
      <c r="BF23" s="537">
        <f>BF12-BE12</f>
        <v>36.2354999999998</v>
      </c>
      <c r="BG23" s="537">
        <f>BG12-BF12</f>
        <v>38.7345000000003</v>
      </c>
      <c r="BH23" s="537">
        <f>BH12-BG12</f>
        <v>37.4849999999999</v>
      </c>
      <c r="BI23" s="537">
        <f>BI12-BH12</f>
        <v>37.4849999999999</v>
      </c>
      <c r="BJ23" s="537">
        <f>BJ12-BI12</f>
        <v>38.7345000000003</v>
      </c>
      <c r="BK23" s="537">
        <f>BK12-BJ12</f>
        <v>38.7344999999998</v>
      </c>
      <c r="BL23" s="537">
        <f>BL12-BK12</f>
        <v>38.7345</v>
      </c>
      <c r="BM23" s="537">
        <f>BM12-BL12</f>
        <v>39.9839999999999</v>
      </c>
      <c r="BN23" s="538">
        <f>SUM(F23:Q23)</f>
        <v>131.1975</v>
      </c>
      <c r="BO23" s="537">
        <f>SUM(R23:AC23)</f>
        <v>211.1655</v>
      </c>
      <c r="BP23" s="537">
        <f>SUM(AD23:AO23)</f>
        <v>289.884</v>
      </c>
      <c r="BQ23" s="537">
        <f>SUM(AP23:BA23)</f>
        <v>339.864</v>
      </c>
      <c r="BR23" s="537">
        <f>SUM(BB23:BM23)</f>
        <v>449.82</v>
      </c>
    </row>
    <row r="24">
      <c r="A24" s="147" t="n"/>
      <c r="B24" s="147" t="n"/>
      <c r="C24" s="43" t="inlineStr">
        <is>
          <t>期末契約社数（ストック）</t>
        </is>
      </c>
      <c r="D24" s="44" t="inlineStr">
        <is>
          <t>＝前月末契約社数＋新規受注数－解約予想数。売上＝本行×単価</t>
        </is>
      </c>
      <c r="E24" s="44" t="n"/>
      <c r="F24" s="537">
        <f>F23-F19</f>
        <v>0.0</v>
      </c>
      <c r="G24" s="537">
        <f>F24+G23-G19</f>
        <v>2.499</v>
      </c>
      <c r="H24" s="537">
        <f>G24+H23-H19</f>
        <v>13.69452</v>
      </c>
      <c r="I24" s="537">
        <f>H24+I23-I19</f>
        <v>24.6661296</v>
      </c>
      <c r="J24" s="537">
        <f>I24+J23-J19</f>
        <v>34.168807008</v>
      </c>
      <c r="K24" s="537">
        <f>J24+K23-K19</f>
        <v>45.98043086784</v>
      </c>
      <c r="L24" s="537">
        <f>K24+L23-L19</f>
        <v>57.5558222504832</v>
      </c>
      <c r="M24" s="537">
        <f>L24+M23-M19</f>
        <v>68.8997058054735</v>
      </c>
      <c r="N24" s="537">
        <f>M24+N23-N19</f>
        <v>82.5157116893641</v>
      </c>
      <c r="O24" s="537">
        <f>N24+O23-O19</f>
        <v>94.6098974555768</v>
      </c>
      <c r="P24" s="537">
        <f>O24+P23-P19</f>
        <v>106.462199506465</v>
      </c>
      <c r="Q24" s="537">
        <f>P24+Q23-Q19</f>
        <v>120.576455516336</v>
      </c>
      <c r="R24" s="537">
        <f>Q24+R23-R19</f>
        <v>133.158926406009</v>
      </c>
      <c r="S24" s="537">
        <f>R24+S23-S19</f>
        <v>145.489747877889</v>
      </c>
      <c r="T24" s="537">
        <f>S24+T23-T19</f>
        <v>160.072952920331</v>
      </c>
      <c r="U24" s="537">
        <f>T24+U23-U19</f>
        <v>173.114993861925</v>
      </c>
      <c r="V24" s="537">
        <f>U24+V23-V19</f>
        <v>185.896193984686</v>
      </c>
      <c r="W24" s="537">
        <f>V24+W23-W19</f>
        <v>200.920770104992</v>
      </c>
      <c r="X24" s="537">
        <f>W24+X23-X19</f>
        <v>214.395354702893</v>
      </c>
      <c r="Y24" s="537">
        <f>X24+Y23-Y19</f>
        <v>227.600447608835</v>
      </c>
      <c r="Z24" s="537">
        <f>Y24+Z23-Z19</f>
        <v>243.040438656658</v>
      </c>
      <c r="AA24" s="537">
        <f>Z24+AA23-AA19</f>
        <v>256.922129883525</v>
      </c>
      <c r="AB24" s="537">
        <f>AA24+AB23-AB19</f>
        <v>270.526187285854</v>
      </c>
      <c r="AC24" s="537">
        <f>AB24+AC23-AC19</f>
        <v>285.107663540137</v>
      </c>
      <c r="AD24" s="537">
        <f>AC24+AD23-AD19</f>
        <v>302.609279428185</v>
      </c>
      <c r="AE24" s="537">
        <f>AD24+AE23-AE19</f>
        <v>318.555117038192</v>
      </c>
      <c r="AF24" s="537">
        <f>AE24+AF23-AF19</f>
        <v>336.720902490023</v>
      </c>
      <c r="AG24" s="537">
        <f>AF24+AG23-AG19</f>
        <v>353.319286696448</v>
      </c>
      <c r="AH24" s="537">
        <f>AG24+AH23-AH19</f>
        <v>370.87669917926</v>
      </c>
      <c r="AI24" s="537">
        <f>AH24+AI23-AI19</f>
        <v>388.126856943623</v>
      </c>
      <c r="AJ24" s="537">
        <f>AI24+AJ23-AJ19</f>
        <v>406.324636947109</v>
      </c>
      <c r="AK24" s="537">
        <f>AJ24+AK23-AK19</f>
        <v>422.954455800535</v>
      </c>
      <c r="AL24" s="537">
        <f>AK24+AL23-AL19</f>
        <v>441.792252824026</v>
      </c>
      <c r="AM24" s="537">
        <f>AL24+AM23-AM19</f>
        <v>459.050888399605</v>
      </c>
      <c r="AN24" s="537">
        <f>AM24+AN23-AN19</f>
        <v>476.007497852612</v>
      </c>
      <c r="AO24" s="537">
        <f>AN24+AO23-AO19</f>
        <v>495.166366640192</v>
      </c>
      <c r="AP24" s="537">
        <f>AO24+AP23-AP19</f>
        <v>512.740455223988</v>
      </c>
      <c r="AQ24" s="537">
        <f>AP24+AQ23-AQ19</f>
        <v>530.006997257568</v>
      </c>
      <c r="AR24" s="537">
        <f>AQ24+AR23-AR19</f>
        <v>548.220874805561</v>
      </c>
      <c r="AS24" s="537">
        <f>AR24+AS23-AS19</f>
        <v>566.116009496464</v>
      </c>
      <c r="AT24" s="537">
        <f>AS24+AT23-AT19</f>
        <v>583.697979330276</v>
      </c>
      <c r="AU24" s="537">
        <f>AT24+AU23-AU19</f>
        <v>602.221764691996</v>
      </c>
      <c r="AV24" s="537">
        <f>AU24+AV23-AV19</f>
        <v>620.421383809886</v>
      </c>
      <c r="AW24" s="537">
        <f>AV24+AW23-AW19</f>
        <v>638.302509593213</v>
      </c>
      <c r="AX24" s="537">
        <f>AW24+AX23-AX19</f>
        <v>657.120215675332</v>
      </c>
      <c r="AY24" s="537">
        <f>AX24+AY23-AY19</f>
        <v>674.359111901013</v>
      </c>
      <c r="AZ24" s="537">
        <f>AY24+AZ23-AZ19</f>
        <v>692.545827442746</v>
      </c>
      <c r="BA24" s="537">
        <f>AZ24+BA23-BA19</f>
        <v>710.414275462498</v>
      </c>
      <c r="BB24" s="537">
        <f>BA24+BB23-BB19</f>
        <v>735.99356133056</v>
      </c>
      <c r="BC24" s="537">
        <f>BB24+BC23-BC19</f>
        <v>759.939657910602</v>
      </c>
      <c r="BD24" s="537">
        <f>BC24+BD23-BD19</f>
        <v>784.776063041943</v>
      </c>
      <c r="BE24" s="537">
        <f>BD24+BE23-BE19</f>
        <v>809.239922096314</v>
      </c>
      <c r="BF24" s="537">
        <f>BE24+BF23-BF19</f>
        <v>833.336823264869</v>
      </c>
      <c r="BG24" s="537">
        <f>BF24+BG23-BG19</f>
        <v>859.571270915896</v>
      </c>
      <c r="BH24" s="537">
        <f>BG24+BH23-BH19</f>
        <v>884.162701852157</v>
      </c>
      <c r="BI24" s="537">
        <f>BH24+BI23-BI19</f>
        <v>908.385261324375</v>
      </c>
      <c r="BJ24" s="537">
        <f>BI24+BJ23-BJ19</f>
        <v>933.49398240451</v>
      </c>
      <c r="BK24" s="537">
        <f>BJ24+BK23-BK19</f>
        <v>958.226072668442</v>
      </c>
      <c r="BL24" s="537">
        <f>BK24+BL23-BL19</f>
        <v>982.587181578415</v>
      </c>
      <c r="BM24" s="537">
        <f>BL24+BM23-BM19</f>
        <v>1007.83237385474</v>
      </c>
      <c r="BN24" s="538">
        <f>Q24</f>
        <v>120.576455516336</v>
      </c>
      <c r="BO24" s="537">
        <f>AC24</f>
        <v>285.107663540137</v>
      </c>
      <c r="BP24" s="537">
        <f>AO24</f>
        <v>495.166366640192</v>
      </c>
      <c r="BQ24" s="537">
        <f>BA24</f>
        <v>710.414275462498</v>
      </c>
      <c r="BR24" s="537">
        <f>BM24</f>
        <v>1007.83237385474</v>
      </c>
    </row>
  </sheetData>
  <hyperlinks>
    <hyperlink xmlns:r="http://schemas.openxmlformats.org/officeDocument/2006/relationships" ref="D14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22"/>
  <sheetViews>
    <sheetView topLeftCell="AZ1" zoomScale="118" workbookViewId="0">
      <selection activeCell="BN6" sqref="BN6"/>
    </sheetView>
  </sheetViews>
  <sheetFormatPr baseColWidth="10" defaultRowHeight="20"/>
  <sheetData>
    <row r="1"/>
    <row r="2"/>
    <row r="3"/>
    <row r="4">
      <c r="C4" s="59" t="inlineStr">
        <is>
          <t>■ プライベートバンク ➡ UBM 積立式</t>
        </is>
      </c>
      <c r="D4" s="60" t="n"/>
      <c r="E4" s="60" t="n"/>
      <c r="F4" s="112" t="inlineStr">
        <is>
          <t>Y1_M1</t>
        </is>
      </c>
      <c r="G4" s="112" t="inlineStr">
        <is>
          <t>Y1_M2</t>
        </is>
      </c>
      <c r="H4" s="112" t="inlineStr">
        <is>
          <t>Y1_M3</t>
        </is>
      </c>
      <c r="I4" s="112" t="inlineStr">
        <is>
          <t>Y1_M4</t>
        </is>
      </c>
      <c r="J4" s="112" t="inlineStr">
        <is>
          <t>Y1_M5</t>
        </is>
      </c>
      <c r="K4" s="112" t="inlineStr">
        <is>
          <t>Y1_M6</t>
        </is>
      </c>
      <c r="L4" s="112" t="inlineStr">
        <is>
          <t>Y1_M7</t>
        </is>
      </c>
      <c r="M4" s="112" t="inlineStr">
        <is>
          <t>Y1_M8</t>
        </is>
      </c>
      <c r="N4" s="112" t="inlineStr">
        <is>
          <t>Y1_M9</t>
        </is>
      </c>
      <c r="O4" s="112" t="inlineStr">
        <is>
          <t>Y1_M10</t>
        </is>
      </c>
      <c r="P4" s="112" t="inlineStr">
        <is>
          <t>Y1_M11</t>
        </is>
      </c>
      <c r="Q4" s="112" t="inlineStr">
        <is>
          <t>Y1_M12</t>
        </is>
      </c>
      <c r="R4" s="112" t="inlineStr">
        <is>
          <t>Y2_M1</t>
        </is>
      </c>
      <c r="S4" s="112" t="inlineStr">
        <is>
          <t>Y2_M2</t>
        </is>
      </c>
      <c r="T4" s="112" t="inlineStr">
        <is>
          <t>Y2_M3</t>
        </is>
      </c>
      <c r="U4" s="112" t="inlineStr">
        <is>
          <t>Y2_M4</t>
        </is>
      </c>
      <c r="V4" s="112" t="inlineStr">
        <is>
          <t>Y2_M5</t>
        </is>
      </c>
      <c r="W4" s="112" t="inlineStr">
        <is>
          <t>Y2_M6</t>
        </is>
      </c>
      <c r="X4" s="112" t="inlineStr">
        <is>
          <t>Y2_M7</t>
        </is>
      </c>
      <c r="Y4" s="112" t="inlineStr">
        <is>
          <t>Y2_M8</t>
        </is>
      </c>
      <c r="Z4" s="112" t="inlineStr">
        <is>
          <t>Y2_M9</t>
        </is>
      </c>
      <c r="AA4" s="112" t="inlineStr">
        <is>
          <t>Y2_M10</t>
        </is>
      </c>
      <c r="AB4" s="112" t="inlineStr">
        <is>
          <t>Y2_M11</t>
        </is>
      </c>
      <c r="AC4" s="112" t="inlineStr">
        <is>
          <t>Y2_M12</t>
        </is>
      </c>
      <c r="AD4" s="112" t="inlineStr">
        <is>
          <t>Y3_M1</t>
        </is>
      </c>
      <c r="AE4" s="112" t="inlineStr">
        <is>
          <t>Y3_M2</t>
        </is>
      </c>
      <c r="AF4" s="112" t="inlineStr">
        <is>
          <t>Y3_M3</t>
        </is>
      </c>
      <c r="AG4" s="112" t="inlineStr">
        <is>
          <t>Y3_M4</t>
        </is>
      </c>
      <c r="AH4" s="112" t="inlineStr">
        <is>
          <t>Y3_M5</t>
        </is>
      </c>
      <c r="AI4" s="112" t="inlineStr">
        <is>
          <t>Y3_M6</t>
        </is>
      </c>
      <c r="AJ4" s="112" t="inlineStr">
        <is>
          <t>Y3_M7</t>
        </is>
      </c>
      <c r="AK4" s="112" t="inlineStr">
        <is>
          <t>Y3_M8</t>
        </is>
      </c>
      <c r="AL4" s="112" t="inlineStr">
        <is>
          <t>Y3_M9</t>
        </is>
      </c>
      <c r="AM4" s="112" t="inlineStr">
        <is>
          <t>Y3_M10</t>
        </is>
      </c>
      <c r="AN4" s="112" t="inlineStr">
        <is>
          <t>Y3_M11</t>
        </is>
      </c>
      <c r="AO4" s="112" t="inlineStr">
        <is>
          <t>Y3_M12</t>
        </is>
      </c>
      <c r="AP4" s="112" t="inlineStr">
        <is>
          <t>Y4_M1</t>
        </is>
      </c>
      <c r="AQ4" s="112" t="inlineStr">
        <is>
          <t>Y4_M2</t>
        </is>
      </c>
      <c r="AR4" s="112" t="inlineStr">
        <is>
          <t>Y4_M3</t>
        </is>
      </c>
      <c r="AS4" s="112" t="inlineStr">
        <is>
          <t>Y4_M4</t>
        </is>
      </c>
      <c r="AT4" s="112" t="inlineStr">
        <is>
          <t>Y4_M5</t>
        </is>
      </c>
      <c r="AU4" s="112" t="inlineStr">
        <is>
          <t>Y4_M6</t>
        </is>
      </c>
      <c r="AV4" s="112" t="inlineStr">
        <is>
          <t>Y4_M7</t>
        </is>
      </c>
      <c r="AW4" s="112" t="inlineStr">
        <is>
          <t>Y4_M8</t>
        </is>
      </c>
      <c r="AX4" s="112" t="inlineStr">
        <is>
          <t>Y4_M9</t>
        </is>
      </c>
      <c r="AY4" s="112" t="inlineStr">
        <is>
          <t>Y4_M10</t>
        </is>
      </c>
      <c r="AZ4" s="112" t="inlineStr">
        <is>
          <t>Y4_M11</t>
        </is>
      </c>
      <c r="BA4" s="112" t="inlineStr">
        <is>
          <t>Y4_M12</t>
        </is>
      </c>
      <c r="BB4" s="112" t="inlineStr">
        <is>
          <t>Y5_M1</t>
        </is>
      </c>
      <c r="BC4" s="112" t="inlineStr">
        <is>
          <t>Y5_M2</t>
        </is>
      </c>
      <c r="BD4" s="112" t="inlineStr">
        <is>
          <t>Y5_M3</t>
        </is>
      </c>
      <c r="BE4" s="112" t="inlineStr">
        <is>
          <t>Y5_M4</t>
        </is>
      </c>
      <c r="BF4" s="112" t="inlineStr">
        <is>
          <t>Y5_M5</t>
        </is>
      </c>
      <c r="BG4" s="112" t="inlineStr">
        <is>
          <t>Y5_M6</t>
        </is>
      </c>
      <c r="BH4" s="112" t="inlineStr">
        <is>
          <t>Y5_M7</t>
        </is>
      </c>
      <c r="BI4" s="112" t="inlineStr">
        <is>
          <t>Y5_M8</t>
        </is>
      </c>
      <c r="BJ4" s="112" t="inlineStr">
        <is>
          <t>Y5_M9</t>
        </is>
      </c>
      <c r="BK4" s="112" t="inlineStr">
        <is>
          <t>Y5_M10</t>
        </is>
      </c>
      <c r="BL4" s="112" t="inlineStr">
        <is>
          <t>Y5_M11</t>
        </is>
      </c>
      <c r="BM4" s="112" t="inlineStr">
        <is>
          <t>Y5_M12</t>
        </is>
      </c>
      <c r="BN4" s="7" t="inlineStr">
        <is>
          <t>Y1</t>
        </is>
      </c>
      <c r="BO4" s="7" t="inlineStr">
        <is>
          <t>Y2</t>
        </is>
      </c>
      <c r="BP4" s="7" t="inlineStr">
        <is>
          <t>Y3</t>
        </is>
      </c>
      <c r="BQ4" s="7" t="inlineStr">
        <is>
          <t>Y4</t>
        </is>
      </c>
      <c r="BR4" s="7" t="inlineStr">
        <is>
          <t>Y5</t>
        </is>
      </c>
    </row>
    <row r="5">
      <c r="C5" s="59" t="inlineStr">
        <is>
          <t>売上</t>
        </is>
      </c>
      <c r="D5" s="60" t="n"/>
      <c r="E5" s="60" t="n"/>
      <c r="F5" s="539">
        <f>F10*F11</f>
        <v>0.0</v>
      </c>
      <c r="G5" s="539">
        <f>G22*G11</f>
        <v>1814.4</v>
      </c>
      <c r="H5" s="539">
        <f>H22*H11</f>
        <v>9942.912</v>
      </c>
      <c r="I5" s="539">
        <f>I22*I11</f>
        <v>17908.85376</v>
      </c>
      <c r="J5" s="539">
        <f>J22*J11</f>
        <v>24808.2766848</v>
      </c>
      <c r="K5" s="539">
        <f>K22*K11</f>
        <v>33384.111151104</v>
      </c>
      <c r="L5" s="539">
        <f>L22*L11</f>
        <v>41788.4289280819</v>
      </c>
      <c r="M5" s="539">
        <f>M22*M11</f>
        <v>50024.6603495203</v>
      </c>
      <c r="N5" s="539">
        <f>N22*N11</f>
        <v>59910.5671425299</v>
      </c>
      <c r="O5" s="539">
        <f>O22*O11</f>
        <v>68691.5557996793</v>
      </c>
      <c r="P5" s="539">
        <f>P22*P11</f>
        <v>77296.9246836857</v>
      </c>
      <c r="Q5" s="539">
        <f>Q22*Q11</f>
        <v>87544.586190012</v>
      </c>
      <c r="R5" s="539">
        <f>R22*R11</f>
        <v>96680.0944662118</v>
      </c>
      <c r="S5" s="539">
        <f>S22*S11</f>
        <v>105632.892576888</v>
      </c>
      <c r="T5" s="539">
        <f>T22*T11</f>
        <v>116221.03472535</v>
      </c>
      <c r="U5" s="539">
        <f>U22*U11</f>
        <v>125690.214030843</v>
      </c>
      <c r="V5" s="539">
        <f>V22*V11</f>
        <v>134970.009750226</v>
      </c>
      <c r="W5" s="539">
        <f>W22*W11</f>
        <v>145878.609555221</v>
      </c>
      <c r="X5" s="539">
        <f>X22*X11</f>
        <v>155661.837364117</v>
      </c>
      <c r="Y5" s="539">
        <f>Y22*Y11</f>
        <v>165249.400616835</v>
      </c>
      <c r="Z5" s="539">
        <f>Z22*Z11</f>
        <v>176459.612604498</v>
      </c>
      <c r="AA5" s="539">
        <f>AA22*AA11</f>
        <v>186538.420352408</v>
      </c>
      <c r="AB5" s="539">
        <f>AB22*AB11</f>
        <v>196415.65194536</v>
      </c>
      <c r="AC5" s="539">
        <f>AC22*AC11</f>
        <v>207002.538906453</v>
      </c>
      <c r="AD5" s="539">
        <f>AD22*AD11</f>
        <v>219709.59447559</v>
      </c>
      <c r="AE5" s="539">
        <f>AE22*AE11</f>
        <v>231287.076572267</v>
      </c>
      <c r="AF5" s="539">
        <f>AF22*AF11</f>
        <v>244476.352732252</v>
      </c>
      <c r="AG5" s="539">
        <f>AG22*AG11</f>
        <v>256527.616559438</v>
      </c>
      <c r="AH5" s="539">
        <f>AH22*AH11</f>
        <v>269275.183269648</v>
      </c>
      <c r="AI5" s="539">
        <f>AI22*AI11</f>
        <v>281799.667562429</v>
      </c>
      <c r="AJ5" s="539">
        <f>AJ22*AJ11</f>
        <v>295012.173380086</v>
      </c>
      <c r="AK5" s="539">
        <f>AK22*AK11</f>
        <v>307086.260345935</v>
      </c>
      <c r="AL5" s="539">
        <f>AL22*AL11</f>
        <v>320763.450789881</v>
      </c>
      <c r="AM5" s="539">
        <f>AM22*AM11</f>
        <v>333294.090401058</v>
      </c>
      <c r="AN5" s="539">
        <f>AN22*AN11</f>
        <v>345605.443819039</v>
      </c>
      <c r="AO5" s="539">
        <f>AO22*AO11</f>
        <v>359515.748552206</v>
      </c>
      <c r="AP5" s="539">
        <f>AP22*AP11</f>
        <v>372275.422952543</v>
      </c>
      <c r="AQ5" s="539">
        <f>AQ22*AQ11</f>
        <v>384811.803050873</v>
      </c>
      <c r="AR5" s="539">
        <f>AR22*AR11</f>
        <v>398035.996497483</v>
      </c>
      <c r="AS5" s="539">
        <f>AS22*AS11</f>
        <v>411028.766558777</v>
      </c>
      <c r="AT5" s="539">
        <f>AT22*AT11</f>
        <v>423794.163143998</v>
      </c>
      <c r="AU5" s="539">
        <f>AU22*AU11</f>
        <v>437243.365288978</v>
      </c>
      <c r="AV5" s="539">
        <f>AV22*AV11</f>
        <v>450457.206396421</v>
      </c>
      <c r="AW5" s="539">
        <f>AW22*AW11</f>
        <v>463439.805284484</v>
      </c>
      <c r="AX5" s="539">
        <f>AX22*AX11</f>
        <v>477102.408692005</v>
      </c>
      <c r="AY5" s="539">
        <f>AY22*AY11</f>
        <v>489618.716539895</v>
      </c>
      <c r="AZ5" s="539">
        <f>AZ22*AZ11</f>
        <v>502823.189000447</v>
      </c>
      <c r="BA5" s="539">
        <f>BA22*BA11</f>
        <v>515796.583192939</v>
      </c>
      <c r="BB5" s="539">
        <f>BB22*BB11</f>
        <v>534368.434445045</v>
      </c>
      <c r="BC5" s="539">
        <f>BC22*BC11</f>
        <v>551754.50792837</v>
      </c>
      <c r="BD5" s="539">
        <f>BD22*BD11</f>
        <v>569786.990309444</v>
      </c>
      <c r="BE5" s="539">
        <f>BE22*BE11</f>
        <v>587548.985454802</v>
      </c>
      <c r="BF5" s="539">
        <f>BF22*BF11</f>
        <v>605044.55067298</v>
      </c>
      <c r="BG5" s="539">
        <f>BG22*BG11</f>
        <v>624092.082412886</v>
      </c>
      <c r="BH5" s="539">
        <f>BH22*BH11</f>
        <v>641946.701176692</v>
      </c>
      <c r="BI5" s="539">
        <f>BI22*BI11</f>
        <v>659533.500659042</v>
      </c>
      <c r="BJ5" s="539">
        <f>BJ22*BJ11</f>
        <v>677763.698149156</v>
      </c>
      <c r="BK5" s="539">
        <f>BK22*BK11</f>
        <v>695720.442676919</v>
      </c>
      <c r="BL5" s="539">
        <f>BL22*BL11</f>
        <v>713407.836036765</v>
      </c>
      <c r="BM5" s="539">
        <f>BM22*BM11</f>
        <v>731737.118496214</v>
      </c>
      <c r="BN5" s="540">
        <f>SUM(F5:Q5)</f>
        <v>473115.276689413</v>
      </c>
      <c r="BO5" s="539">
        <f>SUM(R5:AC5)</f>
        <v>1812400.31689441</v>
      </c>
      <c r="BP5" s="539">
        <f>SUM(AD5:AO5)</f>
        <v>3464352.65845983</v>
      </c>
      <c r="BQ5" s="539">
        <f>SUM(AP5:BA5)</f>
        <v>5326427.42659885</v>
      </c>
      <c r="BR5" s="539">
        <f>SUM(BB5:BM5)</f>
        <v>7592704.84841831</v>
      </c>
    </row>
    <row r="6">
      <c r="C6" s="63" t="inlineStr">
        <is>
          <t>顧問先</t>
        </is>
      </c>
      <c r="D6" s="64" t="n"/>
      <c r="E6" s="64" t="n"/>
      <c r="F6" s="65">
        <f>35*F15</f>
        <v>0.0</v>
      </c>
      <c r="G6" s="65">
        <f>35*G15</f>
        <v>70.0</v>
      </c>
      <c r="H6" s="65">
        <f>35*H15</f>
        <v>385.0</v>
      </c>
      <c r="I6" s="65">
        <f>35*I15</f>
        <v>700.0</v>
      </c>
      <c r="J6" s="65">
        <f>35*J15</f>
        <v>980.0</v>
      </c>
      <c r="K6" s="65">
        <f>35*K15</f>
        <v>1330.0</v>
      </c>
      <c r="L6" s="65">
        <f>35*L15</f>
        <v>1680.0</v>
      </c>
      <c r="M6" s="65">
        <f>35*M15</f>
        <v>2030.0</v>
      </c>
      <c r="N6" s="65">
        <f>35*N15</f>
        <v>2450.0</v>
      </c>
      <c r="O6" s="65">
        <f>35*O15</f>
        <v>2835.0</v>
      </c>
      <c r="P6" s="65">
        <f>35*P15</f>
        <v>3220.0</v>
      </c>
      <c r="Q6" s="65">
        <f>35*Q15</f>
        <v>3675.0</v>
      </c>
      <c r="R6" s="65">
        <f>35*R15</f>
        <v>4095.0</v>
      </c>
      <c r="S6" s="65">
        <f>35*S15</f>
        <v>4515.0</v>
      </c>
      <c r="T6" s="65">
        <f>35*T15</f>
        <v>5005.0</v>
      </c>
      <c r="U6" s="65">
        <f>35*U15</f>
        <v>5460.0</v>
      </c>
      <c r="V6" s="65">
        <f>35*V15</f>
        <v>5915.0</v>
      </c>
      <c r="W6" s="65">
        <f>35*W15</f>
        <v>6440.0</v>
      </c>
      <c r="X6" s="65">
        <f>35*X15</f>
        <v>6930.0</v>
      </c>
      <c r="Y6" s="65">
        <f>35*Y15</f>
        <v>7420.0</v>
      </c>
      <c r="Z6" s="65">
        <f>35*Z15</f>
        <v>7980.0</v>
      </c>
      <c r="AA6" s="65">
        <f>35*AA15</f>
        <v>8505.0</v>
      </c>
      <c r="AB6" s="65">
        <f>35*AB15</f>
        <v>9030.0</v>
      </c>
      <c r="AC6" s="65">
        <f>35*AC15</f>
        <v>9590.0</v>
      </c>
      <c r="AD6" s="65">
        <f>35*AD15</f>
        <v>10220.0</v>
      </c>
      <c r="AE6" s="65">
        <f>35*AE15</f>
        <v>10815.0</v>
      </c>
      <c r="AF6" s="65">
        <f>35*AF15</f>
        <v>11480.0</v>
      </c>
      <c r="AG6" s="65">
        <f>35*AG15</f>
        <v>12110.0</v>
      </c>
      <c r="AH6" s="65">
        <f>35*AH15</f>
        <v>12775.0</v>
      </c>
      <c r="AI6" s="65">
        <f>35*AI15</f>
        <v>13440.0</v>
      </c>
      <c r="AJ6" s="65">
        <f>35*AJ15</f>
        <v>14140.0</v>
      </c>
      <c r="AK6" s="65">
        <f>35*AK15</f>
        <v>14805.0</v>
      </c>
      <c r="AL6" s="65">
        <f>35*AL15</f>
        <v>15540.0</v>
      </c>
      <c r="AM6" s="65">
        <f>35*AM15</f>
        <v>16240.0</v>
      </c>
      <c r="AN6" s="65">
        <f>35*AN15</f>
        <v>16940.0</v>
      </c>
      <c r="AO6" s="65">
        <f>35*AO15</f>
        <v>17710.0</v>
      </c>
      <c r="AP6" s="65">
        <f>35*AP15</f>
        <v>18445.0</v>
      </c>
      <c r="AQ6" s="65">
        <f>35*AQ15</f>
        <v>19180.0</v>
      </c>
      <c r="AR6" s="65">
        <f>35*AR15</f>
        <v>19950.0</v>
      </c>
      <c r="AS6" s="65">
        <f>35*AS15</f>
        <v>20720.0</v>
      </c>
      <c r="AT6" s="65">
        <f>35*AT15</f>
        <v>21490.0</v>
      </c>
      <c r="AU6" s="65">
        <f>35*AU15</f>
        <v>22295.0</v>
      </c>
      <c r="AV6" s="65">
        <f>35*AV15</f>
        <v>23100.0</v>
      </c>
      <c r="AW6" s="65">
        <f>35*AW15</f>
        <v>23905.0</v>
      </c>
      <c r="AX6" s="65">
        <f>35*AX15</f>
        <v>24745.0</v>
      </c>
      <c r="AY6" s="65">
        <f>35*AY15</f>
        <v>25550.0</v>
      </c>
      <c r="AZ6" s="65">
        <f>35*AZ15</f>
        <v>26390.0</v>
      </c>
      <c r="BA6" s="65">
        <f>35*BA15</f>
        <v>27230.0</v>
      </c>
      <c r="BB6" s="65">
        <f>35*BB15</f>
        <v>28245.0</v>
      </c>
      <c r="BC6" s="65">
        <f>35*BC15</f>
        <v>29225.0</v>
      </c>
      <c r="BD6" s="65">
        <f>35*BD15</f>
        <v>30240.0</v>
      </c>
      <c r="BE6" s="65">
        <f>35*BE15</f>
        <v>31255.0</v>
      </c>
      <c r="BF6" s="65">
        <f>35*BF15</f>
        <v>32270.0</v>
      </c>
      <c r="BG6" s="65">
        <f>35*BG15</f>
        <v>33355.0</v>
      </c>
      <c r="BH6" s="65">
        <f>35*BH15</f>
        <v>34405.0</v>
      </c>
      <c r="BI6" s="65">
        <f>35*BI15</f>
        <v>35455.0</v>
      </c>
      <c r="BJ6" s="65">
        <f>35*BJ15</f>
        <v>36540.0</v>
      </c>
      <c r="BK6" s="65">
        <f>35*BK15</f>
        <v>37625.0</v>
      </c>
      <c r="BL6" s="65">
        <f>35*BL15</f>
        <v>38710.0</v>
      </c>
      <c r="BM6" s="65">
        <f>35*BM15</f>
        <v>39830.0</v>
      </c>
      <c r="BN6" s="66">
        <f>35*BN15</f>
        <v>3675.0</v>
      </c>
      <c r="BO6" s="65">
        <f>35*BO15</f>
        <v>9590.0</v>
      </c>
      <c r="BP6" s="65">
        <f>35*BP15</f>
        <v>17710.0</v>
      </c>
      <c r="BQ6" s="65">
        <f>35*BQ15</f>
        <v>27230.0</v>
      </c>
      <c r="BR6" s="65">
        <f>35*BR15</f>
        <v>39830.0</v>
      </c>
    </row>
    <row r="7">
      <c r="C7" s="67" t="inlineStr">
        <is>
          <t>月20万円積立可能（役員報酬1,500万円以上）</t>
        </is>
      </c>
      <c r="D7" s="64" t="n"/>
      <c r="E7" s="64" t="n"/>
      <c r="F7" s="541" t="n">
        <v>0.2</v>
      </c>
      <c r="G7" s="541" t="n">
        <v>0.2</v>
      </c>
      <c r="H7" s="541" t="n">
        <v>0.2</v>
      </c>
      <c r="I7" s="541" t="n">
        <v>0.2</v>
      </c>
      <c r="J7" s="541" t="n">
        <v>0.2</v>
      </c>
      <c r="K7" s="541" t="n">
        <v>0.2</v>
      </c>
      <c r="L7" s="541" t="n">
        <v>0.2</v>
      </c>
      <c r="M7" s="541" t="n">
        <v>0.2</v>
      </c>
      <c r="N7" s="541" t="n">
        <v>0.2</v>
      </c>
      <c r="O7" s="541" t="n">
        <v>0.2</v>
      </c>
      <c r="P7" s="541" t="n">
        <v>0.2</v>
      </c>
      <c r="Q7" s="541" t="n">
        <v>0.2</v>
      </c>
      <c r="R7" s="541" t="n">
        <v>0.2</v>
      </c>
      <c r="S7" s="541" t="n">
        <v>0.2</v>
      </c>
      <c r="T7" s="541" t="n">
        <v>0.2</v>
      </c>
      <c r="U7" s="541" t="n">
        <v>0.2</v>
      </c>
      <c r="V7" s="541" t="n">
        <v>0.2</v>
      </c>
      <c r="W7" s="541" t="n">
        <v>0.2</v>
      </c>
      <c r="X7" s="541" t="n">
        <v>0.2</v>
      </c>
      <c r="Y7" s="541" t="n">
        <v>0.2</v>
      </c>
      <c r="Z7" s="541" t="n">
        <v>0.2</v>
      </c>
      <c r="AA7" s="541" t="n">
        <v>0.2</v>
      </c>
      <c r="AB7" s="541" t="n">
        <v>0.2</v>
      </c>
      <c r="AC7" s="541" t="n">
        <v>0.2</v>
      </c>
      <c r="AD7" s="541" t="n">
        <v>0.2</v>
      </c>
      <c r="AE7" s="541" t="n">
        <v>0.2</v>
      </c>
      <c r="AF7" s="541" t="n">
        <v>0.2</v>
      </c>
      <c r="AG7" s="541" t="n">
        <v>0.2</v>
      </c>
      <c r="AH7" s="541" t="n">
        <v>0.2</v>
      </c>
      <c r="AI7" s="541" t="n">
        <v>0.2</v>
      </c>
      <c r="AJ7" s="541" t="n">
        <v>0.2</v>
      </c>
      <c r="AK7" s="541" t="n">
        <v>0.2</v>
      </c>
      <c r="AL7" s="541" t="n">
        <v>0.2</v>
      </c>
      <c r="AM7" s="541" t="n">
        <v>0.2</v>
      </c>
      <c r="AN7" s="541" t="n">
        <v>0.2</v>
      </c>
      <c r="AO7" s="541" t="n">
        <v>0.2</v>
      </c>
      <c r="AP7" s="541" t="n">
        <v>0.2</v>
      </c>
      <c r="AQ7" s="541" t="n">
        <v>0.2</v>
      </c>
      <c r="AR7" s="541" t="n">
        <v>0.2</v>
      </c>
      <c r="AS7" s="541" t="n">
        <v>0.2</v>
      </c>
      <c r="AT7" s="541" t="n">
        <v>0.2</v>
      </c>
      <c r="AU7" s="541" t="n">
        <v>0.2</v>
      </c>
      <c r="AV7" s="541" t="n">
        <v>0.2</v>
      </c>
      <c r="AW7" s="541" t="n">
        <v>0.2</v>
      </c>
      <c r="AX7" s="541" t="n">
        <v>0.2</v>
      </c>
      <c r="AY7" s="541" t="n">
        <v>0.2</v>
      </c>
      <c r="AZ7" s="541" t="n">
        <v>0.2</v>
      </c>
      <c r="BA7" s="541" t="n">
        <v>0.2</v>
      </c>
      <c r="BB7" s="541" t="n">
        <v>0.2</v>
      </c>
      <c r="BC7" s="541" t="n">
        <v>0.2</v>
      </c>
      <c r="BD7" s="541" t="n">
        <v>0.2</v>
      </c>
      <c r="BE7" s="541" t="n">
        <v>0.2</v>
      </c>
      <c r="BF7" s="541" t="n">
        <v>0.2</v>
      </c>
      <c r="BG7" s="541" t="n">
        <v>0.2</v>
      </c>
      <c r="BH7" s="541" t="n">
        <v>0.2</v>
      </c>
      <c r="BI7" s="541" t="n">
        <v>0.2</v>
      </c>
      <c r="BJ7" s="541" t="n">
        <v>0.2</v>
      </c>
      <c r="BK7" s="541" t="n">
        <v>0.2</v>
      </c>
      <c r="BL7" s="541" t="n">
        <v>0.2</v>
      </c>
      <c r="BM7" s="541" t="n">
        <v>0.2</v>
      </c>
      <c r="BN7" s="542" t="n">
        <v>0.2</v>
      </c>
      <c r="BO7" s="541" t="n">
        <v>0.2</v>
      </c>
      <c r="BP7" s="541" t="n">
        <v>0.2</v>
      </c>
      <c r="BQ7" s="541" t="n">
        <v>0.2</v>
      </c>
      <c r="BR7" s="541" t="n">
        <v>0.2</v>
      </c>
    </row>
    <row r="8">
      <c r="C8" s="67" t="inlineStr">
        <is>
          <t>税理士 ➡ 企業提案</t>
        </is>
      </c>
      <c r="D8" s="64" t="n"/>
      <c r="E8" s="64" t="n"/>
      <c r="F8" s="541" t="n">
        <v>0.3</v>
      </c>
      <c r="G8" s="541" t="n">
        <v>0.3</v>
      </c>
      <c r="H8" s="541" t="n">
        <v>0.3</v>
      </c>
      <c r="I8" s="541" t="n">
        <v>0.3</v>
      </c>
      <c r="J8" s="541" t="n">
        <v>0.3</v>
      </c>
      <c r="K8" s="541" t="n">
        <v>0.3</v>
      </c>
      <c r="L8" s="541" t="n">
        <v>0.3</v>
      </c>
      <c r="M8" s="541" t="n">
        <v>0.3</v>
      </c>
      <c r="N8" s="541" t="n">
        <v>0.3</v>
      </c>
      <c r="O8" s="541" t="n">
        <v>0.3</v>
      </c>
      <c r="P8" s="541" t="n">
        <v>0.3</v>
      </c>
      <c r="Q8" s="541" t="n">
        <v>0.3</v>
      </c>
      <c r="R8" s="541" t="n">
        <v>0.3</v>
      </c>
      <c r="S8" s="541" t="n">
        <v>0.3</v>
      </c>
      <c r="T8" s="541" t="n">
        <v>0.3</v>
      </c>
      <c r="U8" s="541" t="n">
        <v>0.3</v>
      </c>
      <c r="V8" s="541" t="n">
        <v>0.3</v>
      </c>
      <c r="W8" s="541" t="n">
        <v>0.3</v>
      </c>
      <c r="X8" s="541" t="n">
        <v>0.3</v>
      </c>
      <c r="Y8" s="541" t="n">
        <v>0.3</v>
      </c>
      <c r="Z8" s="541" t="n">
        <v>0.3</v>
      </c>
      <c r="AA8" s="541" t="n">
        <v>0.3</v>
      </c>
      <c r="AB8" s="541" t="n">
        <v>0.3</v>
      </c>
      <c r="AC8" s="541" t="n">
        <v>0.3</v>
      </c>
      <c r="AD8" s="541" t="n">
        <v>0.3</v>
      </c>
      <c r="AE8" s="541" t="n">
        <v>0.3</v>
      </c>
      <c r="AF8" s="541" t="n">
        <v>0.3</v>
      </c>
      <c r="AG8" s="541" t="n">
        <v>0.3</v>
      </c>
      <c r="AH8" s="541" t="n">
        <v>0.3</v>
      </c>
      <c r="AI8" s="541" t="n">
        <v>0.3</v>
      </c>
      <c r="AJ8" s="541" t="n">
        <v>0.3</v>
      </c>
      <c r="AK8" s="541" t="n">
        <v>0.3</v>
      </c>
      <c r="AL8" s="541" t="n">
        <v>0.3</v>
      </c>
      <c r="AM8" s="541" t="n">
        <v>0.3</v>
      </c>
      <c r="AN8" s="541" t="n">
        <v>0.3</v>
      </c>
      <c r="AO8" s="541" t="n">
        <v>0.3</v>
      </c>
      <c r="AP8" s="541" t="n">
        <v>0.3</v>
      </c>
      <c r="AQ8" s="541" t="n">
        <v>0.3</v>
      </c>
      <c r="AR8" s="541" t="n">
        <v>0.3</v>
      </c>
      <c r="AS8" s="541" t="n">
        <v>0.3</v>
      </c>
      <c r="AT8" s="541" t="n">
        <v>0.3</v>
      </c>
      <c r="AU8" s="541" t="n">
        <v>0.3</v>
      </c>
      <c r="AV8" s="541" t="n">
        <v>0.3</v>
      </c>
      <c r="AW8" s="541" t="n">
        <v>0.3</v>
      </c>
      <c r="AX8" s="541" t="n">
        <v>0.3</v>
      </c>
      <c r="AY8" s="541" t="n">
        <v>0.3</v>
      </c>
      <c r="AZ8" s="541" t="n">
        <v>0.3</v>
      </c>
      <c r="BA8" s="541" t="n">
        <v>0.3</v>
      </c>
      <c r="BB8" s="541" t="n">
        <v>0.3</v>
      </c>
      <c r="BC8" s="541" t="n">
        <v>0.3</v>
      </c>
      <c r="BD8" s="541" t="n">
        <v>0.3</v>
      </c>
      <c r="BE8" s="541" t="n">
        <v>0.3</v>
      </c>
      <c r="BF8" s="541" t="n">
        <v>0.3</v>
      </c>
      <c r="BG8" s="541" t="n">
        <v>0.3</v>
      </c>
      <c r="BH8" s="541" t="n">
        <v>0.3</v>
      </c>
      <c r="BI8" s="541" t="n">
        <v>0.3</v>
      </c>
      <c r="BJ8" s="541" t="n">
        <v>0.3</v>
      </c>
      <c r="BK8" s="541" t="n">
        <v>0.3</v>
      </c>
      <c r="BL8" s="541" t="n">
        <v>0.3</v>
      </c>
      <c r="BM8" s="541" t="n">
        <v>0.3</v>
      </c>
      <c r="BN8" s="542" t="n">
        <v>0.3</v>
      </c>
      <c r="BO8" s="541" t="n">
        <v>0.3</v>
      </c>
      <c r="BP8" s="541" t="n">
        <v>0.3</v>
      </c>
      <c r="BQ8" s="541" t="n">
        <v>0.3</v>
      </c>
      <c r="BR8" s="541" t="n">
        <v>0.3</v>
      </c>
    </row>
    <row r="9">
      <c r="C9" s="67" t="inlineStr">
        <is>
          <t>受注率</t>
        </is>
      </c>
      <c r="D9" s="64" t="n"/>
      <c r="E9" s="64" t="n"/>
      <c r="F9" s="543" t="n">
        <v>0.2</v>
      </c>
      <c r="G9" s="543" t="n">
        <v>0.2</v>
      </c>
      <c r="H9" s="543" t="n">
        <v>0.2</v>
      </c>
      <c r="I9" s="543" t="n">
        <v>0.2</v>
      </c>
      <c r="J9" s="543" t="n">
        <v>0.2</v>
      </c>
      <c r="K9" s="543" t="n">
        <v>0.2</v>
      </c>
      <c r="L9" s="543" t="n">
        <v>0.2</v>
      </c>
      <c r="M9" s="543" t="n">
        <v>0.2</v>
      </c>
      <c r="N9" s="543" t="n">
        <v>0.2</v>
      </c>
      <c r="O9" s="543" t="n">
        <v>0.2</v>
      </c>
      <c r="P9" s="543" t="n">
        <v>0.2</v>
      </c>
      <c r="Q9" s="543" t="n">
        <v>0.2</v>
      </c>
      <c r="R9" s="543" t="n">
        <v>0.2</v>
      </c>
      <c r="S9" s="543" t="n">
        <v>0.2</v>
      </c>
      <c r="T9" s="543" t="n">
        <v>0.2</v>
      </c>
      <c r="U9" s="543" t="n">
        <v>0.2</v>
      </c>
      <c r="V9" s="543" t="n">
        <v>0.2</v>
      </c>
      <c r="W9" s="543" t="n">
        <v>0.2</v>
      </c>
      <c r="X9" s="543" t="n">
        <v>0.2</v>
      </c>
      <c r="Y9" s="543" t="n">
        <v>0.2</v>
      </c>
      <c r="Z9" s="543" t="n">
        <v>0.2</v>
      </c>
      <c r="AA9" s="543" t="n">
        <v>0.2</v>
      </c>
      <c r="AB9" s="543" t="n">
        <v>0.2</v>
      </c>
      <c r="AC9" s="543" t="n">
        <v>0.2</v>
      </c>
      <c r="AD9" s="543" t="n">
        <v>0.2</v>
      </c>
      <c r="AE9" s="543" t="n">
        <v>0.2</v>
      </c>
      <c r="AF9" s="543" t="n">
        <v>0.2</v>
      </c>
      <c r="AG9" s="543" t="n">
        <v>0.2</v>
      </c>
      <c r="AH9" s="543" t="n">
        <v>0.2</v>
      </c>
      <c r="AI9" s="543" t="n">
        <v>0.2</v>
      </c>
      <c r="AJ9" s="543" t="n">
        <v>0.2</v>
      </c>
      <c r="AK9" s="543" t="n">
        <v>0.2</v>
      </c>
      <c r="AL9" s="543" t="n">
        <v>0.2</v>
      </c>
      <c r="AM9" s="543" t="n">
        <v>0.2</v>
      </c>
      <c r="AN9" s="543" t="n">
        <v>0.2</v>
      </c>
      <c r="AO9" s="543" t="n">
        <v>0.2</v>
      </c>
      <c r="AP9" s="543" t="n">
        <v>0.2</v>
      </c>
      <c r="AQ9" s="543" t="n">
        <v>0.2</v>
      </c>
      <c r="AR9" s="543" t="n">
        <v>0.2</v>
      </c>
      <c r="AS9" s="543" t="n">
        <v>0.2</v>
      </c>
      <c r="AT9" s="543" t="n">
        <v>0.2</v>
      </c>
      <c r="AU9" s="543" t="n">
        <v>0.2</v>
      </c>
      <c r="AV9" s="543" t="n">
        <v>0.2</v>
      </c>
      <c r="AW9" s="543" t="n">
        <v>0.2</v>
      </c>
      <c r="AX9" s="543" t="n">
        <v>0.2</v>
      </c>
      <c r="AY9" s="543" t="n">
        <v>0.2</v>
      </c>
      <c r="AZ9" s="543" t="n">
        <v>0.2</v>
      </c>
      <c r="BA9" s="543" t="n">
        <v>0.2</v>
      </c>
      <c r="BB9" s="543" t="n">
        <v>0.2</v>
      </c>
      <c r="BC9" s="543" t="n">
        <v>0.2</v>
      </c>
      <c r="BD9" s="543" t="n">
        <v>0.2</v>
      </c>
      <c r="BE9" s="543" t="n">
        <v>0.2</v>
      </c>
      <c r="BF9" s="543" t="n">
        <v>0.2</v>
      </c>
      <c r="BG9" s="543" t="n">
        <v>0.2</v>
      </c>
      <c r="BH9" s="543" t="n">
        <v>0.2</v>
      </c>
      <c r="BI9" s="543" t="n">
        <v>0.2</v>
      </c>
      <c r="BJ9" s="543" t="n">
        <v>0.2</v>
      </c>
      <c r="BK9" s="543" t="n">
        <v>0.2</v>
      </c>
      <c r="BL9" s="543" t="n">
        <v>0.2</v>
      </c>
      <c r="BM9" s="543" t="n">
        <v>0.2</v>
      </c>
      <c r="BN9" s="544" t="n">
        <v>0.2</v>
      </c>
      <c r="BO9" s="543" t="n">
        <v>0.2</v>
      </c>
      <c r="BP9" s="543" t="n">
        <v>0.2</v>
      </c>
      <c r="BQ9" s="543" t="n">
        <v>0.2</v>
      </c>
      <c r="BR9" s="543" t="n">
        <v>0.2</v>
      </c>
    </row>
    <row r="10">
      <c r="C10" s="67" t="inlineStr">
        <is>
          <t>１税理士 / 受注数（累計獲得数・解約前）</t>
        </is>
      </c>
      <c r="D10" s="64" t="n"/>
      <c r="E10" s="64" t="n"/>
      <c r="F10" s="545">
        <f>PRODUCT(F6:F9)</f>
        <v>0.0</v>
      </c>
      <c r="G10" s="545">
        <f>PRODUCT(G6:G9)</f>
        <v>0.84</v>
      </c>
      <c r="H10" s="545">
        <f>PRODUCT(H6:H9)</f>
        <v>4.62</v>
      </c>
      <c r="I10" s="545">
        <f>PRODUCT(I6:I9)</f>
        <v>8.4</v>
      </c>
      <c r="J10" s="545">
        <f>PRODUCT(J6:J9)</f>
        <v>11.76</v>
      </c>
      <c r="K10" s="545">
        <f>PRODUCT(K6:K9)</f>
        <v>15.96</v>
      </c>
      <c r="L10" s="545">
        <f>PRODUCT(L6:L9)</f>
        <v>20.16</v>
      </c>
      <c r="M10" s="545">
        <f>PRODUCT(M6:M9)</f>
        <v>24.36</v>
      </c>
      <c r="N10" s="545">
        <f>PRODUCT(N6:N9)</f>
        <v>29.4</v>
      </c>
      <c r="O10" s="545">
        <f>PRODUCT(O6:O9)</f>
        <v>34.02</v>
      </c>
      <c r="P10" s="545">
        <f>PRODUCT(P6:P9)</f>
        <v>38.64</v>
      </c>
      <c r="Q10" s="545">
        <f>PRODUCT(Q6:Q9)</f>
        <v>44.1</v>
      </c>
      <c r="R10" s="545">
        <f>PRODUCT(R6:R9)</f>
        <v>49.14</v>
      </c>
      <c r="S10" s="545">
        <f>PRODUCT(S6:S9)</f>
        <v>54.18</v>
      </c>
      <c r="T10" s="545">
        <f>PRODUCT(T6:T9)</f>
        <v>60.06</v>
      </c>
      <c r="U10" s="545">
        <f>PRODUCT(U6:U9)</f>
        <v>65.52</v>
      </c>
      <c r="V10" s="545">
        <f>PRODUCT(V6:V9)</f>
        <v>70.98</v>
      </c>
      <c r="W10" s="545">
        <f>PRODUCT(W6:W9)</f>
        <v>77.28</v>
      </c>
      <c r="X10" s="545">
        <f>PRODUCT(X6:X9)</f>
        <v>83.16</v>
      </c>
      <c r="Y10" s="545">
        <f>PRODUCT(Y6:Y9)</f>
        <v>89.04</v>
      </c>
      <c r="Z10" s="545">
        <f>PRODUCT(Z6:Z9)</f>
        <v>95.76</v>
      </c>
      <c r="AA10" s="545">
        <f>PRODUCT(AA6:AA9)</f>
        <v>102.06</v>
      </c>
      <c r="AB10" s="545">
        <f>PRODUCT(AB6:AB9)</f>
        <v>108.36</v>
      </c>
      <c r="AC10" s="545">
        <f>PRODUCT(AC6:AC9)</f>
        <v>115.08</v>
      </c>
      <c r="AD10" s="545">
        <f>PRODUCT(AD6:AD9)</f>
        <v>122.64</v>
      </c>
      <c r="AE10" s="545">
        <f>PRODUCT(AE6:AE9)</f>
        <v>129.78</v>
      </c>
      <c r="AF10" s="545">
        <f>PRODUCT(AF6:AF9)</f>
        <v>137.76</v>
      </c>
      <c r="AG10" s="545">
        <f>PRODUCT(AG6:AG9)</f>
        <v>145.32</v>
      </c>
      <c r="AH10" s="545">
        <f>PRODUCT(AH6:AH9)</f>
        <v>153.3</v>
      </c>
      <c r="AI10" s="545">
        <f>PRODUCT(AI6:AI9)</f>
        <v>161.28</v>
      </c>
      <c r="AJ10" s="545">
        <f>PRODUCT(AJ6:AJ9)</f>
        <v>169.68</v>
      </c>
      <c r="AK10" s="545">
        <f>PRODUCT(AK6:AK9)</f>
        <v>177.66</v>
      </c>
      <c r="AL10" s="545">
        <f>PRODUCT(AL6:AL9)</f>
        <v>186.48</v>
      </c>
      <c r="AM10" s="545">
        <f>PRODUCT(AM6:AM9)</f>
        <v>194.88</v>
      </c>
      <c r="AN10" s="545">
        <f>PRODUCT(AN6:AN9)</f>
        <v>203.28</v>
      </c>
      <c r="AO10" s="545">
        <f>PRODUCT(AO6:AO9)</f>
        <v>212.52</v>
      </c>
      <c r="AP10" s="545">
        <f>PRODUCT(AP6:AP9)</f>
        <v>221.34</v>
      </c>
      <c r="AQ10" s="545">
        <f>PRODUCT(AQ6:AQ9)</f>
        <v>230.16</v>
      </c>
      <c r="AR10" s="545">
        <f>PRODUCT(AR6:AR9)</f>
        <v>239.4</v>
      </c>
      <c r="AS10" s="545">
        <f>PRODUCT(AS6:AS9)</f>
        <v>248.64</v>
      </c>
      <c r="AT10" s="545">
        <f>PRODUCT(AT6:AT9)</f>
        <v>257.88</v>
      </c>
      <c r="AU10" s="545">
        <f>PRODUCT(AU6:AU9)</f>
        <v>267.54</v>
      </c>
      <c r="AV10" s="545">
        <f>PRODUCT(AV6:AV9)</f>
        <v>277.2</v>
      </c>
      <c r="AW10" s="545">
        <f>PRODUCT(AW6:AW9)</f>
        <v>286.86</v>
      </c>
      <c r="AX10" s="545">
        <f>PRODUCT(AX6:AX9)</f>
        <v>296.94</v>
      </c>
      <c r="AY10" s="545">
        <f>PRODUCT(AY6:AY9)</f>
        <v>306.6</v>
      </c>
      <c r="AZ10" s="545">
        <f>PRODUCT(AZ6:AZ9)</f>
        <v>316.68</v>
      </c>
      <c r="BA10" s="545">
        <f>PRODUCT(BA6:BA9)</f>
        <v>326.76</v>
      </c>
      <c r="BB10" s="545">
        <f>PRODUCT(BB6:BB9)</f>
        <v>338.94</v>
      </c>
      <c r="BC10" s="545">
        <f>PRODUCT(BC6:BC9)</f>
        <v>350.7</v>
      </c>
      <c r="BD10" s="545">
        <f>PRODUCT(BD6:BD9)</f>
        <v>362.88</v>
      </c>
      <c r="BE10" s="545">
        <f>PRODUCT(BE6:BE9)</f>
        <v>375.06</v>
      </c>
      <c r="BF10" s="545">
        <f>PRODUCT(BF6:BF9)</f>
        <v>387.24</v>
      </c>
      <c r="BG10" s="545">
        <f>PRODUCT(BG6:BG9)</f>
        <v>400.26</v>
      </c>
      <c r="BH10" s="545">
        <f>PRODUCT(BH6:BH9)</f>
        <v>412.86</v>
      </c>
      <c r="BI10" s="545">
        <f>PRODUCT(BI6:BI9)</f>
        <v>425.46</v>
      </c>
      <c r="BJ10" s="545">
        <f>PRODUCT(BJ6:BJ9)</f>
        <v>438.48</v>
      </c>
      <c r="BK10" s="545">
        <f>PRODUCT(BK6:BK9)</f>
        <v>451.5</v>
      </c>
      <c r="BL10" s="545">
        <f>PRODUCT(BL6:BL9)</f>
        <v>464.52</v>
      </c>
      <c r="BM10" s="545">
        <f>PRODUCT(BM6:BM9)</f>
        <v>477.96</v>
      </c>
      <c r="BN10" s="546">
        <f>PRODUCT(BN6:BN9)</f>
        <v>44.1</v>
      </c>
      <c r="BO10" s="545">
        <f>PRODUCT(BO6:BO9)</f>
        <v>115.08</v>
      </c>
      <c r="BP10" s="545">
        <f>PRODUCT(BP6:BP9)</f>
        <v>212.52</v>
      </c>
      <c r="BQ10" s="547">
        <f>PRODUCT(BQ6:BQ9)</f>
        <v>326.76</v>
      </c>
      <c r="BR10" s="547">
        <f>PRODUCT(BR6:BR9)</f>
        <v>477.96</v>
      </c>
    </row>
    <row r="11">
      <c r="C11" s="63" t="inlineStr">
        <is>
          <t>単価</t>
        </is>
      </c>
      <c r="D11" s="64" t="n"/>
      <c r="E11" s="64" t="inlineStr">
        <is>
          <t>average</t>
        </is>
      </c>
      <c r="F11" s="548">
        <f>F12*12*F13</f>
        <v>2160.0</v>
      </c>
      <c r="G11" s="548">
        <f>G12*12*G13</f>
        <v>2160.0</v>
      </c>
      <c r="H11" s="548">
        <f>H12*12*H13</f>
        <v>2160.0</v>
      </c>
      <c r="I11" s="548">
        <f>I12*12*I13</f>
        <v>2160.0</v>
      </c>
      <c r="J11" s="548">
        <f>J12*12*J13</f>
        <v>2160.0</v>
      </c>
      <c r="K11" s="548">
        <f>K12*12*K13</f>
        <v>2160.0</v>
      </c>
      <c r="L11" s="548">
        <f>L12*12*L13</f>
        <v>2160.0</v>
      </c>
      <c r="M11" s="548">
        <f>M12*12*M13</f>
        <v>2160.0</v>
      </c>
      <c r="N11" s="548">
        <f>N12*12*N13</f>
        <v>2160.0</v>
      </c>
      <c r="O11" s="548">
        <f>O12*12*O13</f>
        <v>2160.0</v>
      </c>
      <c r="P11" s="548">
        <f>P12*12*P13</f>
        <v>2160.0</v>
      </c>
      <c r="Q11" s="548">
        <f>Q12*12*Q13</f>
        <v>2160.0</v>
      </c>
      <c r="R11" s="548">
        <f>R12*12*R13</f>
        <v>2160.0</v>
      </c>
      <c r="S11" s="548">
        <f>S12*12*S13</f>
        <v>2160.0</v>
      </c>
      <c r="T11" s="548">
        <f>T12*12*T13</f>
        <v>2160.0</v>
      </c>
      <c r="U11" s="548">
        <f>U12*12*U13</f>
        <v>2160.0</v>
      </c>
      <c r="V11" s="548">
        <f>V12*12*V13</f>
        <v>2160.0</v>
      </c>
      <c r="W11" s="548">
        <f>W12*12*W13</f>
        <v>2160.0</v>
      </c>
      <c r="X11" s="548">
        <f>X12*12*X13</f>
        <v>2160.0</v>
      </c>
      <c r="Y11" s="548">
        <f>Y12*12*Y13</f>
        <v>2160.0</v>
      </c>
      <c r="Z11" s="548">
        <f>Z12*12*Z13</f>
        <v>2160.0</v>
      </c>
      <c r="AA11" s="548">
        <f>AA12*12*AA13</f>
        <v>2160.0</v>
      </c>
      <c r="AB11" s="548">
        <f>AB12*12*AB13</f>
        <v>2160.0</v>
      </c>
      <c r="AC11" s="548">
        <f>AC12*12*AC13</f>
        <v>2160.0</v>
      </c>
      <c r="AD11" s="548">
        <f>AD12*12*AD13</f>
        <v>2160.0</v>
      </c>
      <c r="AE11" s="548">
        <f>AE12*12*AE13</f>
        <v>2160.0</v>
      </c>
      <c r="AF11" s="548">
        <f>AF12*12*AF13</f>
        <v>2160.0</v>
      </c>
      <c r="AG11" s="548">
        <f>AG12*12*AG13</f>
        <v>2160.0</v>
      </c>
      <c r="AH11" s="548">
        <f>AH12*12*AH13</f>
        <v>2160.0</v>
      </c>
      <c r="AI11" s="548">
        <f>AI12*12*AI13</f>
        <v>2160.0</v>
      </c>
      <c r="AJ11" s="548">
        <f>AJ12*12*AJ13</f>
        <v>2160.0</v>
      </c>
      <c r="AK11" s="548">
        <f>AK12*12*AK13</f>
        <v>2160.0</v>
      </c>
      <c r="AL11" s="548">
        <f>AL12*12*AL13</f>
        <v>2160.0</v>
      </c>
      <c r="AM11" s="548">
        <f>AM12*12*AM13</f>
        <v>2160.0</v>
      </c>
      <c r="AN11" s="548">
        <f>AN12*12*AN13</f>
        <v>2160.0</v>
      </c>
      <c r="AO11" s="548">
        <f>AO12*12*AO13</f>
        <v>2160.0</v>
      </c>
      <c r="AP11" s="548">
        <f>AP12*12*AP13</f>
        <v>2160.0</v>
      </c>
      <c r="AQ11" s="548">
        <f>AQ12*12*AQ13</f>
        <v>2160.0</v>
      </c>
      <c r="AR11" s="548">
        <f>AR12*12*AR13</f>
        <v>2160.0</v>
      </c>
      <c r="AS11" s="548">
        <f>AS12*12*AS13</f>
        <v>2160.0</v>
      </c>
      <c r="AT11" s="548">
        <f>AT12*12*AT13</f>
        <v>2160.0</v>
      </c>
      <c r="AU11" s="548">
        <f>AU12*12*AU13</f>
        <v>2160.0</v>
      </c>
      <c r="AV11" s="548">
        <f>AV12*12*AV13</f>
        <v>2160.0</v>
      </c>
      <c r="AW11" s="548">
        <f>AW12*12*AW13</f>
        <v>2160.0</v>
      </c>
      <c r="AX11" s="548">
        <f>AX12*12*AX13</f>
        <v>2160.0</v>
      </c>
      <c r="AY11" s="548">
        <f>AY12*12*AY13</f>
        <v>2160.0</v>
      </c>
      <c r="AZ11" s="548">
        <f>AZ12*12*AZ13</f>
        <v>2160.0</v>
      </c>
      <c r="BA11" s="548">
        <f>BA12*12*BA13</f>
        <v>2160.0</v>
      </c>
      <c r="BB11" s="548">
        <f>BB12*12*BB13</f>
        <v>2160.0</v>
      </c>
      <c r="BC11" s="548">
        <f>BC12*12*BC13</f>
        <v>2160.0</v>
      </c>
      <c r="BD11" s="548">
        <f>BD12*12*BD13</f>
        <v>2160.0</v>
      </c>
      <c r="BE11" s="548">
        <f>BE12*12*BE13</f>
        <v>2160.0</v>
      </c>
      <c r="BF11" s="548">
        <f>BF12*12*BF13</f>
        <v>2160.0</v>
      </c>
      <c r="BG11" s="548">
        <f>BG12*12*BG13</f>
        <v>2160.0</v>
      </c>
      <c r="BH11" s="548">
        <f>BH12*12*BH13</f>
        <v>2160.0</v>
      </c>
      <c r="BI11" s="548">
        <f>BI12*12*BI13</f>
        <v>2160.0</v>
      </c>
      <c r="BJ11" s="548">
        <f>BJ12*12*BJ13</f>
        <v>2160.0</v>
      </c>
      <c r="BK11" s="548">
        <f>BK12*12*BK13</f>
        <v>2160.0</v>
      </c>
      <c r="BL11" s="548">
        <f>BL12*12*BL13</f>
        <v>2160.0</v>
      </c>
      <c r="BM11" s="548">
        <f>BM12*12*BM13</f>
        <v>2160.0</v>
      </c>
      <c r="BN11" s="549">
        <f>BN12*BN13</f>
        <v>2160.0</v>
      </c>
      <c r="BO11" s="550">
        <f>BO12*BO13</f>
        <v>2160.0</v>
      </c>
      <c r="BP11" s="550">
        <f>BP12*BP13</f>
        <v>2160.0</v>
      </c>
      <c r="BQ11" s="550">
        <f>BQ12*BQ13</f>
        <v>2160.0</v>
      </c>
      <c r="BR11" s="550">
        <f>BR12*BR13</f>
        <v>2160.0</v>
      </c>
    </row>
    <row r="12">
      <c r="C12" s="67" t="inlineStr">
        <is>
          <t>毎月の積立金額</t>
        </is>
      </c>
      <c r="D12" s="64" t="n"/>
      <c r="E12" s="64" t="n"/>
      <c r="F12" s="550" t="n">
        <v>300000</v>
      </c>
      <c r="G12" s="550" t="n">
        <v>300000</v>
      </c>
      <c r="H12" s="550" t="n">
        <v>300000</v>
      </c>
      <c r="I12" s="550" t="n">
        <v>300000</v>
      </c>
      <c r="J12" s="550" t="n">
        <v>300000</v>
      </c>
      <c r="K12" s="550" t="n">
        <v>300000</v>
      </c>
      <c r="L12" s="550" t="n">
        <v>300000</v>
      </c>
      <c r="M12" s="550" t="n">
        <v>300000</v>
      </c>
      <c r="N12" s="550" t="n">
        <v>300000</v>
      </c>
      <c r="O12" s="550" t="n">
        <v>300000</v>
      </c>
      <c r="P12" s="550" t="n">
        <v>300000</v>
      </c>
      <c r="Q12" s="550" t="n">
        <v>300000</v>
      </c>
      <c r="R12" s="550" t="n">
        <v>300000</v>
      </c>
      <c r="S12" s="550" t="n">
        <v>300000</v>
      </c>
      <c r="T12" s="550" t="n">
        <v>300000</v>
      </c>
      <c r="U12" s="550" t="n">
        <v>300000</v>
      </c>
      <c r="V12" s="550" t="n">
        <v>300000</v>
      </c>
      <c r="W12" s="550" t="n">
        <v>300000</v>
      </c>
      <c r="X12" s="550" t="n">
        <v>300000</v>
      </c>
      <c r="Y12" s="550" t="n">
        <v>300000</v>
      </c>
      <c r="Z12" s="550" t="n">
        <v>300000</v>
      </c>
      <c r="AA12" s="550" t="n">
        <v>300000</v>
      </c>
      <c r="AB12" s="550" t="n">
        <v>300000</v>
      </c>
      <c r="AC12" s="550" t="n">
        <v>300000</v>
      </c>
      <c r="AD12" s="550" t="n">
        <v>300000</v>
      </c>
      <c r="AE12" s="550" t="n">
        <v>300000</v>
      </c>
      <c r="AF12" s="550" t="n">
        <v>300000</v>
      </c>
      <c r="AG12" s="550" t="n">
        <v>300000</v>
      </c>
      <c r="AH12" s="550" t="n">
        <v>300000</v>
      </c>
      <c r="AI12" s="550" t="n">
        <v>300000</v>
      </c>
      <c r="AJ12" s="550" t="n">
        <v>300000</v>
      </c>
      <c r="AK12" s="550" t="n">
        <v>300000</v>
      </c>
      <c r="AL12" s="550" t="n">
        <v>300000</v>
      </c>
      <c r="AM12" s="550" t="n">
        <v>300000</v>
      </c>
      <c r="AN12" s="550" t="n">
        <v>300000</v>
      </c>
      <c r="AO12" s="550" t="n">
        <v>300000</v>
      </c>
      <c r="AP12" s="550" t="n">
        <v>300000</v>
      </c>
      <c r="AQ12" s="550" t="n">
        <v>300000</v>
      </c>
      <c r="AR12" s="550" t="n">
        <v>300000</v>
      </c>
      <c r="AS12" s="550" t="n">
        <v>300000</v>
      </c>
      <c r="AT12" s="550" t="n">
        <v>300000</v>
      </c>
      <c r="AU12" s="550" t="n">
        <v>300000</v>
      </c>
      <c r="AV12" s="550" t="n">
        <v>300000</v>
      </c>
      <c r="AW12" s="550" t="n">
        <v>300000</v>
      </c>
      <c r="AX12" s="550" t="n">
        <v>300000</v>
      </c>
      <c r="AY12" s="550" t="n">
        <v>300000</v>
      </c>
      <c r="AZ12" s="550" t="n">
        <v>300000</v>
      </c>
      <c r="BA12" s="550" t="n">
        <v>300000</v>
      </c>
      <c r="BB12" s="550" t="n">
        <v>300000</v>
      </c>
      <c r="BC12" s="550" t="n">
        <v>300000</v>
      </c>
      <c r="BD12" s="550" t="n">
        <v>300000</v>
      </c>
      <c r="BE12" s="550" t="n">
        <v>300000</v>
      </c>
      <c r="BF12" s="550" t="n">
        <v>300000</v>
      </c>
      <c r="BG12" s="550" t="n">
        <v>300000</v>
      </c>
      <c r="BH12" s="550" t="n">
        <v>300000</v>
      </c>
      <c r="BI12" s="550" t="n">
        <v>300000</v>
      </c>
      <c r="BJ12" s="550" t="n">
        <v>300000</v>
      </c>
      <c r="BK12" s="550" t="n">
        <v>300000</v>
      </c>
      <c r="BL12" s="550" t="n">
        <v>300000</v>
      </c>
      <c r="BM12" s="550" t="n">
        <v>300000</v>
      </c>
      <c r="BN12" s="549">
        <f>300000*12</f>
        <v>3600000.0</v>
      </c>
      <c r="BO12" s="550">
        <f>300000*12</f>
        <v>3600000.0</v>
      </c>
      <c r="BP12" s="550">
        <f>300000*12</f>
        <v>3600000.0</v>
      </c>
      <c r="BQ12" s="550">
        <f>300000*12</f>
        <v>3600000.0</v>
      </c>
      <c r="BR12" s="550">
        <f>300000*12</f>
        <v>3600000.0</v>
      </c>
    </row>
    <row r="13">
      <c r="C13" s="67" t="inlineStr">
        <is>
          <t>Taxel 紹介費用率</t>
        </is>
      </c>
      <c r="D13" s="64" t="n"/>
      <c r="E13" s="64" t="n"/>
      <c r="F13" s="541">
        <f>0.2%*30%</f>
        <v>0.0006</v>
      </c>
      <c r="G13" s="541">
        <f>0.2%*30%</f>
        <v>0.0006</v>
      </c>
      <c r="H13" s="541">
        <f>0.2%*30%</f>
        <v>0.0006</v>
      </c>
      <c r="I13" s="541">
        <f>0.2%*30%</f>
        <v>0.0006</v>
      </c>
      <c r="J13" s="541">
        <f>0.2%*30%</f>
        <v>0.0006</v>
      </c>
      <c r="K13" s="541">
        <f>0.2%*30%</f>
        <v>0.0006</v>
      </c>
      <c r="L13" s="541">
        <f>0.2%*30%</f>
        <v>0.0006</v>
      </c>
      <c r="M13" s="541">
        <f>0.2%*30%</f>
        <v>0.0006</v>
      </c>
      <c r="N13" s="541">
        <f>0.2%*30%</f>
        <v>0.0006</v>
      </c>
      <c r="O13" s="541">
        <f>0.2%*30%</f>
        <v>0.0006</v>
      </c>
      <c r="P13" s="541">
        <f>0.2%*30%</f>
        <v>0.0006</v>
      </c>
      <c r="Q13" s="541">
        <f>0.2%*30%</f>
        <v>0.0006</v>
      </c>
      <c r="R13" s="541">
        <f>0.2%*30%</f>
        <v>0.0006</v>
      </c>
      <c r="S13" s="541">
        <f>0.2%*30%</f>
        <v>0.0006</v>
      </c>
      <c r="T13" s="541">
        <f>0.2%*30%</f>
        <v>0.0006</v>
      </c>
      <c r="U13" s="541">
        <f>0.2%*30%</f>
        <v>0.0006</v>
      </c>
      <c r="V13" s="541">
        <f>0.2%*30%</f>
        <v>0.0006</v>
      </c>
      <c r="W13" s="541">
        <f>0.2%*30%</f>
        <v>0.0006</v>
      </c>
      <c r="X13" s="541">
        <f>0.2%*30%</f>
        <v>0.0006</v>
      </c>
      <c r="Y13" s="541">
        <f>0.2%*30%</f>
        <v>0.0006</v>
      </c>
      <c r="Z13" s="541">
        <f>0.2%*30%</f>
        <v>0.0006</v>
      </c>
      <c r="AA13" s="541">
        <f>0.2%*30%</f>
        <v>0.0006</v>
      </c>
      <c r="AB13" s="541">
        <f>0.2%*30%</f>
        <v>0.0006</v>
      </c>
      <c r="AC13" s="541">
        <f>0.2%*30%</f>
        <v>0.0006</v>
      </c>
      <c r="AD13" s="541">
        <f>0.2%*30%</f>
        <v>0.0006</v>
      </c>
      <c r="AE13" s="541">
        <f>0.2%*30%</f>
        <v>0.0006</v>
      </c>
      <c r="AF13" s="541">
        <f>0.2%*30%</f>
        <v>0.0006</v>
      </c>
      <c r="AG13" s="541">
        <f>0.2%*30%</f>
        <v>0.0006</v>
      </c>
      <c r="AH13" s="541">
        <f>0.2%*30%</f>
        <v>0.0006</v>
      </c>
      <c r="AI13" s="541">
        <f>0.2%*30%</f>
        <v>0.0006</v>
      </c>
      <c r="AJ13" s="541">
        <f>0.2%*30%</f>
        <v>0.0006</v>
      </c>
      <c r="AK13" s="541">
        <f>0.2%*30%</f>
        <v>0.0006</v>
      </c>
      <c r="AL13" s="541">
        <f>0.2%*30%</f>
        <v>0.0006</v>
      </c>
      <c r="AM13" s="541">
        <f>0.2%*30%</f>
        <v>0.0006</v>
      </c>
      <c r="AN13" s="541">
        <f>0.2%*30%</f>
        <v>0.0006</v>
      </c>
      <c r="AO13" s="541">
        <f>0.2%*30%</f>
        <v>0.0006</v>
      </c>
      <c r="AP13" s="541">
        <f>0.2%*30%</f>
        <v>0.0006</v>
      </c>
      <c r="AQ13" s="541">
        <f>0.2%*30%</f>
        <v>0.0006</v>
      </c>
      <c r="AR13" s="541">
        <f>0.2%*30%</f>
        <v>0.0006</v>
      </c>
      <c r="AS13" s="541">
        <f>0.2%*30%</f>
        <v>0.0006</v>
      </c>
      <c r="AT13" s="541">
        <f>0.2%*30%</f>
        <v>0.0006</v>
      </c>
      <c r="AU13" s="541">
        <f>0.2%*30%</f>
        <v>0.0006</v>
      </c>
      <c r="AV13" s="541">
        <f>0.2%*30%</f>
        <v>0.0006</v>
      </c>
      <c r="AW13" s="541">
        <f>0.2%*30%</f>
        <v>0.0006</v>
      </c>
      <c r="AX13" s="541">
        <f>0.2%*30%</f>
        <v>0.0006</v>
      </c>
      <c r="AY13" s="541">
        <f>0.2%*30%</f>
        <v>0.0006</v>
      </c>
      <c r="AZ13" s="541">
        <f>0.2%*30%</f>
        <v>0.0006</v>
      </c>
      <c r="BA13" s="541">
        <f>0.2%*30%</f>
        <v>0.0006</v>
      </c>
      <c r="BB13" s="541">
        <f>0.2%*30%</f>
        <v>0.0006</v>
      </c>
      <c r="BC13" s="541">
        <f>0.2%*30%</f>
        <v>0.0006</v>
      </c>
      <c r="BD13" s="541">
        <f>0.2%*30%</f>
        <v>0.0006</v>
      </c>
      <c r="BE13" s="541">
        <f>0.2%*30%</f>
        <v>0.0006</v>
      </c>
      <c r="BF13" s="541">
        <f>0.2%*30%</f>
        <v>0.0006</v>
      </c>
      <c r="BG13" s="541">
        <f>0.2%*30%</f>
        <v>0.0006</v>
      </c>
      <c r="BH13" s="541">
        <f>0.2%*30%</f>
        <v>0.0006</v>
      </c>
      <c r="BI13" s="541">
        <f>0.2%*30%</f>
        <v>0.0006</v>
      </c>
      <c r="BJ13" s="541">
        <f>0.2%*30%</f>
        <v>0.0006</v>
      </c>
      <c r="BK13" s="541">
        <f>0.2%*30%</f>
        <v>0.0006</v>
      </c>
      <c r="BL13" s="541">
        <f>0.2%*30%</f>
        <v>0.0006</v>
      </c>
      <c r="BM13" s="541">
        <f>0.2%*30%</f>
        <v>0.0006</v>
      </c>
      <c r="BN13" s="542">
        <f>0.2%*30%</f>
        <v>0.0006</v>
      </c>
      <c r="BO13" s="541">
        <f>0.2%*30%</f>
        <v>0.0006</v>
      </c>
      <c r="BP13" s="541">
        <f>0.2%*30%</f>
        <v>0.0006</v>
      </c>
      <c r="BQ13" s="541">
        <f>0.2%*30%</f>
        <v>0.0006</v>
      </c>
      <c r="BR13" s="541">
        <f>0.2%*30%</f>
        <v>0.0006</v>
      </c>
    </row>
    <row r="14">
      <c r="C14" s="67" t="inlineStr">
        <is>
          <t>１税理士 / 紹介費用</t>
        </is>
      </c>
      <c r="D14" s="64" t="n"/>
      <c r="E14" s="64" t="n"/>
      <c r="F14" s="74">
        <f>F22*F11/12</f>
        <v>0.0</v>
      </c>
      <c r="G14" s="74">
        <f>G22*G11/12</f>
        <v>151.2</v>
      </c>
      <c r="H14" s="74">
        <f>H22*H11/12</f>
        <v>828.576</v>
      </c>
      <c r="I14" s="74">
        <f>I22*I11/12</f>
        <v>1492.40448</v>
      </c>
      <c r="J14" s="74">
        <f>J22*J11/12</f>
        <v>2067.3563904</v>
      </c>
      <c r="K14" s="74">
        <f>K22*K11/12</f>
        <v>2782.009262592</v>
      </c>
      <c r="L14" s="74">
        <f>L22*L11/12</f>
        <v>3482.36907734016</v>
      </c>
      <c r="M14" s="74">
        <f>M22*M11/12</f>
        <v>4168.72169579336</v>
      </c>
      <c r="N14" s="74">
        <f>N22*N11/12</f>
        <v>4992.54726187749</v>
      </c>
      <c r="O14" s="74">
        <f>O22*O11/12</f>
        <v>5724.29631663994</v>
      </c>
      <c r="P14" s="74">
        <f>P22*P11/12</f>
        <v>6441.41039030714</v>
      </c>
      <c r="Q14" s="74">
        <f>Q22*Q11/12</f>
        <v>7295.382182501</v>
      </c>
      <c r="R14" s="74">
        <f>R22*R11/12</f>
        <v>8056.67453885098</v>
      </c>
      <c r="S14" s="74">
        <f>S22*S11/12</f>
        <v>8802.74104807396</v>
      </c>
      <c r="T14" s="74">
        <f>T22*T11/12</f>
        <v>9685.08622711248</v>
      </c>
      <c r="U14" s="74">
        <f>U22*U11/12</f>
        <v>10474.1845025702</v>
      </c>
      <c r="V14" s="74">
        <f>V22*V11/12</f>
        <v>11247.5008125188</v>
      </c>
      <c r="W14" s="74">
        <f>W22*W11/12</f>
        <v>12156.5507962685</v>
      </c>
      <c r="X14" s="74">
        <f>X22*X11/12</f>
        <v>12971.8197803431</v>
      </c>
      <c r="Y14" s="74">
        <f>Y22*Y11/12</f>
        <v>13770.7833847362</v>
      </c>
      <c r="Z14" s="74">
        <f>Z22*Z11/12</f>
        <v>14704.9677170415</v>
      </c>
      <c r="AA14" s="74">
        <f>AA22*AA11/12</f>
        <v>15544.8683627007</v>
      </c>
      <c r="AB14" s="74">
        <f>AB22*AB11/12</f>
        <v>16367.9709954467</v>
      </c>
      <c r="AC14" s="74">
        <f>AC22*AC11/12</f>
        <v>17250.2115755377</v>
      </c>
      <c r="AD14" s="74">
        <f>AD22*AD11/12</f>
        <v>18309.1328729658</v>
      </c>
      <c r="AE14" s="74">
        <f>AE22*AE11/12</f>
        <v>19273.9230476889</v>
      </c>
      <c r="AF14" s="74">
        <f>AF22*AF11/12</f>
        <v>20373.0293943543</v>
      </c>
      <c r="AG14" s="74">
        <f>AG22*AG11/12</f>
        <v>21377.3013799532</v>
      </c>
      <c r="AH14" s="74">
        <f>AH22*AH11/12</f>
        <v>22439.598605804</v>
      </c>
      <c r="AI14" s="74">
        <f>AI22*AI11/12</f>
        <v>23483.3056302024</v>
      </c>
      <c r="AJ14" s="74">
        <f>AJ22*AJ11/12</f>
        <v>24584.3477816739</v>
      </c>
      <c r="AK14" s="74">
        <f>AK22*AK11/12</f>
        <v>25590.5216954946</v>
      </c>
      <c r="AL14" s="74">
        <f>AL22*AL11/12</f>
        <v>26730.2875658234</v>
      </c>
      <c r="AM14" s="74">
        <f>AM22*AM11/12</f>
        <v>27774.5075334215</v>
      </c>
      <c r="AN14" s="74">
        <f>AN22*AN11/12</f>
        <v>28800.4536515866</v>
      </c>
      <c r="AO14" s="74">
        <f>AO22*AO11/12</f>
        <v>29959.6457126839</v>
      </c>
      <c r="AP14" s="74">
        <f>AP22*AP11/12</f>
        <v>31022.9519127119</v>
      </c>
      <c r="AQ14" s="74">
        <f>AQ22*AQ11/12</f>
        <v>32067.6502542394</v>
      </c>
      <c r="AR14" s="74">
        <f>AR22*AR11/12</f>
        <v>33169.6663747902</v>
      </c>
      <c r="AS14" s="74">
        <f>AS22*AS11/12</f>
        <v>34252.3972132314</v>
      </c>
      <c r="AT14" s="74">
        <f>AT22*AT11/12</f>
        <v>35316.1802619999</v>
      </c>
      <c r="AU14" s="74">
        <f>AU22*AU11/12</f>
        <v>36436.9471074149</v>
      </c>
      <c r="AV14" s="74">
        <f>AV22*AV11/12</f>
        <v>37538.1005330351</v>
      </c>
      <c r="AW14" s="74">
        <f>AW22*AW11/12</f>
        <v>38619.983773707</v>
      </c>
      <c r="AX14" s="74">
        <f>AX22*AX11/12</f>
        <v>39758.5340576671</v>
      </c>
      <c r="AY14" s="74">
        <f>AY22*AY11/12</f>
        <v>40801.559711658</v>
      </c>
      <c r="AZ14" s="74">
        <f>AZ22*AZ11/12</f>
        <v>41901.9324167039</v>
      </c>
      <c r="BA14" s="74">
        <f>BA22*BA11/12</f>
        <v>42983.0485994116</v>
      </c>
      <c r="BB14" s="74">
        <f>BB22*BB11/12</f>
        <v>44530.7028704204</v>
      </c>
      <c r="BC14" s="74">
        <f>BC22*BC11/12</f>
        <v>45979.5423273641</v>
      </c>
      <c r="BD14" s="74">
        <f>BD22*BD11/12</f>
        <v>47482.2491924537</v>
      </c>
      <c r="BE14" s="74">
        <f>BE22*BE11/12</f>
        <v>48962.4154545669</v>
      </c>
      <c r="BF14" s="74">
        <f>BF22*BF11/12</f>
        <v>50420.3792227484</v>
      </c>
      <c r="BG14" s="74">
        <f>BG22*BG11/12</f>
        <v>52007.6735344071</v>
      </c>
      <c r="BH14" s="74">
        <f>BH22*BH11/12</f>
        <v>53495.558431391</v>
      </c>
      <c r="BI14" s="74">
        <f>BI22*BI11/12</f>
        <v>54961.1250549202</v>
      </c>
      <c r="BJ14" s="74">
        <f>BJ22*BJ11/12</f>
        <v>56480.3081790964</v>
      </c>
      <c r="BK14" s="74">
        <f>BK22*BK11/12</f>
        <v>57976.7035564099</v>
      </c>
      <c r="BL14" s="74">
        <f>BL22*BL11/12</f>
        <v>59450.6530030638</v>
      </c>
      <c r="BM14" s="74">
        <f>BM22*BM11/12</f>
        <v>60978.0932080178</v>
      </c>
      <c r="BN14" s="551">
        <f>SUM(F14:Q14)</f>
        <v>39426.2730574511</v>
      </c>
      <c r="BO14" s="552">
        <f>SUM(R14:AC14)</f>
        <v>151033.359741201</v>
      </c>
      <c r="BP14" s="552">
        <f>SUM(AD14:AO14)</f>
        <v>288696.054871652</v>
      </c>
      <c r="BQ14" s="552">
        <f>SUM(AP14:BA14)</f>
        <v>443868.95221657</v>
      </c>
      <c r="BR14" s="552">
        <f>SUM(BB14:BM14)</f>
        <v>632725.40403486</v>
      </c>
    </row>
    <row r="15">
      <c r="C15" s="16" t="inlineStr">
        <is>
          <t>税理士数＝アカウト数</t>
        </is>
      </c>
      <c r="D15" s="11" t="n"/>
      <c r="E15" s="11" t="n"/>
      <c r="F15" s="19" t="n">
        <v>0</v>
      </c>
      <c r="G15" s="19" t="n">
        <v>2</v>
      </c>
      <c r="H15" s="19" t="n">
        <v>11</v>
      </c>
      <c r="I15" s="19" t="n">
        <v>20</v>
      </c>
      <c r="J15" s="19" t="n">
        <v>28</v>
      </c>
      <c r="K15" s="19" t="n">
        <v>38</v>
      </c>
      <c r="L15" s="19" t="n">
        <v>48</v>
      </c>
      <c r="M15" s="19" t="n">
        <v>58</v>
      </c>
      <c r="N15" s="19" t="n">
        <v>70</v>
      </c>
      <c r="O15" s="19" t="n">
        <v>81</v>
      </c>
      <c r="P15" s="19" t="n">
        <v>92</v>
      </c>
      <c r="Q15" s="19" t="n">
        <v>105</v>
      </c>
      <c r="R15" s="19" t="n">
        <v>117</v>
      </c>
      <c r="S15" s="19" t="n">
        <v>129</v>
      </c>
      <c r="T15" s="19" t="n">
        <v>143</v>
      </c>
      <c r="U15" s="19" t="n">
        <v>156</v>
      </c>
      <c r="V15" s="19" t="n">
        <v>169</v>
      </c>
      <c r="W15" s="19" t="n">
        <v>184</v>
      </c>
      <c r="X15" s="19" t="n">
        <v>198</v>
      </c>
      <c r="Y15" s="19" t="n">
        <v>212</v>
      </c>
      <c r="Z15" s="19" t="n">
        <v>228</v>
      </c>
      <c r="AA15" s="19" t="n">
        <v>243</v>
      </c>
      <c r="AB15" s="19" t="n">
        <v>258</v>
      </c>
      <c r="AC15" s="19" t="n">
        <v>274</v>
      </c>
      <c r="AD15" s="19" t="n">
        <v>292</v>
      </c>
      <c r="AE15" s="19" t="n">
        <v>309</v>
      </c>
      <c r="AF15" s="19" t="n">
        <v>328</v>
      </c>
      <c r="AG15" s="19" t="n">
        <v>346</v>
      </c>
      <c r="AH15" s="19" t="n">
        <v>365</v>
      </c>
      <c r="AI15" s="19" t="n">
        <v>384</v>
      </c>
      <c r="AJ15" s="19" t="n">
        <v>404</v>
      </c>
      <c r="AK15" s="19" t="n">
        <v>423</v>
      </c>
      <c r="AL15" s="19" t="n">
        <v>444</v>
      </c>
      <c r="AM15" s="19" t="n">
        <v>464</v>
      </c>
      <c r="AN15" s="19" t="n">
        <v>484</v>
      </c>
      <c r="AO15" s="19" t="n">
        <v>506</v>
      </c>
      <c r="AP15" s="19" t="n">
        <v>527</v>
      </c>
      <c r="AQ15" s="19" t="n">
        <v>548</v>
      </c>
      <c r="AR15" s="19" t="n">
        <v>570</v>
      </c>
      <c r="AS15" s="19" t="n">
        <v>592</v>
      </c>
      <c r="AT15" s="19" t="n">
        <v>614</v>
      </c>
      <c r="AU15" s="19" t="n">
        <v>637</v>
      </c>
      <c r="AV15" s="19" t="n">
        <v>660</v>
      </c>
      <c r="AW15" s="19" t="n">
        <v>683</v>
      </c>
      <c r="AX15" s="19" t="n">
        <v>707</v>
      </c>
      <c r="AY15" s="19" t="n">
        <v>730</v>
      </c>
      <c r="AZ15" s="19" t="n">
        <v>754</v>
      </c>
      <c r="BA15" s="19" t="n">
        <v>778</v>
      </c>
      <c r="BB15" s="19" t="n">
        <v>807</v>
      </c>
      <c r="BC15" s="19" t="n">
        <v>835</v>
      </c>
      <c r="BD15" s="19" t="n">
        <v>864</v>
      </c>
      <c r="BE15" s="19" t="n">
        <v>893</v>
      </c>
      <c r="BF15" s="19" t="n">
        <v>922</v>
      </c>
      <c r="BG15" s="19" t="n">
        <v>953</v>
      </c>
      <c r="BH15" s="19" t="n">
        <v>983</v>
      </c>
      <c r="BI15" s="19" t="n">
        <v>1013</v>
      </c>
      <c r="BJ15" s="19" t="n">
        <v>1044</v>
      </c>
      <c r="BK15" s="19" t="n">
        <v>1075</v>
      </c>
      <c r="BL15" s="19" t="n">
        <v>1106</v>
      </c>
      <c r="BM15" s="19" t="n">
        <v>1138</v>
      </c>
      <c r="BN15" s="37">
        <f>Q15</f>
        <v>105.0</v>
      </c>
      <c r="BO15" s="19">
        <f>AC15</f>
        <v>274.0</v>
      </c>
      <c r="BP15" s="19">
        <f>AO15</f>
        <v>506.0</v>
      </c>
      <c r="BQ15" s="19">
        <f>BA15</f>
        <v>778.0</v>
      </c>
      <c r="BR15" s="19">
        <f>BM15</f>
        <v>1138.0</v>
      </c>
    </row>
    <row r="16">
      <c r="C16" s="515" t="inlineStr">
        <is>
          <t>新規</t>
        </is>
      </c>
      <c r="D16" s="11" t="n"/>
      <c r="E16" s="515" t="n"/>
      <c r="F16" s="8" t="n">
        <v>0</v>
      </c>
      <c r="G16" s="23" t="n">
        <v>1</v>
      </c>
      <c r="H16" s="23" t="n">
        <v>5</v>
      </c>
      <c r="I16" s="23" t="n">
        <v>5</v>
      </c>
      <c r="J16" s="23" t="n">
        <v>5</v>
      </c>
      <c r="K16" s="23">
        <f>H16+1</f>
        <v>6.0</v>
      </c>
      <c r="L16" s="23">
        <f>I16+1</f>
        <v>6.0</v>
      </c>
      <c r="M16" s="23">
        <f>J16+1</f>
        <v>6.0</v>
      </c>
      <c r="N16" s="23">
        <f>K16+1</f>
        <v>7.0</v>
      </c>
      <c r="O16" s="23">
        <f>L16+1</f>
        <v>7.0</v>
      </c>
      <c r="P16" s="23">
        <f>M16+1</f>
        <v>7.0</v>
      </c>
      <c r="Q16" s="23">
        <f>N16+1</f>
        <v>8.0</v>
      </c>
      <c r="R16" s="23">
        <f>O16+1</f>
        <v>8.0</v>
      </c>
      <c r="S16" s="23">
        <f>P16+1</f>
        <v>8.0</v>
      </c>
      <c r="T16" s="23">
        <f>Q16+1</f>
        <v>9.0</v>
      </c>
      <c r="U16" s="23">
        <f>R16+1</f>
        <v>9.0</v>
      </c>
      <c r="V16" s="23">
        <f>S16+1</f>
        <v>9.0</v>
      </c>
      <c r="W16" s="23">
        <f>T16+1</f>
        <v>10.0</v>
      </c>
      <c r="X16" s="23">
        <f>U16+1</f>
        <v>10.0</v>
      </c>
      <c r="Y16" s="23">
        <f>V16+1</f>
        <v>10.0</v>
      </c>
      <c r="Z16" s="23">
        <f>W16+1</f>
        <v>11.0</v>
      </c>
      <c r="AA16" s="23">
        <f>X16+1</f>
        <v>11.0</v>
      </c>
      <c r="AB16" s="23">
        <f>Y16+1</f>
        <v>11.0</v>
      </c>
      <c r="AC16" s="23">
        <f>Z16+1</f>
        <v>12.0</v>
      </c>
      <c r="AD16" s="23">
        <f>AA16+1</f>
        <v>12.0</v>
      </c>
      <c r="AE16" s="23">
        <f>AB16+1</f>
        <v>12.0</v>
      </c>
      <c r="AF16" s="23">
        <f>AC16+1</f>
        <v>13.0</v>
      </c>
      <c r="AG16" s="23">
        <f>AD16+1</f>
        <v>13.0</v>
      </c>
      <c r="AH16" s="23">
        <f>AE16+1</f>
        <v>13.0</v>
      </c>
      <c r="AI16" s="23">
        <f>AF16+1</f>
        <v>14.0</v>
      </c>
      <c r="AJ16" s="23">
        <f>AG16+1</f>
        <v>14.0</v>
      </c>
      <c r="AK16" s="23">
        <f>AH16+1</f>
        <v>14.0</v>
      </c>
      <c r="AL16" s="23">
        <f>AI16+1</f>
        <v>15.0</v>
      </c>
      <c r="AM16" s="23">
        <f>AJ16+1</f>
        <v>15.0</v>
      </c>
      <c r="AN16" s="23">
        <f>AK16+1</f>
        <v>15.0</v>
      </c>
      <c r="AO16" s="23">
        <f>AL16+1</f>
        <v>16.0</v>
      </c>
      <c r="AP16" s="23">
        <f>AM16+1</f>
        <v>16.0</v>
      </c>
      <c r="AQ16" s="23">
        <f>AN16+1</f>
        <v>16.0</v>
      </c>
      <c r="AR16" s="23">
        <f>AO16+1</f>
        <v>17.0</v>
      </c>
      <c r="AS16" s="23">
        <f>AP16+1</f>
        <v>17.0</v>
      </c>
      <c r="AT16" s="23">
        <f>AQ16+1</f>
        <v>17.0</v>
      </c>
      <c r="AU16" s="23">
        <f>AR16+1</f>
        <v>18.0</v>
      </c>
      <c r="AV16" s="23">
        <f>AS16+1</f>
        <v>18.0</v>
      </c>
      <c r="AW16" s="23">
        <f>AT16+1</f>
        <v>18.0</v>
      </c>
      <c r="AX16" s="23">
        <f>AU16+1</f>
        <v>19.0</v>
      </c>
      <c r="AY16" s="23">
        <f>AV16+1</f>
        <v>19.0</v>
      </c>
      <c r="AZ16" s="23">
        <f>AW16+1</f>
        <v>19.0</v>
      </c>
      <c r="BA16" s="23">
        <f>AX16+1</f>
        <v>20.0</v>
      </c>
      <c r="BB16" s="23">
        <f>AY16+1</f>
        <v>20.0</v>
      </c>
      <c r="BC16" s="23">
        <f>AZ16+1</f>
        <v>20.0</v>
      </c>
      <c r="BD16" s="23">
        <f>BA16+1</f>
        <v>21.0</v>
      </c>
      <c r="BE16" s="23">
        <f>BB16+1</f>
        <v>21.0</v>
      </c>
      <c r="BF16" s="23">
        <f>BC16+1</f>
        <v>21.0</v>
      </c>
      <c r="BG16" s="23">
        <f>BD16+1</f>
        <v>22.0</v>
      </c>
      <c r="BH16" s="23">
        <f>BE16+1</f>
        <v>22.0</v>
      </c>
      <c r="BI16" s="23">
        <f>BF16+1</f>
        <v>22.0</v>
      </c>
      <c r="BJ16" s="23">
        <f>BG16+1</f>
        <v>23.0</v>
      </c>
      <c r="BK16" s="23">
        <f>BH16+1</f>
        <v>23.0</v>
      </c>
      <c r="BL16" s="23">
        <f>BI16+1</f>
        <v>23.0</v>
      </c>
      <c r="BM16" s="23">
        <f>BJ16+1</f>
        <v>24.0</v>
      </c>
      <c r="BN16" s="38">
        <f>SUM(F16:Q16)</f>
        <v>63.0</v>
      </c>
      <c r="BO16" s="23">
        <f>SUM(R16:AC16)</f>
        <v>118.0</v>
      </c>
      <c r="BP16" s="23">
        <f>SUM(AD16:AO16)</f>
        <v>166.0</v>
      </c>
      <c r="BQ16" s="23">
        <f>SUM(AP16:BA16)</f>
        <v>214.0</v>
      </c>
      <c r="BR16" s="23">
        <f>SUM(BB16:BM16)</f>
        <v>262.0</v>
      </c>
    </row>
    <row r="17">
      <c r="C17" s="515" t="inlineStr">
        <is>
          <t>解約予想数</t>
        </is>
      </c>
      <c r="D17" s="11" t="n"/>
      <c r="E17" s="515" t="n"/>
      <c r="F17" s="26" t="n">
        <v>0</v>
      </c>
      <c r="G17" s="26">
        <f>F22*G18</f>
        <v>0.0</v>
      </c>
      <c r="H17" s="26">
        <f>G22*H18</f>
        <v>0.0168</v>
      </c>
      <c r="I17" s="26">
        <f>H22*I18</f>
        <v>0.092064</v>
      </c>
      <c r="J17" s="26">
        <f>I22*J18</f>
        <v>0.16582272</v>
      </c>
      <c r="K17" s="26">
        <f>J22*K18</f>
        <v>0.2297062656</v>
      </c>
      <c r="L17" s="26">
        <f>K22*L18</f>
        <v>0.309112140288</v>
      </c>
      <c r="M17" s="26">
        <f>L22*M18</f>
        <v>0.38692989748224</v>
      </c>
      <c r="N17" s="26">
        <f>M22*N18</f>
        <v>0.463191299532595</v>
      </c>
      <c r="O17" s="26">
        <f>N22*O18</f>
        <v>0.554727473541943</v>
      </c>
      <c r="P17" s="26">
        <f>O22*P18</f>
        <v>0.636032924071105</v>
      </c>
      <c r="Q17" s="26">
        <f>P22*Q18</f>
        <v>0.715712265589682</v>
      </c>
      <c r="R17" s="26">
        <f>Q22*R18</f>
        <v>0.810598020277889</v>
      </c>
      <c r="S17" s="26">
        <f>R22*S18</f>
        <v>0.895186059872331</v>
      </c>
      <c r="T17" s="26">
        <f>S22*T18</f>
        <v>0.978082338674884</v>
      </c>
      <c r="U17" s="26">
        <f>T22*U18</f>
        <v>1.07612069190139</v>
      </c>
      <c r="V17" s="26">
        <f>U22*V18</f>
        <v>1.16379827806336</v>
      </c>
      <c r="W17" s="26">
        <f>V22*W18</f>
        <v>1.24972231250209</v>
      </c>
      <c r="X17" s="26">
        <f>W22*X18</f>
        <v>1.35072786625205</v>
      </c>
      <c r="Y17" s="26">
        <f>X22*Y18</f>
        <v>1.44131330892701</v>
      </c>
      <c r="Z17" s="26">
        <f>Y22*Z18</f>
        <v>1.53008704274847</v>
      </c>
      <c r="AA17" s="26">
        <f>Z22*AA18</f>
        <v>1.6338853018935</v>
      </c>
      <c r="AB17" s="26">
        <f>AA22*AB18</f>
        <v>1.72720759585563</v>
      </c>
      <c r="AC17" s="26">
        <f>AB22*AC18</f>
        <v>1.81866344393852</v>
      </c>
      <c r="AD17" s="26">
        <f>AC22*AD18</f>
        <v>1.67710390317728</v>
      </c>
      <c r="AE17" s="26">
        <f>AD22*AE18</f>
        <v>1.78005458487168</v>
      </c>
      <c r="AF17" s="26">
        <f>AE22*AF18</f>
        <v>1.87385362963642</v>
      </c>
      <c r="AG17" s="26">
        <f>AF22*AG18</f>
        <v>1.98071119111778</v>
      </c>
      <c r="AH17" s="26">
        <f>AG22*AH18</f>
        <v>2.07834874527322</v>
      </c>
      <c r="AI17" s="26">
        <f>AH22*AI18</f>
        <v>2.18162764223094</v>
      </c>
      <c r="AJ17" s="26">
        <f>AI22*AJ18</f>
        <v>2.2830991584919</v>
      </c>
      <c r="AK17" s="26">
        <f>AJ22*AK18</f>
        <v>2.39014492321829</v>
      </c>
      <c r="AL17" s="26">
        <f>AK22*AL18</f>
        <v>2.48796738706197</v>
      </c>
      <c r="AM17" s="26">
        <f>AL22*AM18</f>
        <v>2.59877795778839</v>
      </c>
      <c r="AN17" s="26">
        <f>AM22*AN18</f>
        <v>2.70029934352709</v>
      </c>
      <c r="AO17" s="26">
        <f>AN22*AO18</f>
        <v>2.80004410501537</v>
      </c>
      <c r="AP17" s="26">
        <f>AO22*AP18</f>
        <v>2.9127433331776</v>
      </c>
      <c r="AQ17" s="26">
        <f>AP22*AQ18</f>
        <v>3.01612032484699</v>
      </c>
      <c r="AR17" s="26">
        <f>AQ22*AR18</f>
        <v>3.11768821916217</v>
      </c>
      <c r="AS17" s="26">
        <f>AR22*AS18</f>
        <v>3.22482867532683</v>
      </c>
      <c r="AT17" s="26">
        <f>AS22*AT18</f>
        <v>3.33009417350861</v>
      </c>
      <c r="AU17" s="26">
        <f>AT22*AU18</f>
        <v>3.43351752547221</v>
      </c>
      <c r="AV17" s="26">
        <f>AU22*AV18</f>
        <v>3.54248096877645</v>
      </c>
      <c r="AW17" s="26">
        <f>AV22*AW18</f>
        <v>3.64953755182286</v>
      </c>
      <c r="AX17" s="26">
        <f>AW22*AX18</f>
        <v>3.75472064466596</v>
      </c>
      <c r="AY17" s="26">
        <f>AX22*AY18</f>
        <v>3.8654130333843</v>
      </c>
      <c r="AZ17" s="26">
        <f>AY22*AZ18</f>
        <v>3.96681830530008</v>
      </c>
      <c r="BA17" s="26">
        <f>AZ22*BA18</f>
        <v>4.07379898495733</v>
      </c>
      <c r="BB17" s="26">
        <f>BA22*BB18</f>
        <v>3.58192071661763</v>
      </c>
      <c r="BC17" s="26">
        <f>BB22*BC18</f>
        <v>3.71089190586837</v>
      </c>
      <c r="BD17" s="26">
        <f>BC22*BD18</f>
        <v>3.83162852728034</v>
      </c>
      <c r="BE17" s="26">
        <f>BD22*BE18</f>
        <v>3.95685409937114</v>
      </c>
      <c r="BF17" s="26">
        <f>BE22*BF18</f>
        <v>4.08020128788057</v>
      </c>
      <c r="BG17" s="26">
        <f>BF22*BG18</f>
        <v>4.20169826856236</v>
      </c>
      <c r="BH17" s="26">
        <f>BG22*BH18</f>
        <v>4.33397279453393</v>
      </c>
      <c r="BI17" s="26">
        <f>BH22*BI18</f>
        <v>4.45796320261592</v>
      </c>
      <c r="BJ17" s="26">
        <f>BI22*BJ18</f>
        <v>4.58009375457668</v>
      </c>
      <c r="BK17" s="26">
        <f>BJ22*BK18</f>
        <v>4.70669234825803</v>
      </c>
      <c r="BL17" s="26">
        <f>BK22*BL18</f>
        <v>4.83139196303416</v>
      </c>
      <c r="BM17" s="26">
        <f>BL22*BM18</f>
        <v>4.95422108358865</v>
      </c>
      <c r="BN17" s="38">
        <f>SUM(F17:Q17)</f>
        <v>3.57009898610557</v>
      </c>
      <c r="BO17" s="26">
        <f>SUM(R17:AC17)</f>
        <v>15.6753922609071</v>
      </c>
      <c r="BP17" s="26">
        <f>SUM(AD17:AO17)</f>
        <v>26.8320325714103</v>
      </c>
      <c r="BQ17" s="26">
        <f>SUM(AP17:BA17)</f>
        <v>41.8877617404014</v>
      </c>
      <c r="BR17" s="26">
        <f>SUM(BB17:BM17)</f>
        <v>51.2275299521878</v>
      </c>
    </row>
    <row r="18">
      <c r="C18" s="515" t="inlineStr">
        <is>
          <t>解約率</t>
        </is>
      </c>
      <c r="D18" s="11" t="inlineStr">
        <is>
          <t>F&amp;M オフィスステーション1.01%</t>
        </is>
      </c>
      <c r="E18" s="515" t="n"/>
      <c r="F18" s="27" t="n">
        <v>0.02</v>
      </c>
      <c r="G18" s="27" t="n">
        <v>0.02</v>
      </c>
      <c r="H18" s="27" t="n">
        <v>0.02</v>
      </c>
      <c r="I18" s="27" t="n">
        <v>0.02</v>
      </c>
      <c r="J18" s="27" t="n">
        <v>0.02</v>
      </c>
      <c r="K18" s="27" t="n">
        <v>0.02</v>
      </c>
      <c r="L18" s="27" t="n">
        <v>0.02</v>
      </c>
      <c r="M18" s="27" t="n">
        <v>0.02</v>
      </c>
      <c r="N18" s="27" t="n">
        <v>0.02</v>
      </c>
      <c r="O18" s="27" t="n">
        <v>0.02</v>
      </c>
      <c r="P18" s="27" t="n">
        <v>0.02</v>
      </c>
      <c r="Q18" s="27" t="n">
        <v>0.02</v>
      </c>
      <c r="R18" s="27" t="n">
        <v>0.02</v>
      </c>
      <c r="S18" s="27" t="n">
        <v>0.02</v>
      </c>
      <c r="T18" s="27" t="n">
        <v>0.02</v>
      </c>
      <c r="U18" s="27" t="n">
        <v>0.02</v>
      </c>
      <c r="V18" s="27" t="n">
        <v>0.02</v>
      </c>
      <c r="W18" s="27" t="n">
        <v>0.02</v>
      </c>
      <c r="X18" s="27" t="n">
        <v>0.02</v>
      </c>
      <c r="Y18" s="27" t="n">
        <v>0.02</v>
      </c>
      <c r="Z18" s="27" t="n">
        <v>0.02</v>
      </c>
      <c r="AA18" s="27" t="n">
        <v>0.02</v>
      </c>
      <c r="AB18" s="27" t="n">
        <v>0.02</v>
      </c>
      <c r="AC18" s="27" t="n">
        <v>0.02</v>
      </c>
      <c r="AD18" s="517" t="n">
        <v>0.0175</v>
      </c>
      <c r="AE18" s="517" t="n">
        <v>0.0175</v>
      </c>
      <c r="AF18" s="517" t="n">
        <v>0.0175</v>
      </c>
      <c r="AG18" s="517" t="n">
        <v>0.0175</v>
      </c>
      <c r="AH18" s="517" t="n">
        <v>0.0175</v>
      </c>
      <c r="AI18" s="517" t="n">
        <v>0.0175</v>
      </c>
      <c r="AJ18" s="517" t="n">
        <v>0.0175</v>
      </c>
      <c r="AK18" s="517" t="n">
        <v>0.0175</v>
      </c>
      <c r="AL18" s="517" t="n">
        <v>0.0175</v>
      </c>
      <c r="AM18" s="517" t="n">
        <v>0.0175</v>
      </c>
      <c r="AN18" s="517" t="n">
        <v>0.0175</v>
      </c>
      <c r="AO18" s="517" t="n">
        <v>0.0175</v>
      </c>
      <c r="AP18" s="517" t="n">
        <v>0.0175</v>
      </c>
      <c r="AQ18" s="517" t="n">
        <v>0.0175</v>
      </c>
      <c r="AR18" s="517" t="n">
        <v>0.0175</v>
      </c>
      <c r="AS18" s="517" t="n">
        <v>0.0175</v>
      </c>
      <c r="AT18" s="517" t="n">
        <v>0.0175</v>
      </c>
      <c r="AU18" s="517" t="n">
        <v>0.0175</v>
      </c>
      <c r="AV18" s="517" t="n">
        <v>0.0175</v>
      </c>
      <c r="AW18" s="517" t="n">
        <v>0.0175</v>
      </c>
      <c r="AX18" s="517" t="n">
        <v>0.0175</v>
      </c>
      <c r="AY18" s="517" t="n">
        <v>0.0175</v>
      </c>
      <c r="AZ18" s="517" t="n">
        <v>0.0175</v>
      </c>
      <c r="BA18" s="517" t="n">
        <v>0.0175</v>
      </c>
      <c r="BB18" s="27" t="n">
        <v>0.015</v>
      </c>
      <c r="BC18" s="27" t="n">
        <v>0.015</v>
      </c>
      <c r="BD18" s="27" t="n">
        <v>0.015</v>
      </c>
      <c r="BE18" s="27" t="n">
        <v>0.015</v>
      </c>
      <c r="BF18" s="27" t="n">
        <v>0.015</v>
      </c>
      <c r="BG18" s="27" t="n">
        <v>0.015</v>
      </c>
      <c r="BH18" s="27" t="n">
        <v>0.015</v>
      </c>
      <c r="BI18" s="27" t="n">
        <v>0.015</v>
      </c>
      <c r="BJ18" s="27" t="n">
        <v>0.015</v>
      </c>
      <c r="BK18" s="27" t="n">
        <v>0.015</v>
      </c>
      <c r="BL18" s="27" t="n">
        <v>0.015</v>
      </c>
      <c r="BM18" s="27" t="n">
        <v>0.015</v>
      </c>
      <c r="BN18" s="75">
        <f>AVERAGE(F18:Q18)</f>
        <v>0.02</v>
      </c>
      <c r="BO18" s="27">
        <f>AVERAGE(R18:AC18)</f>
        <v>0.02</v>
      </c>
      <c r="BP18" s="27">
        <f>AVERAGE(AD18:AO18)</f>
        <v>0.0175</v>
      </c>
      <c r="BQ18" s="27">
        <f>AVERAGE(AP18:BA18)</f>
        <v>0.0175</v>
      </c>
      <c r="BR18" s="27">
        <f>AVERAGE(BB18:BM18)</f>
        <v>0.015</v>
      </c>
    </row>
    <row r="19"/>
    <row r="20">
      <c r="C20" s="67" t="inlineStr">
        <is>
          <t>■ ストック計算（契約社数＝前月契約社数＋当月新規受注－当月解約）</t>
        </is>
      </c>
    </row>
    <row r="21">
      <c r="A21" s="147" t="n"/>
      <c r="B21" s="147" t="n"/>
      <c r="C21" s="67" t="inlineStr">
        <is>
          <t>新規受注数（当月）</t>
        </is>
      </c>
      <c r="D21" s="64" t="inlineStr">
        <is>
          <t>＝当月の累計獲得数(10行)－前月の累計獲得数。税理士獲得ロジック(×35等)は別途検討中のため、既存ファネルを流用</t>
        </is>
      </c>
      <c r="E21" s="64" t="n"/>
      <c r="F21" s="553">
        <f>F10</f>
        <v>0.0</v>
      </c>
      <c r="G21" s="553">
        <f>G10-F10</f>
        <v>0.84</v>
      </c>
      <c r="H21" s="553">
        <f>H10-G10</f>
        <v>3.78</v>
      </c>
      <c r="I21" s="553">
        <f>I10-H10</f>
        <v>3.78</v>
      </c>
      <c r="J21" s="553">
        <f>J10-I10</f>
        <v>3.36</v>
      </c>
      <c r="K21" s="553">
        <f>K10-J10</f>
        <v>4.2</v>
      </c>
      <c r="L21" s="553">
        <f>L10-K10</f>
        <v>4.2</v>
      </c>
      <c r="M21" s="553">
        <f>M10-L10</f>
        <v>4.2</v>
      </c>
      <c r="N21" s="553">
        <f>N10-M10</f>
        <v>5.04</v>
      </c>
      <c r="O21" s="553">
        <f>O10-N10</f>
        <v>4.62</v>
      </c>
      <c r="P21" s="553">
        <f>P10-O10</f>
        <v>4.62</v>
      </c>
      <c r="Q21" s="553">
        <f>Q10-P10</f>
        <v>5.46</v>
      </c>
      <c r="R21" s="553">
        <f>R10-Q10</f>
        <v>5.04</v>
      </c>
      <c r="S21" s="553">
        <f>S10-R10</f>
        <v>5.04</v>
      </c>
      <c r="T21" s="553">
        <f>T10-S10</f>
        <v>5.88</v>
      </c>
      <c r="U21" s="553">
        <f>U10-T10</f>
        <v>5.45999999999999</v>
      </c>
      <c r="V21" s="553">
        <f>V10-U10</f>
        <v>5.46000000000001</v>
      </c>
      <c r="W21" s="553">
        <f>W10-V10</f>
        <v>6.3</v>
      </c>
      <c r="X21" s="553">
        <f>X10-W10</f>
        <v>5.88000000000001</v>
      </c>
      <c r="Y21" s="553">
        <f>Y10-X10</f>
        <v>5.88</v>
      </c>
      <c r="Z21" s="553">
        <f>Z10-Y10</f>
        <v>6.71999999999999</v>
      </c>
      <c r="AA21" s="553">
        <f>AA10-Z10</f>
        <v>6.30000000000001</v>
      </c>
      <c r="AB21" s="553">
        <f>AB10-AA10</f>
        <v>6.3</v>
      </c>
      <c r="AC21" s="553">
        <f>AC10-AB10</f>
        <v>6.72</v>
      </c>
      <c r="AD21" s="553">
        <f>AD10-AC10</f>
        <v>7.55999999999999</v>
      </c>
      <c r="AE21" s="553">
        <f>AE10-AD10</f>
        <v>7.14000000000002</v>
      </c>
      <c r="AF21" s="553">
        <f>AF10-AE10</f>
        <v>7.97999999999999</v>
      </c>
      <c r="AG21" s="553">
        <f>AG10-AF10</f>
        <v>7.56000000000003</v>
      </c>
      <c r="AH21" s="553">
        <f>AH10-AG10</f>
        <v>7.97999999999999</v>
      </c>
      <c r="AI21" s="553">
        <f>AI10-AH10</f>
        <v>7.97999999999999</v>
      </c>
      <c r="AJ21" s="553">
        <f>AJ10-AI10</f>
        <v>8.40000000000001</v>
      </c>
      <c r="AK21" s="553">
        <f>AK10-AJ10</f>
        <v>7.97999999999999</v>
      </c>
      <c r="AL21" s="553">
        <f>AL10-AK10</f>
        <v>8.82000000000002</v>
      </c>
      <c r="AM21" s="553">
        <f>AM10-AL10</f>
        <v>8.39999999999998</v>
      </c>
      <c r="AN21" s="553">
        <f>AN10-AM10</f>
        <v>8.40000000000001</v>
      </c>
      <c r="AO21" s="553">
        <f>AO10-AN10</f>
        <v>9.23999999999998</v>
      </c>
      <c r="AP21" s="553">
        <f>AP10-AO10</f>
        <v>8.82000000000005</v>
      </c>
      <c r="AQ21" s="553">
        <f>AQ10-AP10</f>
        <v>8.81999999999997</v>
      </c>
      <c r="AR21" s="553">
        <f>AR10-AQ10</f>
        <v>9.24000000000001</v>
      </c>
      <c r="AS21" s="553">
        <f>AS10-AR10</f>
        <v>9.24000000000001</v>
      </c>
      <c r="AT21" s="553">
        <f>AT10-AS10</f>
        <v>9.23999999999998</v>
      </c>
      <c r="AU21" s="553">
        <f>AU10-AT10</f>
        <v>9.66000000000003</v>
      </c>
      <c r="AV21" s="553">
        <f>AV10-AU10</f>
        <v>9.65999999999997</v>
      </c>
      <c r="AW21" s="553">
        <f>AW10-AV10</f>
        <v>9.66000000000003</v>
      </c>
      <c r="AX21" s="553">
        <f>AX10-AW10</f>
        <v>10.08</v>
      </c>
      <c r="AY21" s="553">
        <f>AY10-AX10</f>
        <v>9.66000000000003</v>
      </c>
      <c r="AZ21" s="553">
        <f>AZ10-AY10</f>
        <v>10.08</v>
      </c>
      <c r="BA21" s="553">
        <f>BA10-AZ10</f>
        <v>10.08</v>
      </c>
      <c r="BB21" s="553">
        <f>BB10-BA10</f>
        <v>12.1800000000001</v>
      </c>
      <c r="BC21" s="553">
        <f>BC10-BB10</f>
        <v>11.76</v>
      </c>
      <c r="BD21" s="553">
        <f>BD10-BC10</f>
        <v>12.18</v>
      </c>
      <c r="BE21" s="553">
        <f>BE10-BD10</f>
        <v>12.18</v>
      </c>
      <c r="BF21" s="553">
        <f>BF10-BE10</f>
        <v>12.18</v>
      </c>
      <c r="BG21" s="553">
        <f>BG10-BF10</f>
        <v>13.02</v>
      </c>
      <c r="BH21" s="553">
        <f>BH10-BG10</f>
        <v>12.6</v>
      </c>
      <c r="BI21" s="553">
        <f>BI10-BH10</f>
        <v>12.6</v>
      </c>
      <c r="BJ21" s="553">
        <f>BJ10-BI10</f>
        <v>13.02</v>
      </c>
      <c r="BK21" s="553">
        <f>BK10-BJ10</f>
        <v>13.02</v>
      </c>
      <c r="BL21" s="553">
        <f>BL10-BK10</f>
        <v>13.02</v>
      </c>
      <c r="BM21" s="553">
        <f>BM10-BL10</f>
        <v>13.44</v>
      </c>
      <c r="BN21" s="554">
        <f>SUM(F21:Q21)</f>
        <v>44.1</v>
      </c>
      <c r="BO21" s="553">
        <f>SUM(R21:AC21)</f>
        <v>70.98</v>
      </c>
      <c r="BP21" s="553">
        <f>SUM(AD21:AO21)</f>
        <v>97.44</v>
      </c>
      <c r="BQ21" s="555">
        <f>SUM(AP21:BA21)</f>
        <v>114.24</v>
      </c>
      <c r="BR21" s="555">
        <f>SUM(BB21:BM21)</f>
        <v>151.2</v>
      </c>
    </row>
    <row r="22">
      <c r="A22" s="147" t="n"/>
      <c r="B22" s="147" t="n"/>
      <c r="C22" s="67" t="inlineStr">
        <is>
          <t>期末契約社数（ストック）</t>
        </is>
      </c>
      <c r="D22" s="64" t="inlineStr">
        <is>
          <t>＝前月末契約社数＋新規受注数－解約予想数。売上＝本行×単価</t>
        </is>
      </c>
      <c r="E22" s="64" t="n"/>
      <c r="F22" s="553">
        <f>F21-F17</f>
        <v>0.0</v>
      </c>
      <c r="G22" s="553">
        <f>F22+G21-G17</f>
        <v>0.84</v>
      </c>
      <c r="H22" s="553">
        <f>G22+H21-H17</f>
        <v>4.6032</v>
      </c>
      <c r="I22" s="553">
        <f>H22+I21-I17</f>
        <v>8.291136</v>
      </c>
      <c r="J22" s="553">
        <f>I22+J21-J17</f>
        <v>11.48531328</v>
      </c>
      <c r="K22" s="553">
        <f>J22+K21-K17</f>
        <v>15.4556070144</v>
      </c>
      <c r="L22" s="553">
        <f>K22+L21-L17</f>
        <v>19.346494874112</v>
      </c>
      <c r="M22" s="553">
        <f>L22+M21-M17</f>
        <v>23.1595649766298</v>
      </c>
      <c r="N22" s="553">
        <f>M22+N21-N17</f>
        <v>27.7363736770972</v>
      </c>
      <c r="O22" s="553">
        <f>N22+O21-O17</f>
        <v>31.8016462035552</v>
      </c>
      <c r="P22" s="553">
        <f>O22+P21-P17</f>
        <v>35.7856132794841</v>
      </c>
      <c r="Q22" s="553">
        <f>P22+Q21-Q17</f>
        <v>40.5299010138944</v>
      </c>
      <c r="R22" s="553">
        <f>Q22+R21-R17</f>
        <v>44.7593029936166</v>
      </c>
      <c r="S22" s="553">
        <f>R22+S21-S17</f>
        <v>48.9041169337442</v>
      </c>
      <c r="T22" s="553">
        <f>S22+T21-T17</f>
        <v>53.8060345950693</v>
      </c>
      <c r="U22" s="553">
        <f>T22+U21-U17</f>
        <v>58.1899139031679</v>
      </c>
      <c r="V22" s="553">
        <f>U22+V21-V17</f>
        <v>62.4861156251046</v>
      </c>
      <c r="W22" s="553">
        <f>V22+W21-W17</f>
        <v>67.5363933126025</v>
      </c>
      <c r="X22" s="553">
        <f>W22+X21-X17</f>
        <v>72.0656654463505</v>
      </c>
      <c r="Y22" s="553">
        <f>X22+Y21-Y17</f>
        <v>76.5043521374235</v>
      </c>
      <c r="Z22" s="553">
        <f>Y22+Z21-Z17</f>
        <v>81.694265094675</v>
      </c>
      <c r="AA22" s="553">
        <f>Z22+AA21-AA17</f>
        <v>86.3603797927815</v>
      </c>
      <c r="AB22" s="553">
        <f>AA22+AB21-AB17</f>
        <v>90.9331721969259</v>
      </c>
      <c r="AC22" s="553">
        <f>AB22+AC21-AC17</f>
        <v>95.8345087529873</v>
      </c>
      <c r="AD22" s="553">
        <f>AC22+AD21-AD17</f>
        <v>101.71740484981</v>
      </c>
      <c r="AE22" s="553">
        <f>AD22+AE21-AE17</f>
        <v>107.077350264938</v>
      </c>
      <c r="AF22" s="553">
        <f>AE22+AF21-AF17</f>
        <v>113.183496635302</v>
      </c>
      <c r="AG22" s="553">
        <f>AF22+AG21-AG17</f>
        <v>118.762785444184</v>
      </c>
      <c r="AH22" s="553">
        <f>AG22+AH21-AH17</f>
        <v>124.664436698911</v>
      </c>
      <c r="AI22" s="553">
        <f>AH22+AI21-AI17</f>
        <v>130.46280905668</v>
      </c>
      <c r="AJ22" s="553">
        <f>AI22+AJ21-AJ17</f>
        <v>136.579709898188</v>
      </c>
      <c r="AK22" s="553">
        <f>AJ22+AK21-AK17</f>
        <v>142.16956497497</v>
      </c>
      <c r="AL22" s="553">
        <f>AK22+AL21-AL17</f>
        <v>148.501597587908</v>
      </c>
      <c r="AM22" s="553">
        <f>AL22+AM21-AM17</f>
        <v>154.302819630119</v>
      </c>
      <c r="AN22" s="553">
        <f>AM22+AN21-AN17</f>
        <v>160.002520286592</v>
      </c>
      <c r="AO22" s="553">
        <f>AN22+AO21-AO17</f>
        <v>166.442476181577</v>
      </c>
      <c r="AP22" s="553">
        <f>AO22+AP21-AP17</f>
        <v>172.349732848399</v>
      </c>
      <c r="AQ22" s="553">
        <f>AP22+AQ21-AQ17</f>
        <v>178.153612523552</v>
      </c>
      <c r="AR22" s="553">
        <f>AQ22+AR21-AR17</f>
        <v>184.27592430439</v>
      </c>
      <c r="AS22" s="553">
        <f>AR22+AS21-AS17</f>
        <v>190.291095629063</v>
      </c>
      <c r="AT22" s="553">
        <f>AS22+AT21-AT17</f>
        <v>196.201001455555</v>
      </c>
      <c r="AU22" s="553">
        <f>AT22+AU21-AU17</f>
        <v>202.427483930083</v>
      </c>
      <c r="AV22" s="553">
        <f>AU22+AV21-AV17</f>
        <v>208.545002961306</v>
      </c>
      <c r="AW22" s="553">
        <f>AV22+AW21-AW17</f>
        <v>214.555465409483</v>
      </c>
      <c r="AX22" s="553">
        <f>AW22+AX21-AX17</f>
        <v>220.880744764817</v>
      </c>
      <c r="AY22" s="553">
        <f>AX22+AY21-AY17</f>
        <v>226.675331731433</v>
      </c>
      <c r="AZ22" s="553">
        <f>AY22+AZ21-AZ17</f>
        <v>232.788513426133</v>
      </c>
      <c r="BA22" s="553">
        <f>AZ22+BA21-BA17</f>
        <v>238.794714441176</v>
      </c>
      <c r="BB22" s="553">
        <f>BA22+BB21-BB17</f>
        <v>247.392793724558</v>
      </c>
      <c r="BC22" s="553">
        <f>BB22+BC21-BC17</f>
        <v>255.44190181869</v>
      </c>
      <c r="BD22" s="553">
        <f>BC22+BD21-BD17</f>
        <v>263.790273291409</v>
      </c>
      <c r="BE22" s="553">
        <f>BD22+BE21-BE17</f>
        <v>272.013419192038</v>
      </c>
      <c r="BF22" s="553">
        <f>BE22+BF21-BF17</f>
        <v>280.113217904158</v>
      </c>
      <c r="BG22" s="553">
        <f>BF22+BG21-BG17</f>
        <v>288.931519635595</v>
      </c>
      <c r="BH22" s="553">
        <f>BG22+BH21-BH17</f>
        <v>297.197546841061</v>
      </c>
      <c r="BI22" s="553">
        <f>BH22+BI21-BI17</f>
        <v>305.339583638445</v>
      </c>
      <c r="BJ22" s="553">
        <f>BI22+BJ21-BJ17</f>
        <v>313.779489883869</v>
      </c>
      <c r="BK22" s="553">
        <f>BJ22+BK21-BK17</f>
        <v>322.092797535611</v>
      </c>
      <c r="BL22" s="553">
        <f>BK22+BL21-BL17</f>
        <v>330.281405572576</v>
      </c>
      <c r="BM22" s="553">
        <f>BL22+BM21-BM17</f>
        <v>338.767184488988</v>
      </c>
      <c r="BN22" s="554">
        <f>Q22</f>
        <v>40.5299010138944</v>
      </c>
      <c r="BO22" s="553">
        <f>AC22</f>
        <v>95.8345087529873</v>
      </c>
      <c r="BP22" s="553">
        <f>AO22</f>
        <v>166.442476181577</v>
      </c>
      <c r="BQ22" s="555">
        <f>BA22</f>
        <v>238.794714441176</v>
      </c>
      <c r="BR22" s="555">
        <f>BM22</f>
        <v>338.767184488988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25"/>
  <sheetViews>
    <sheetView topLeftCell="A3" zoomScale="125" workbookViewId="0">
      <selection activeCell="F5" sqref="F5:BR5"/>
    </sheetView>
  </sheetViews>
  <sheetFormatPr baseColWidth="10" defaultRowHeight="20"/>
  <cols>
    <col width="15.28515625" customWidth="1" style="145" min="66" max="70"/>
  </cols>
  <sheetData>
    <row r="1"/>
    <row r="2"/>
    <row r="3">
      <c r="R3" s="85" t="inlineStr">
        <is>
          <t>Y2</t>
        </is>
      </c>
    </row>
    <row r="4">
      <c r="C4" s="397" t="inlineStr">
        <is>
          <t>■ ④ コスト削減（電力切替）※Y2から開拓</t>
        </is>
      </c>
      <c r="D4" s="397" t="inlineStr">
        <is>
          <t>丸紅新電力等の大手系の取次。継続報酬型（契約が続く限り毎月）。市場連動プランは扱わない（21-22年高騰の教訓）</t>
        </is>
      </c>
      <c r="E4" s="76" t="n"/>
      <c r="F4" s="112" t="inlineStr">
        <is>
          <t>Y1_M1</t>
        </is>
      </c>
      <c r="G4" s="112" t="inlineStr">
        <is>
          <t>Y1_M2</t>
        </is>
      </c>
      <c r="H4" s="112" t="inlineStr">
        <is>
          <t>Y1_M3</t>
        </is>
      </c>
      <c r="I4" s="112" t="inlineStr">
        <is>
          <t>Y1_M4</t>
        </is>
      </c>
      <c r="J4" s="112" t="inlineStr">
        <is>
          <t>Y1_M5</t>
        </is>
      </c>
      <c r="K4" s="112" t="inlineStr">
        <is>
          <t>Y1_M6</t>
        </is>
      </c>
      <c r="L4" s="112" t="inlineStr">
        <is>
          <t>Y1_M7</t>
        </is>
      </c>
      <c r="M4" s="112" t="inlineStr">
        <is>
          <t>Y1_M8</t>
        </is>
      </c>
      <c r="N4" s="112" t="inlineStr">
        <is>
          <t>Y1_M9</t>
        </is>
      </c>
      <c r="O4" s="112" t="inlineStr">
        <is>
          <t>Y1_M10</t>
        </is>
      </c>
      <c r="P4" s="112" t="inlineStr">
        <is>
          <t>Y1_M11</t>
        </is>
      </c>
      <c r="Q4" s="112" t="inlineStr">
        <is>
          <t>Y1_M12</t>
        </is>
      </c>
      <c r="R4" s="112" t="inlineStr">
        <is>
          <t>Y2_M1</t>
        </is>
      </c>
      <c r="S4" s="112" t="inlineStr">
        <is>
          <t>Y2_M2</t>
        </is>
      </c>
      <c r="T4" s="112" t="inlineStr">
        <is>
          <t>Y2_M3</t>
        </is>
      </c>
      <c r="U4" s="112" t="inlineStr">
        <is>
          <t>Y2_M4</t>
        </is>
      </c>
      <c r="V4" s="112" t="inlineStr">
        <is>
          <t>Y2_M5</t>
        </is>
      </c>
      <c r="W4" s="112" t="inlineStr">
        <is>
          <t>Y2_M6</t>
        </is>
      </c>
      <c r="X4" s="112" t="inlineStr">
        <is>
          <t>Y2_M7</t>
        </is>
      </c>
      <c r="Y4" s="112" t="inlineStr">
        <is>
          <t>Y2_M8</t>
        </is>
      </c>
      <c r="Z4" s="112" t="inlineStr">
        <is>
          <t>Y2_M9</t>
        </is>
      </c>
      <c r="AA4" s="112" t="inlineStr">
        <is>
          <t>Y2_M10</t>
        </is>
      </c>
      <c r="AB4" s="112" t="inlineStr">
        <is>
          <t>Y2_M11</t>
        </is>
      </c>
      <c r="AC4" s="112" t="inlineStr">
        <is>
          <t>Y2_M12</t>
        </is>
      </c>
      <c r="AD4" s="112" t="inlineStr">
        <is>
          <t>Y3_M1</t>
        </is>
      </c>
      <c r="AE4" s="112" t="inlineStr">
        <is>
          <t>Y3_M2</t>
        </is>
      </c>
      <c r="AF4" s="112" t="inlineStr">
        <is>
          <t>Y3_M3</t>
        </is>
      </c>
      <c r="AG4" s="112" t="inlineStr">
        <is>
          <t>Y3_M4</t>
        </is>
      </c>
      <c r="AH4" s="112" t="inlineStr">
        <is>
          <t>Y3_M5</t>
        </is>
      </c>
      <c r="AI4" s="112" t="inlineStr">
        <is>
          <t>Y3_M6</t>
        </is>
      </c>
      <c r="AJ4" s="112" t="inlineStr">
        <is>
          <t>Y3_M7</t>
        </is>
      </c>
      <c r="AK4" s="112" t="inlineStr">
        <is>
          <t>Y3_M8</t>
        </is>
      </c>
      <c r="AL4" s="112" t="inlineStr">
        <is>
          <t>Y3_M9</t>
        </is>
      </c>
      <c r="AM4" s="112" t="inlineStr">
        <is>
          <t>Y3_M10</t>
        </is>
      </c>
      <c r="AN4" s="112" t="inlineStr">
        <is>
          <t>Y3_M11</t>
        </is>
      </c>
      <c r="AO4" s="112" t="inlineStr">
        <is>
          <t>Y3_M12</t>
        </is>
      </c>
      <c r="AP4" s="112" t="inlineStr">
        <is>
          <t>Y4_M1</t>
        </is>
      </c>
      <c r="AQ4" s="112" t="inlineStr">
        <is>
          <t>Y4_M2</t>
        </is>
      </c>
      <c r="AR4" s="112" t="inlineStr">
        <is>
          <t>Y4_M3</t>
        </is>
      </c>
      <c r="AS4" s="112" t="inlineStr">
        <is>
          <t>Y4_M4</t>
        </is>
      </c>
      <c r="AT4" s="112" t="inlineStr">
        <is>
          <t>Y4_M5</t>
        </is>
      </c>
      <c r="AU4" s="112" t="inlineStr">
        <is>
          <t>Y4_M6</t>
        </is>
      </c>
      <c r="AV4" s="112" t="inlineStr">
        <is>
          <t>Y4_M7</t>
        </is>
      </c>
      <c r="AW4" s="112" t="inlineStr">
        <is>
          <t>Y4_M8</t>
        </is>
      </c>
      <c r="AX4" s="112" t="inlineStr">
        <is>
          <t>Y4_M9</t>
        </is>
      </c>
      <c r="AY4" s="112" t="inlineStr">
        <is>
          <t>Y4_M10</t>
        </is>
      </c>
      <c r="AZ4" s="112" t="inlineStr">
        <is>
          <t>Y4_M11</t>
        </is>
      </c>
      <c r="BA4" s="112" t="inlineStr">
        <is>
          <t>Y4_M12</t>
        </is>
      </c>
      <c r="BB4" s="112" t="inlineStr">
        <is>
          <t>Y5_M1</t>
        </is>
      </c>
      <c r="BC4" s="112" t="inlineStr">
        <is>
          <t>Y5_M2</t>
        </is>
      </c>
      <c r="BD4" s="112" t="inlineStr">
        <is>
          <t>Y5_M3</t>
        </is>
      </c>
      <c r="BE4" s="112" t="inlineStr">
        <is>
          <t>Y5_M4</t>
        </is>
      </c>
      <c r="BF4" s="112" t="inlineStr">
        <is>
          <t>Y5_M5</t>
        </is>
      </c>
      <c r="BG4" s="112" t="inlineStr">
        <is>
          <t>Y5_M6</t>
        </is>
      </c>
      <c r="BH4" s="112" t="inlineStr">
        <is>
          <t>Y5_M7</t>
        </is>
      </c>
      <c r="BI4" s="112" t="inlineStr">
        <is>
          <t>Y5_M8</t>
        </is>
      </c>
      <c r="BJ4" s="112" t="inlineStr">
        <is>
          <t>Y5_M9</t>
        </is>
      </c>
      <c r="BK4" s="112" t="inlineStr">
        <is>
          <t>Y5_M10</t>
        </is>
      </c>
      <c r="BL4" s="112" t="inlineStr">
        <is>
          <t>Y5_M11</t>
        </is>
      </c>
      <c r="BM4" s="112" t="inlineStr">
        <is>
          <t>Y5_M12</t>
        </is>
      </c>
      <c r="BN4" s="9" t="inlineStr">
        <is>
          <t>Y1</t>
        </is>
      </c>
      <c r="BO4" s="7" t="inlineStr">
        <is>
          <t>Y2</t>
        </is>
      </c>
      <c r="BP4" s="7" t="inlineStr">
        <is>
          <t>Y3</t>
        </is>
      </c>
      <c r="BQ4" s="7" t="inlineStr">
        <is>
          <t>Y4</t>
        </is>
      </c>
      <c r="BR4" s="7" t="inlineStr">
        <is>
          <t>Y5</t>
        </is>
      </c>
    </row>
    <row r="5">
      <c r="C5" s="77" t="inlineStr">
        <is>
          <t>売上</t>
        </is>
      </c>
      <c r="E5" s="76" t="n"/>
      <c r="F5" s="556">
        <f>F25*F16</f>
        <v>0.0</v>
      </c>
      <c r="G5" s="556">
        <f>G11*G16</f>
        <v>2450.0</v>
      </c>
      <c r="H5" s="556">
        <f>H11*H16</f>
        <v>13475.0</v>
      </c>
      <c r="I5" s="556">
        <f>I11*I16</f>
        <v>24500.0</v>
      </c>
      <c r="J5" s="556">
        <f>J11*J16</f>
        <v>34300.0</v>
      </c>
      <c r="K5" s="556">
        <f>K11*K16</f>
        <v>46550.0</v>
      </c>
      <c r="L5" s="556">
        <f>L11*L16</f>
        <v>58800.0</v>
      </c>
      <c r="M5" s="556">
        <f>M11*M16</f>
        <v>71050.0</v>
      </c>
      <c r="N5" s="556">
        <f>N11*N16</f>
        <v>85750.0</v>
      </c>
      <c r="O5" s="556">
        <f>O11*O16</f>
        <v>99225.0</v>
      </c>
      <c r="P5" s="556">
        <f>P11*P16</f>
        <v>112700.0</v>
      </c>
      <c r="Q5" s="556">
        <f>Q11*Q16</f>
        <v>128625.0</v>
      </c>
      <c r="R5" s="556">
        <f>R11*R16</f>
        <v>143325.0</v>
      </c>
      <c r="S5" s="556">
        <f>S11*S16</f>
        <v>158025.0</v>
      </c>
      <c r="T5" s="556">
        <f>T11*T16</f>
        <v>175175.0</v>
      </c>
      <c r="U5" s="556">
        <f>U11*U16</f>
        <v>191100.0</v>
      </c>
      <c r="V5" s="556">
        <f>V11*V16</f>
        <v>207025.0</v>
      </c>
      <c r="W5" s="556">
        <f>W11*W16</f>
        <v>225400.0</v>
      </c>
      <c r="X5" s="556">
        <f>X11*X16</f>
        <v>242550.0</v>
      </c>
      <c r="Y5" s="556">
        <f>Y11*Y16</f>
        <v>259700.0</v>
      </c>
      <c r="Z5" s="556">
        <f>Z11*Z16</f>
        <v>279300.0</v>
      </c>
      <c r="AA5" s="556">
        <f>AA11*AA16</f>
        <v>297675.0</v>
      </c>
      <c r="AB5" s="556">
        <f>AB11*AB16</f>
        <v>316050.0</v>
      </c>
      <c r="AC5" s="556">
        <f>AC11*AC16</f>
        <v>335650.0</v>
      </c>
      <c r="AD5" s="556">
        <f>AD11*AD16</f>
        <v>357700.0</v>
      </c>
      <c r="AE5" s="556">
        <f>AE11*AE16</f>
        <v>378525.0</v>
      </c>
      <c r="AF5" s="556">
        <f>AF11*AF16</f>
        <v>401800.0</v>
      </c>
      <c r="AG5" s="556">
        <f>AG11*AG16</f>
        <v>423850.0</v>
      </c>
      <c r="AH5" s="556">
        <f>AH11*AH16</f>
        <v>447125.0</v>
      </c>
      <c r="AI5" s="556">
        <f>AI11*AI16</f>
        <v>470400.0</v>
      </c>
      <c r="AJ5" s="556">
        <f>AJ11*AJ16</f>
        <v>494900.0</v>
      </c>
      <c r="AK5" s="556">
        <f>AK11*AK16</f>
        <v>518175.0</v>
      </c>
      <c r="AL5" s="556">
        <f>AL11*AL16</f>
        <v>543900.0</v>
      </c>
      <c r="AM5" s="556">
        <f>AM11*AM16</f>
        <v>568400.0</v>
      </c>
      <c r="AN5" s="556">
        <f>AN11*AN16</f>
        <v>592900.0</v>
      </c>
      <c r="AO5" s="556">
        <f>AO11*AO16</f>
        <v>619850.0</v>
      </c>
      <c r="AP5" s="556">
        <f>AP11*AP16</f>
        <v>645575.0</v>
      </c>
      <c r="AQ5" s="556">
        <f>AQ11*AQ16</f>
        <v>671300.0</v>
      </c>
      <c r="AR5" s="556">
        <f>AR11*AR16</f>
        <v>698250.0</v>
      </c>
      <c r="AS5" s="556">
        <f>AS11*AS16</f>
        <v>725200.0</v>
      </c>
      <c r="AT5" s="556">
        <f>AT11*AT16</f>
        <v>752150.0</v>
      </c>
      <c r="AU5" s="556">
        <f>AU11*AU16</f>
        <v>780325.0</v>
      </c>
      <c r="AV5" s="556">
        <f>AV11*AV16</f>
        <v>808500.0</v>
      </c>
      <c r="AW5" s="556">
        <f>AW11*AW16</f>
        <v>836675.0</v>
      </c>
      <c r="AX5" s="556">
        <f>AX11*AX16</f>
        <v>866075.0</v>
      </c>
      <c r="AY5" s="556">
        <f>AY11*AY16</f>
        <v>894250.0</v>
      </c>
      <c r="AZ5" s="556">
        <f>AZ11*AZ16</f>
        <v>923650.0</v>
      </c>
      <c r="BA5" s="556">
        <f>BA11*BA16</f>
        <v>953050.0</v>
      </c>
      <c r="BB5" s="556">
        <f>BB11*BB16</f>
        <v>988575.0</v>
      </c>
      <c r="BC5" s="556">
        <f>BC11*BC16</f>
        <v>1022875.0</v>
      </c>
      <c r="BD5" s="556">
        <f>BD11*BD16</f>
        <v>1058400.0</v>
      </c>
      <c r="BE5" s="556">
        <f>BE11*BE16</f>
        <v>1093925.0</v>
      </c>
      <c r="BF5" s="556">
        <f>BF11*BF16</f>
        <v>1129450.0</v>
      </c>
      <c r="BG5" s="556">
        <f>BG11*BG16</f>
        <v>1167425.0</v>
      </c>
      <c r="BH5" s="556">
        <f>BH11*BH16</f>
        <v>1204175.0</v>
      </c>
      <c r="BI5" s="556">
        <f>BI11*BI16</f>
        <v>1240925.0</v>
      </c>
      <c r="BJ5" s="556">
        <f>BJ11*BJ16</f>
        <v>1278900.0</v>
      </c>
      <c r="BK5" s="556">
        <f>BK11*BK16</f>
        <v>1316875.0</v>
      </c>
      <c r="BL5" s="556">
        <f>BL11*BL16</f>
        <v>1354850.0</v>
      </c>
      <c r="BM5" s="556">
        <f>BM11*BM16</f>
        <v>1394050.0</v>
      </c>
      <c r="BN5" s="557">
        <f>SUM(F5:Q5)</f>
        <v>677425.0</v>
      </c>
      <c r="BO5" s="558">
        <f>SUM(R5:AC5)</f>
        <v>2830975.0</v>
      </c>
      <c r="BP5" s="558">
        <f>SUM(AD5:AO5)</f>
        <v>5817525.0</v>
      </c>
      <c r="BQ5" s="558">
        <f>SUM(AP5:BA5)</f>
        <v>9555000.0</v>
      </c>
      <c r="BR5" s="558">
        <f>SUM(BB5:BM5)</f>
        <v>14250425.0</v>
      </c>
    </row>
    <row r="6">
      <c r="C6" s="397" t="inlineStr">
        <is>
          <t>顧問先</t>
        </is>
      </c>
      <c r="D6" s="76" t="n"/>
      <c r="E6" s="76" t="n"/>
      <c r="F6" s="78">
        <f>35*F18</f>
        <v>0.0</v>
      </c>
      <c r="G6" s="78">
        <f>35*G18</f>
        <v>70.0</v>
      </c>
      <c r="H6" s="78">
        <f>35*H18</f>
        <v>385.0</v>
      </c>
      <c r="I6" s="78">
        <f>35*I18</f>
        <v>700.0</v>
      </c>
      <c r="J6" s="78">
        <f>35*J18</f>
        <v>980.0</v>
      </c>
      <c r="K6" s="78">
        <f>35*K18</f>
        <v>1330.0</v>
      </c>
      <c r="L6" s="78">
        <f>35*L18</f>
        <v>1680.0</v>
      </c>
      <c r="M6" s="78">
        <f>35*M18</f>
        <v>2030.0</v>
      </c>
      <c r="N6" s="78">
        <f>35*N18</f>
        <v>2450.0</v>
      </c>
      <c r="O6" s="78">
        <f>35*O18</f>
        <v>2835.0</v>
      </c>
      <c r="P6" s="78">
        <f>35*P18</f>
        <v>3220.0</v>
      </c>
      <c r="Q6" s="78">
        <f>35*Q18</f>
        <v>3675.0</v>
      </c>
      <c r="R6" s="79">
        <f>35*R18</f>
        <v>4095.0</v>
      </c>
      <c r="S6" s="78">
        <f>35*S18</f>
        <v>4515.0</v>
      </c>
      <c r="T6" s="78">
        <f>35*T18</f>
        <v>5005.0</v>
      </c>
      <c r="U6" s="78">
        <f>35*U18</f>
        <v>5460.0</v>
      </c>
      <c r="V6" s="78">
        <f>35*V18</f>
        <v>5915.0</v>
      </c>
      <c r="W6" s="78">
        <f>35*W18</f>
        <v>6440.0</v>
      </c>
      <c r="X6" s="78">
        <f>35*X18</f>
        <v>6930.0</v>
      </c>
      <c r="Y6" s="78">
        <f>35*Y18</f>
        <v>7420.0</v>
      </c>
      <c r="Z6" s="78">
        <f>35*Z18</f>
        <v>7980.0</v>
      </c>
      <c r="AA6" s="78">
        <f>35*AA18</f>
        <v>8505.0</v>
      </c>
      <c r="AB6" s="78">
        <f>35*AB18</f>
        <v>9030.0</v>
      </c>
      <c r="AC6" s="78">
        <f>35*AC18</f>
        <v>9590.0</v>
      </c>
      <c r="AD6" s="78">
        <f>35*AD18</f>
        <v>10220.0</v>
      </c>
      <c r="AE6" s="78">
        <f>35*AE18</f>
        <v>10815.0</v>
      </c>
      <c r="AF6" s="78">
        <f>35*AF18</f>
        <v>11480.0</v>
      </c>
      <c r="AG6" s="78">
        <f>35*AG18</f>
        <v>12110.0</v>
      </c>
      <c r="AH6" s="78">
        <f>35*AH18</f>
        <v>12775.0</v>
      </c>
      <c r="AI6" s="78">
        <f>35*AI18</f>
        <v>13440.0</v>
      </c>
      <c r="AJ6" s="78">
        <f>35*AJ18</f>
        <v>14140.0</v>
      </c>
      <c r="AK6" s="78">
        <f>35*AK18</f>
        <v>14805.0</v>
      </c>
      <c r="AL6" s="78">
        <f>35*AL18</f>
        <v>15540.0</v>
      </c>
      <c r="AM6" s="78">
        <f>35*AM18</f>
        <v>16240.0</v>
      </c>
      <c r="AN6" s="78">
        <f>35*AN18</f>
        <v>16940.0</v>
      </c>
      <c r="AO6" s="78">
        <f>35*AO18</f>
        <v>17710.0</v>
      </c>
      <c r="AP6" s="78">
        <f>35*AP18</f>
        <v>18445.0</v>
      </c>
      <c r="AQ6" s="78">
        <f>35*AQ18</f>
        <v>19180.0</v>
      </c>
      <c r="AR6" s="78">
        <f>35*AR18</f>
        <v>19950.0</v>
      </c>
      <c r="AS6" s="78">
        <f>35*AS18</f>
        <v>20720.0</v>
      </c>
      <c r="AT6" s="78">
        <f>35*AT18</f>
        <v>21490.0</v>
      </c>
      <c r="AU6" s="78">
        <f>35*AU18</f>
        <v>22295.0</v>
      </c>
      <c r="AV6" s="78">
        <f>35*AV18</f>
        <v>23100.0</v>
      </c>
      <c r="AW6" s="78">
        <f>35*AW18</f>
        <v>23905.0</v>
      </c>
      <c r="AX6" s="78">
        <f>35*AX18</f>
        <v>24745.0</v>
      </c>
      <c r="AY6" s="78">
        <f>35*AY18</f>
        <v>25550.0</v>
      </c>
      <c r="AZ6" s="78">
        <f>35*AZ18</f>
        <v>26390.0</v>
      </c>
      <c r="BA6" s="78">
        <f>35*BA18</f>
        <v>27230.0</v>
      </c>
      <c r="BB6" s="78">
        <f>35*BB18</f>
        <v>28245.0</v>
      </c>
      <c r="BC6" s="78">
        <f>35*BC18</f>
        <v>29225.0</v>
      </c>
      <c r="BD6" s="78">
        <f>35*BD18</f>
        <v>30240.0</v>
      </c>
      <c r="BE6" s="78">
        <f>35*BE18</f>
        <v>31255.0</v>
      </c>
      <c r="BF6" s="78">
        <f>35*BF18</f>
        <v>32270.0</v>
      </c>
      <c r="BG6" s="78">
        <f>35*BG18</f>
        <v>33355.0</v>
      </c>
      <c r="BH6" s="78">
        <f>35*BH18</f>
        <v>34405.0</v>
      </c>
      <c r="BI6" s="78">
        <f>35*BI18</f>
        <v>35455.0</v>
      </c>
      <c r="BJ6" s="78">
        <f>35*BJ18</f>
        <v>36540.0</v>
      </c>
      <c r="BK6" s="78">
        <f>35*BK18</f>
        <v>37625.0</v>
      </c>
      <c r="BL6" s="78">
        <f>35*BL18</f>
        <v>38710.0</v>
      </c>
      <c r="BM6" s="78">
        <f>35*BM18</f>
        <v>39830.0</v>
      </c>
      <c r="BN6" s="91">
        <f>35*BN18</f>
        <v>3675.0</v>
      </c>
      <c r="BO6" s="78">
        <f>35*BO18</f>
        <v>9590.0</v>
      </c>
      <c r="BP6" s="78">
        <f>35*BP18</f>
        <v>17710.0</v>
      </c>
      <c r="BQ6" s="78">
        <f>35*BQ18</f>
        <v>27230.0</v>
      </c>
      <c r="BR6" s="78">
        <f>35*BR18</f>
        <v>39830.0</v>
      </c>
    </row>
    <row r="7">
      <c r="C7" s="397" t="inlineStr">
        <is>
          <t>電力コスト大・切替メリットあり割合</t>
        </is>
      </c>
      <c r="D7" s="397" t="inlineStr">
        <is>
          <t>検出＝決算書の水道光熱費が売上比大（製造・飲食・介護等）。推定</t>
        </is>
      </c>
      <c r="E7" s="76" t="n"/>
      <c r="F7" s="397" t="n">
        <v>0.4</v>
      </c>
      <c r="G7" s="397" t="n">
        <v>0.4</v>
      </c>
      <c r="H7" s="397" t="n">
        <v>0.4</v>
      </c>
      <c r="I7" s="397" t="n">
        <v>0.4</v>
      </c>
      <c r="J7" s="397" t="n">
        <v>0.4</v>
      </c>
      <c r="K7" s="397" t="n">
        <v>0.4</v>
      </c>
      <c r="L7" s="397" t="n">
        <v>0.4</v>
      </c>
      <c r="M7" s="397" t="n">
        <v>0.4</v>
      </c>
      <c r="N7" s="397" t="n">
        <v>0.4</v>
      </c>
      <c r="O7" s="397" t="n">
        <v>0.4</v>
      </c>
      <c r="P7" s="397" t="n">
        <v>0.4</v>
      </c>
      <c r="Q7" s="397" t="n">
        <v>0.4</v>
      </c>
      <c r="R7" s="80" t="n">
        <v>0.4</v>
      </c>
      <c r="S7" s="397" t="n">
        <v>0.4</v>
      </c>
      <c r="T7" s="397" t="n">
        <v>0.4</v>
      </c>
      <c r="U7" s="397" t="n">
        <v>0.4</v>
      </c>
      <c r="V7" s="397" t="n">
        <v>0.4</v>
      </c>
      <c r="W7" s="397" t="n">
        <v>0.4</v>
      </c>
      <c r="X7" s="397" t="n">
        <v>0.4</v>
      </c>
      <c r="Y7" s="397" t="n">
        <v>0.4</v>
      </c>
      <c r="Z7" s="397" t="n">
        <v>0.4</v>
      </c>
      <c r="AA7" s="397" t="n">
        <v>0.4</v>
      </c>
      <c r="AB7" s="397" t="n">
        <v>0.4</v>
      </c>
      <c r="AC7" s="397" t="n">
        <v>0.4</v>
      </c>
      <c r="AD7" s="397" t="n">
        <v>0.4</v>
      </c>
      <c r="AE7" s="397" t="n">
        <v>0.4</v>
      </c>
      <c r="AF7" s="397" t="n">
        <v>0.4</v>
      </c>
      <c r="AG7" s="397" t="n">
        <v>0.4</v>
      </c>
      <c r="AH7" s="397" t="n">
        <v>0.4</v>
      </c>
      <c r="AI7" s="397" t="n">
        <v>0.4</v>
      </c>
      <c r="AJ7" s="397" t="n">
        <v>0.4</v>
      </c>
      <c r="AK7" s="397" t="n">
        <v>0.4</v>
      </c>
      <c r="AL7" s="397" t="n">
        <v>0.4</v>
      </c>
      <c r="AM7" s="397" t="n">
        <v>0.4</v>
      </c>
      <c r="AN7" s="397" t="n">
        <v>0.4</v>
      </c>
      <c r="AO7" s="397" t="n">
        <v>0.4</v>
      </c>
      <c r="AP7" s="397" t="n">
        <v>0.4</v>
      </c>
      <c r="AQ7" s="397" t="n">
        <v>0.4</v>
      </c>
      <c r="AR7" s="397" t="n">
        <v>0.4</v>
      </c>
      <c r="AS7" s="397" t="n">
        <v>0.4</v>
      </c>
      <c r="AT7" s="397" t="n">
        <v>0.4</v>
      </c>
      <c r="AU7" s="397" t="n">
        <v>0.4</v>
      </c>
      <c r="AV7" s="397" t="n">
        <v>0.4</v>
      </c>
      <c r="AW7" s="397" t="n">
        <v>0.4</v>
      </c>
      <c r="AX7" s="397" t="n">
        <v>0.4</v>
      </c>
      <c r="AY7" s="397" t="n">
        <v>0.4</v>
      </c>
      <c r="AZ7" s="397" t="n">
        <v>0.4</v>
      </c>
      <c r="BA7" s="397" t="n">
        <v>0.4</v>
      </c>
      <c r="BB7" s="397" t="n">
        <v>0.4</v>
      </c>
      <c r="BC7" s="397" t="n">
        <v>0.4</v>
      </c>
      <c r="BD7" s="397" t="n">
        <v>0.4</v>
      </c>
      <c r="BE7" s="397" t="n">
        <v>0.4</v>
      </c>
      <c r="BF7" s="397" t="n">
        <v>0.4</v>
      </c>
      <c r="BG7" s="397" t="n">
        <v>0.4</v>
      </c>
      <c r="BH7" s="397" t="n">
        <v>0.4</v>
      </c>
      <c r="BI7" s="397" t="n">
        <v>0.4</v>
      </c>
      <c r="BJ7" s="397" t="n">
        <v>0.4</v>
      </c>
      <c r="BK7" s="397" t="n">
        <v>0.4</v>
      </c>
      <c r="BL7" s="397" t="n">
        <v>0.4</v>
      </c>
      <c r="BM7" s="397" t="n">
        <v>0.4</v>
      </c>
      <c r="BN7" s="91" t="n">
        <v>0.4</v>
      </c>
      <c r="BO7" s="397" t="n">
        <v>0.4</v>
      </c>
      <c r="BP7" s="397" t="n">
        <v>0.4</v>
      </c>
      <c r="BQ7" s="397" t="n">
        <v>0.4</v>
      </c>
      <c r="BR7" s="397" t="n">
        <v>0.4</v>
      </c>
    </row>
    <row r="8">
      <c r="C8" s="397" t="inlineStr">
        <is>
          <t>税理士 ➡ 企業提案</t>
        </is>
      </c>
      <c r="D8" s="397" t="inlineStr">
        <is>
          <t>工事なし・書類1枚・削減額は請求書で確定＝提案しやすい。推定</t>
        </is>
      </c>
      <c r="E8" s="76" t="n"/>
      <c r="F8" s="397" t="n">
        <v>0.5</v>
      </c>
      <c r="G8" s="397" t="n">
        <v>0.5</v>
      </c>
      <c r="H8" s="397" t="n">
        <v>0.5</v>
      </c>
      <c r="I8" s="397" t="n">
        <v>0.5</v>
      </c>
      <c r="J8" s="397" t="n">
        <v>0.5</v>
      </c>
      <c r="K8" s="397" t="n">
        <v>0.5</v>
      </c>
      <c r="L8" s="397" t="n">
        <v>0.5</v>
      </c>
      <c r="M8" s="397" t="n">
        <v>0.5</v>
      </c>
      <c r="N8" s="397" t="n">
        <v>0.5</v>
      </c>
      <c r="O8" s="397" t="n">
        <v>0.5</v>
      </c>
      <c r="P8" s="397" t="n">
        <v>0.5</v>
      </c>
      <c r="Q8" s="397" t="n">
        <v>0.5</v>
      </c>
      <c r="R8" s="80" t="n">
        <v>0.5</v>
      </c>
      <c r="S8" s="397" t="n">
        <v>0.5</v>
      </c>
      <c r="T8" s="397" t="n">
        <v>0.5</v>
      </c>
      <c r="U8" s="397" t="n">
        <v>0.5</v>
      </c>
      <c r="V8" s="397" t="n">
        <v>0.5</v>
      </c>
      <c r="W8" s="397" t="n">
        <v>0.5</v>
      </c>
      <c r="X8" s="397" t="n">
        <v>0.5</v>
      </c>
      <c r="Y8" s="397" t="n">
        <v>0.5</v>
      </c>
      <c r="Z8" s="397" t="n">
        <v>0.5</v>
      </c>
      <c r="AA8" s="397" t="n">
        <v>0.5</v>
      </c>
      <c r="AB8" s="397" t="n">
        <v>0.5</v>
      </c>
      <c r="AC8" s="397" t="n">
        <v>0.5</v>
      </c>
      <c r="AD8" s="397" t="n">
        <v>0.5</v>
      </c>
      <c r="AE8" s="397" t="n">
        <v>0.5</v>
      </c>
      <c r="AF8" s="397" t="n">
        <v>0.5</v>
      </c>
      <c r="AG8" s="397" t="n">
        <v>0.5</v>
      </c>
      <c r="AH8" s="397" t="n">
        <v>0.5</v>
      </c>
      <c r="AI8" s="397" t="n">
        <v>0.5</v>
      </c>
      <c r="AJ8" s="397" t="n">
        <v>0.5</v>
      </c>
      <c r="AK8" s="397" t="n">
        <v>0.5</v>
      </c>
      <c r="AL8" s="397" t="n">
        <v>0.5</v>
      </c>
      <c r="AM8" s="397" t="n">
        <v>0.5</v>
      </c>
      <c r="AN8" s="397" t="n">
        <v>0.5</v>
      </c>
      <c r="AO8" s="397" t="n">
        <v>0.5</v>
      </c>
      <c r="AP8" s="397" t="n">
        <v>0.5</v>
      </c>
      <c r="AQ8" s="397" t="n">
        <v>0.5</v>
      </c>
      <c r="AR8" s="397" t="n">
        <v>0.5</v>
      </c>
      <c r="AS8" s="397" t="n">
        <v>0.5</v>
      </c>
      <c r="AT8" s="397" t="n">
        <v>0.5</v>
      </c>
      <c r="AU8" s="397" t="n">
        <v>0.5</v>
      </c>
      <c r="AV8" s="397" t="n">
        <v>0.5</v>
      </c>
      <c r="AW8" s="397" t="n">
        <v>0.5</v>
      </c>
      <c r="AX8" s="397" t="n">
        <v>0.5</v>
      </c>
      <c r="AY8" s="397" t="n">
        <v>0.5</v>
      </c>
      <c r="AZ8" s="397" t="n">
        <v>0.5</v>
      </c>
      <c r="BA8" s="397" t="n">
        <v>0.5</v>
      </c>
      <c r="BB8" s="397" t="n">
        <v>0.5</v>
      </c>
      <c r="BC8" s="397" t="n">
        <v>0.5</v>
      </c>
      <c r="BD8" s="397" t="n">
        <v>0.5</v>
      </c>
      <c r="BE8" s="397" t="n">
        <v>0.5</v>
      </c>
      <c r="BF8" s="397" t="n">
        <v>0.5</v>
      </c>
      <c r="BG8" s="397" t="n">
        <v>0.5</v>
      </c>
      <c r="BH8" s="397" t="n">
        <v>0.5</v>
      </c>
      <c r="BI8" s="397" t="n">
        <v>0.5</v>
      </c>
      <c r="BJ8" s="397" t="n">
        <v>0.5</v>
      </c>
      <c r="BK8" s="397" t="n">
        <v>0.5</v>
      </c>
      <c r="BL8" s="397" t="n">
        <v>0.5</v>
      </c>
      <c r="BM8" s="397" t="n">
        <v>0.5</v>
      </c>
      <c r="BN8" s="91" t="n">
        <v>0.5</v>
      </c>
      <c r="BO8" s="397" t="n">
        <v>0.5</v>
      </c>
      <c r="BP8" s="397" t="n">
        <v>0.5</v>
      </c>
      <c r="BQ8" s="397" t="n">
        <v>0.5</v>
      </c>
      <c r="BR8" s="397" t="n">
        <v>0.5</v>
      </c>
    </row>
    <row r="9">
      <c r="C9" s="397" t="inlineStr">
        <is>
          <t>受注率</t>
        </is>
      </c>
      <c r="D9" s="397" t="inlineStr">
        <is>
          <t>推定</t>
        </is>
      </c>
      <c r="E9" s="76" t="n"/>
      <c r="F9" s="78" t="n">
        <v>0.5</v>
      </c>
      <c r="G9" s="78" t="n">
        <v>0.5</v>
      </c>
      <c r="H9" s="78" t="n">
        <v>0.5</v>
      </c>
      <c r="I9" s="78" t="n">
        <v>0.5</v>
      </c>
      <c r="J9" s="78" t="n">
        <v>0.5</v>
      </c>
      <c r="K9" s="78" t="n">
        <v>0.5</v>
      </c>
      <c r="L9" s="78" t="n">
        <v>0.5</v>
      </c>
      <c r="M9" s="78" t="n">
        <v>0.5</v>
      </c>
      <c r="N9" s="78" t="n">
        <v>0.5</v>
      </c>
      <c r="O9" s="78" t="n">
        <v>0.5</v>
      </c>
      <c r="P9" s="78" t="n">
        <v>0.5</v>
      </c>
      <c r="Q9" s="78" t="n">
        <v>0.5</v>
      </c>
      <c r="R9" s="79" t="n">
        <v>0.5</v>
      </c>
      <c r="S9" s="78" t="n">
        <v>0.5</v>
      </c>
      <c r="T9" s="78" t="n">
        <v>0.5</v>
      </c>
      <c r="U9" s="78" t="n">
        <v>0.5</v>
      </c>
      <c r="V9" s="78" t="n">
        <v>0.5</v>
      </c>
      <c r="W9" s="78" t="n">
        <v>0.5</v>
      </c>
      <c r="X9" s="78" t="n">
        <v>0.5</v>
      </c>
      <c r="Y9" s="78" t="n">
        <v>0.5</v>
      </c>
      <c r="Z9" s="78" t="n">
        <v>0.5</v>
      </c>
      <c r="AA9" s="78" t="n">
        <v>0.5</v>
      </c>
      <c r="AB9" s="78" t="n">
        <v>0.5</v>
      </c>
      <c r="AC9" s="78" t="n">
        <v>0.5</v>
      </c>
      <c r="AD9" s="78" t="n">
        <v>0.5</v>
      </c>
      <c r="AE9" s="78" t="n">
        <v>0.5</v>
      </c>
      <c r="AF9" s="78" t="n">
        <v>0.5</v>
      </c>
      <c r="AG9" s="78" t="n">
        <v>0.5</v>
      </c>
      <c r="AH9" s="78" t="n">
        <v>0.5</v>
      </c>
      <c r="AI9" s="78" t="n">
        <v>0.5</v>
      </c>
      <c r="AJ9" s="78" t="n">
        <v>0.5</v>
      </c>
      <c r="AK9" s="78" t="n">
        <v>0.5</v>
      </c>
      <c r="AL9" s="78" t="n">
        <v>0.5</v>
      </c>
      <c r="AM9" s="78" t="n">
        <v>0.5</v>
      </c>
      <c r="AN9" s="78" t="n">
        <v>0.5</v>
      </c>
      <c r="AO9" s="78" t="n">
        <v>0.5</v>
      </c>
      <c r="AP9" s="78" t="n">
        <v>0.5</v>
      </c>
      <c r="AQ9" s="78" t="n">
        <v>0.5</v>
      </c>
      <c r="AR9" s="78" t="n">
        <v>0.5</v>
      </c>
      <c r="AS9" s="78" t="n">
        <v>0.5</v>
      </c>
      <c r="AT9" s="78" t="n">
        <v>0.5</v>
      </c>
      <c r="AU9" s="78" t="n">
        <v>0.5</v>
      </c>
      <c r="AV9" s="78" t="n">
        <v>0.5</v>
      </c>
      <c r="AW9" s="78" t="n">
        <v>0.5</v>
      </c>
      <c r="AX9" s="78" t="n">
        <v>0.5</v>
      </c>
      <c r="AY9" s="78" t="n">
        <v>0.5</v>
      </c>
      <c r="AZ9" s="78" t="n">
        <v>0.5</v>
      </c>
      <c r="BA9" s="78" t="n">
        <v>0.5</v>
      </c>
      <c r="BB9" s="78" t="n">
        <v>0.5</v>
      </c>
      <c r="BC9" s="78" t="n">
        <v>0.5</v>
      </c>
      <c r="BD9" s="78" t="n">
        <v>0.5</v>
      </c>
      <c r="BE9" s="78" t="n">
        <v>0.5</v>
      </c>
      <c r="BF9" s="78" t="n">
        <v>0.5</v>
      </c>
      <c r="BG9" s="78" t="n">
        <v>0.5</v>
      </c>
      <c r="BH9" s="78" t="n">
        <v>0.5</v>
      </c>
      <c r="BI9" s="78" t="n">
        <v>0.5</v>
      </c>
      <c r="BJ9" s="78" t="n">
        <v>0.5</v>
      </c>
      <c r="BK9" s="78" t="n">
        <v>0.5</v>
      </c>
      <c r="BL9" s="78" t="n">
        <v>0.5</v>
      </c>
      <c r="BM9" s="78" t="n">
        <v>0.5</v>
      </c>
      <c r="BN9" s="91" t="n">
        <v>0.5</v>
      </c>
      <c r="BO9" s="78" t="n">
        <v>0.5</v>
      </c>
      <c r="BP9" s="78" t="n">
        <v>0.5</v>
      </c>
      <c r="BQ9" s="78" t="n">
        <v>0.5</v>
      </c>
      <c r="BR9" s="78" t="n">
        <v>0.5</v>
      </c>
    </row>
    <row r="10">
      <c r="C10" s="397" t="inlineStr">
        <is>
          <t>定常浸透率</t>
        </is>
      </c>
      <c r="D10" s="397" t="inlineStr">
        <is>
          <t>導入後の継続利用率。推定</t>
        </is>
      </c>
      <c r="E10" s="76" t="n"/>
      <c r="F10" s="397" t="n">
        <v>0.7</v>
      </c>
      <c r="G10" s="397" t="n">
        <v>0.7</v>
      </c>
      <c r="H10" s="397" t="n">
        <v>0.7</v>
      </c>
      <c r="I10" s="397" t="n">
        <v>0.7</v>
      </c>
      <c r="J10" s="397" t="n">
        <v>0.7</v>
      </c>
      <c r="K10" s="397" t="n">
        <v>0.7</v>
      </c>
      <c r="L10" s="397" t="n">
        <v>0.7</v>
      </c>
      <c r="M10" s="397" t="n">
        <v>0.7</v>
      </c>
      <c r="N10" s="397" t="n">
        <v>0.7</v>
      </c>
      <c r="O10" s="397" t="n">
        <v>0.7</v>
      </c>
      <c r="P10" s="397" t="n">
        <v>0.7</v>
      </c>
      <c r="Q10" s="397" t="n">
        <v>0.7</v>
      </c>
      <c r="R10" s="80" t="n">
        <v>0.7</v>
      </c>
      <c r="S10" s="397" t="n">
        <v>0.7</v>
      </c>
      <c r="T10" s="397" t="n">
        <v>0.7</v>
      </c>
      <c r="U10" s="397" t="n">
        <v>0.7</v>
      </c>
      <c r="V10" s="397" t="n">
        <v>0.7</v>
      </c>
      <c r="W10" s="397" t="n">
        <v>0.7</v>
      </c>
      <c r="X10" s="397" t="n">
        <v>0.7</v>
      </c>
      <c r="Y10" s="397" t="n">
        <v>0.7</v>
      </c>
      <c r="Z10" s="397" t="n">
        <v>0.7</v>
      </c>
      <c r="AA10" s="397" t="n">
        <v>0.7</v>
      </c>
      <c r="AB10" s="397" t="n">
        <v>0.7</v>
      </c>
      <c r="AC10" s="397" t="n">
        <v>0.7</v>
      </c>
      <c r="AD10" s="397" t="n">
        <v>0.7</v>
      </c>
      <c r="AE10" s="397" t="n">
        <v>0.7</v>
      </c>
      <c r="AF10" s="397" t="n">
        <v>0.7</v>
      </c>
      <c r="AG10" s="397" t="n">
        <v>0.7</v>
      </c>
      <c r="AH10" s="397" t="n">
        <v>0.7</v>
      </c>
      <c r="AI10" s="397" t="n">
        <v>0.7</v>
      </c>
      <c r="AJ10" s="397" t="n">
        <v>0.7</v>
      </c>
      <c r="AK10" s="397" t="n">
        <v>0.7</v>
      </c>
      <c r="AL10" s="397" t="n">
        <v>0.7</v>
      </c>
      <c r="AM10" s="397" t="n">
        <v>0.7</v>
      </c>
      <c r="AN10" s="397" t="n">
        <v>0.7</v>
      </c>
      <c r="AO10" s="397" t="n">
        <v>0.7</v>
      </c>
      <c r="AP10" s="397" t="n">
        <v>0.7</v>
      </c>
      <c r="AQ10" s="397" t="n">
        <v>0.7</v>
      </c>
      <c r="AR10" s="397" t="n">
        <v>0.7</v>
      </c>
      <c r="AS10" s="397" t="n">
        <v>0.7</v>
      </c>
      <c r="AT10" s="397" t="n">
        <v>0.7</v>
      </c>
      <c r="AU10" s="397" t="n">
        <v>0.7</v>
      </c>
      <c r="AV10" s="397" t="n">
        <v>0.7</v>
      </c>
      <c r="AW10" s="397" t="n">
        <v>0.7</v>
      </c>
      <c r="AX10" s="397" t="n">
        <v>0.7</v>
      </c>
      <c r="AY10" s="397" t="n">
        <v>0.7</v>
      </c>
      <c r="AZ10" s="397" t="n">
        <v>0.7</v>
      </c>
      <c r="BA10" s="397" t="n">
        <v>0.7</v>
      </c>
      <c r="BB10" s="397" t="n">
        <v>0.7</v>
      </c>
      <c r="BC10" s="397" t="n">
        <v>0.7</v>
      </c>
      <c r="BD10" s="397" t="n">
        <v>0.7</v>
      </c>
      <c r="BE10" s="397" t="n">
        <v>0.7</v>
      </c>
      <c r="BF10" s="397" t="n">
        <v>0.7</v>
      </c>
      <c r="BG10" s="397" t="n">
        <v>0.7</v>
      </c>
      <c r="BH10" s="397" t="n">
        <v>0.7</v>
      </c>
      <c r="BI10" s="397" t="n">
        <v>0.7</v>
      </c>
      <c r="BJ10" s="397" t="n">
        <v>0.7</v>
      </c>
      <c r="BK10" s="397" t="n">
        <v>0.7</v>
      </c>
      <c r="BL10" s="397" t="n">
        <v>0.7</v>
      </c>
      <c r="BM10" s="397" t="n">
        <v>0.7</v>
      </c>
      <c r="BN10" s="91" t="n">
        <v>0.7</v>
      </c>
      <c r="BO10" s="397" t="n">
        <v>0.7</v>
      </c>
      <c r="BP10" s="397" t="n">
        <v>0.7</v>
      </c>
      <c r="BQ10" s="397" t="n">
        <v>0.7</v>
      </c>
      <c r="BR10" s="397" t="n">
        <v>0.7</v>
      </c>
    </row>
    <row r="11">
      <c r="C11" s="397" t="inlineStr">
        <is>
          <t>１税理士 / 受注数（定常）（累計獲得数・解約前）</t>
        </is>
      </c>
      <c r="D11" s="76" t="n"/>
      <c r="E11" s="76" t="n"/>
      <c r="F11" s="397">
        <f>PRODUCT(F6:F10)</f>
        <v>0.0</v>
      </c>
      <c r="G11" s="397">
        <f>PRODUCT(G6:G10)</f>
        <v>4.9</v>
      </c>
      <c r="H11" s="397">
        <f>PRODUCT(H6:H10)</f>
        <v>26.95</v>
      </c>
      <c r="I11" s="397">
        <f>PRODUCT(I6:I10)</f>
        <v>49.0</v>
      </c>
      <c r="J11" s="397">
        <f>PRODUCT(J6:J10)</f>
        <v>68.6</v>
      </c>
      <c r="K11" s="397">
        <f>PRODUCT(K6:K10)</f>
        <v>93.1</v>
      </c>
      <c r="L11" s="397">
        <f>PRODUCT(L6:L10)</f>
        <v>117.6</v>
      </c>
      <c r="M11" s="397">
        <f>PRODUCT(M6:M10)</f>
        <v>142.1</v>
      </c>
      <c r="N11" s="397">
        <f>PRODUCT(N6:N10)</f>
        <v>171.5</v>
      </c>
      <c r="O11" s="397">
        <f>PRODUCT(O6:O10)</f>
        <v>198.45</v>
      </c>
      <c r="P11" s="397">
        <f>PRODUCT(P6:P10)</f>
        <v>225.4</v>
      </c>
      <c r="Q11" s="397">
        <f>PRODUCT(Q6:Q10)</f>
        <v>257.25</v>
      </c>
      <c r="R11" s="80">
        <f>PRODUCT(R6:R10)</f>
        <v>286.65</v>
      </c>
      <c r="S11" s="397">
        <f>PRODUCT(S6:S10)</f>
        <v>316.05</v>
      </c>
      <c r="T11" s="397">
        <f>PRODUCT(T6:T10)</f>
        <v>350.35</v>
      </c>
      <c r="U11" s="397">
        <f>PRODUCT(U6:U10)</f>
        <v>382.2</v>
      </c>
      <c r="V11" s="397">
        <f>PRODUCT(V6:V10)</f>
        <v>414.05</v>
      </c>
      <c r="W11" s="397">
        <f>PRODUCT(W6:W10)</f>
        <v>450.8</v>
      </c>
      <c r="X11" s="397">
        <f>PRODUCT(X6:X10)</f>
        <v>485.1</v>
      </c>
      <c r="Y11" s="397">
        <f>PRODUCT(Y6:Y10)</f>
        <v>519.4</v>
      </c>
      <c r="Z11" s="397">
        <f>PRODUCT(Z6:Z10)</f>
        <v>558.6</v>
      </c>
      <c r="AA11" s="397">
        <f>PRODUCT(AA6:AA10)</f>
        <v>595.35</v>
      </c>
      <c r="AB11" s="397">
        <f>PRODUCT(AB6:AB10)</f>
        <v>632.1</v>
      </c>
      <c r="AC11" s="397">
        <f>PRODUCT(AC6:AC10)</f>
        <v>671.3</v>
      </c>
      <c r="AD11" s="397">
        <f>PRODUCT(AD6:AD10)</f>
        <v>715.4</v>
      </c>
      <c r="AE11" s="397">
        <f>PRODUCT(AE6:AE10)</f>
        <v>757.05</v>
      </c>
      <c r="AF11" s="397">
        <f>PRODUCT(AF6:AF10)</f>
        <v>803.6</v>
      </c>
      <c r="AG11" s="397">
        <f>PRODUCT(AG6:AG10)</f>
        <v>847.7</v>
      </c>
      <c r="AH11" s="397">
        <f>PRODUCT(AH6:AH10)</f>
        <v>894.25</v>
      </c>
      <c r="AI11" s="397">
        <f>PRODUCT(AI6:AI10)</f>
        <v>940.8</v>
      </c>
      <c r="AJ11" s="397">
        <f>PRODUCT(AJ6:AJ10)</f>
        <v>989.8</v>
      </c>
      <c r="AK11" s="397">
        <f>PRODUCT(AK6:AK10)</f>
        <v>1036.35</v>
      </c>
      <c r="AL11" s="397">
        <f>PRODUCT(AL6:AL10)</f>
        <v>1087.8</v>
      </c>
      <c r="AM11" s="397">
        <f>PRODUCT(AM6:AM10)</f>
        <v>1136.8</v>
      </c>
      <c r="AN11" s="397">
        <f>PRODUCT(AN6:AN10)</f>
        <v>1185.8</v>
      </c>
      <c r="AO11" s="397">
        <f>PRODUCT(AO6:AO10)</f>
        <v>1239.7</v>
      </c>
      <c r="AP11" s="397">
        <f>PRODUCT(AP6:AP10)</f>
        <v>1291.15</v>
      </c>
      <c r="AQ11" s="397">
        <f>PRODUCT(AQ6:AQ10)</f>
        <v>1342.6</v>
      </c>
      <c r="AR11" s="397">
        <f>PRODUCT(AR6:AR10)</f>
        <v>1396.5</v>
      </c>
      <c r="AS11" s="397">
        <f>PRODUCT(AS6:AS10)</f>
        <v>1450.4</v>
      </c>
      <c r="AT11" s="397">
        <f>PRODUCT(AT6:AT10)</f>
        <v>1504.3</v>
      </c>
      <c r="AU11" s="397">
        <f>PRODUCT(AU6:AU10)</f>
        <v>1560.65</v>
      </c>
      <c r="AV11" s="397">
        <f>PRODUCT(AV6:AV10)</f>
        <v>1617.0</v>
      </c>
      <c r="AW11" s="397">
        <f>PRODUCT(AW6:AW10)</f>
        <v>1673.35</v>
      </c>
      <c r="AX11" s="397">
        <f>PRODUCT(AX6:AX10)</f>
        <v>1732.15</v>
      </c>
      <c r="AY11" s="397">
        <f>PRODUCT(AY6:AY10)</f>
        <v>1788.5</v>
      </c>
      <c r="AZ11" s="397">
        <f>PRODUCT(AZ6:AZ10)</f>
        <v>1847.3</v>
      </c>
      <c r="BA11" s="397">
        <f>PRODUCT(BA6:BA10)</f>
        <v>1906.1</v>
      </c>
      <c r="BB11" s="397">
        <f>PRODUCT(BB6:BB10)</f>
        <v>1977.15</v>
      </c>
      <c r="BC11" s="397">
        <f>PRODUCT(BC6:BC10)</f>
        <v>2045.75</v>
      </c>
      <c r="BD11" s="397">
        <f>PRODUCT(BD6:BD10)</f>
        <v>2116.8</v>
      </c>
      <c r="BE11" s="397">
        <f>PRODUCT(BE6:BE10)</f>
        <v>2187.85</v>
      </c>
      <c r="BF11" s="397">
        <f>PRODUCT(BF6:BF10)</f>
        <v>2258.9</v>
      </c>
      <c r="BG11" s="397">
        <f>PRODUCT(BG6:BG10)</f>
        <v>2334.85</v>
      </c>
      <c r="BH11" s="397">
        <f>PRODUCT(BH6:BH10)</f>
        <v>2408.35</v>
      </c>
      <c r="BI11" s="397">
        <f>PRODUCT(BI6:BI10)</f>
        <v>2481.85</v>
      </c>
      <c r="BJ11" s="397">
        <f>PRODUCT(BJ6:BJ10)</f>
        <v>2557.8</v>
      </c>
      <c r="BK11" s="397">
        <f>PRODUCT(BK6:BK10)</f>
        <v>2633.75</v>
      </c>
      <c r="BL11" s="397">
        <f>PRODUCT(BL6:BL10)</f>
        <v>2709.7</v>
      </c>
      <c r="BM11" s="397">
        <f>PRODUCT(BM6:BM10)</f>
        <v>2788.1</v>
      </c>
      <c r="BN11" s="91">
        <f>PRODUCT(BN6:BN10)</f>
        <v>257.25</v>
      </c>
      <c r="BO11" s="397">
        <f>PRODUCT(BO6:BO10)</f>
        <v>671.3</v>
      </c>
      <c r="BP11" s="397">
        <f>PRODUCT(BP6:BP10)</f>
        <v>1239.7</v>
      </c>
      <c r="BQ11" s="397">
        <f>PRODUCT(BQ6:BQ10)</f>
        <v>1906.1</v>
      </c>
      <c r="BR11" s="397">
        <f>PRODUCT(BR6:BR10)</f>
        <v>2788.1</v>
      </c>
    </row>
    <row r="12">
      <c r="C12" s="397" t="inlineStr">
        <is>
          <t>想定電気料金（月/社）</t>
        </is>
      </c>
      <c r="D12" s="397" t="inlineStr">
        <is>
          <t>中小の電気代 月10〜30万の保守側。推定</t>
        </is>
      </c>
      <c r="E12" s="76" t="n"/>
      <c r="F12" s="559" t="n">
        <v>150000</v>
      </c>
      <c r="G12" s="559" t="n">
        <v>150000</v>
      </c>
      <c r="H12" s="559" t="n">
        <v>150000</v>
      </c>
      <c r="I12" s="559" t="n">
        <v>150000</v>
      </c>
      <c r="J12" s="559" t="n">
        <v>150000</v>
      </c>
      <c r="K12" s="559" t="n">
        <v>150000</v>
      </c>
      <c r="L12" s="559" t="n">
        <v>150000</v>
      </c>
      <c r="M12" s="559" t="n">
        <v>150000</v>
      </c>
      <c r="N12" s="559" t="n">
        <v>150000</v>
      </c>
      <c r="O12" s="559" t="n">
        <v>150000</v>
      </c>
      <c r="P12" s="559" t="n">
        <v>150000</v>
      </c>
      <c r="Q12" s="559" t="n">
        <v>150000</v>
      </c>
      <c r="R12" s="560" t="n">
        <v>150000</v>
      </c>
      <c r="S12" s="559" t="n">
        <v>150000</v>
      </c>
      <c r="T12" s="559" t="n">
        <v>150000</v>
      </c>
      <c r="U12" s="559" t="n">
        <v>150000</v>
      </c>
      <c r="V12" s="559" t="n">
        <v>150000</v>
      </c>
      <c r="W12" s="559" t="n">
        <v>150000</v>
      </c>
      <c r="X12" s="559" t="n">
        <v>150000</v>
      </c>
      <c r="Y12" s="559" t="n">
        <v>150000</v>
      </c>
      <c r="Z12" s="559" t="n">
        <v>150000</v>
      </c>
      <c r="AA12" s="559" t="n">
        <v>150000</v>
      </c>
      <c r="AB12" s="559" t="n">
        <v>150000</v>
      </c>
      <c r="AC12" s="559" t="n">
        <v>150000</v>
      </c>
      <c r="AD12" s="559" t="n">
        <v>150000</v>
      </c>
      <c r="AE12" s="559" t="n">
        <v>150000</v>
      </c>
      <c r="AF12" s="559" t="n">
        <v>150000</v>
      </c>
      <c r="AG12" s="559" t="n">
        <v>150000</v>
      </c>
      <c r="AH12" s="559" t="n">
        <v>150000</v>
      </c>
      <c r="AI12" s="559" t="n">
        <v>150000</v>
      </c>
      <c r="AJ12" s="559" t="n">
        <v>150000</v>
      </c>
      <c r="AK12" s="559" t="n">
        <v>150000</v>
      </c>
      <c r="AL12" s="559" t="n">
        <v>150000</v>
      </c>
      <c r="AM12" s="559" t="n">
        <v>150000</v>
      </c>
      <c r="AN12" s="559" t="n">
        <v>150000</v>
      </c>
      <c r="AO12" s="559" t="n">
        <v>150000</v>
      </c>
      <c r="AP12" s="559" t="n">
        <v>150000</v>
      </c>
      <c r="AQ12" s="559" t="n">
        <v>150000</v>
      </c>
      <c r="AR12" s="559" t="n">
        <v>150000</v>
      </c>
      <c r="AS12" s="559" t="n">
        <v>150000</v>
      </c>
      <c r="AT12" s="559" t="n">
        <v>150000</v>
      </c>
      <c r="AU12" s="559" t="n">
        <v>150000</v>
      </c>
      <c r="AV12" s="559" t="n">
        <v>150000</v>
      </c>
      <c r="AW12" s="559" t="n">
        <v>150000</v>
      </c>
      <c r="AX12" s="559" t="n">
        <v>150000</v>
      </c>
      <c r="AY12" s="559" t="n">
        <v>150000</v>
      </c>
      <c r="AZ12" s="559" t="n">
        <v>150000</v>
      </c>
      <c r="BA12" s="559" t="n">
        <v>150000</v>
      </c>
      <c r="BB12" s="559" t="n">
        <v>150000</v>
      </c>
      <c r="BC12" s="559" t="n">
        <v>150000</v>
      </c>
      <c r="BD12" s="559" t="n">
        <v>150000</v>
      </c>
      <c r="BE12" s="559" t="n">
        <v>150000</v>
      </c>
      <c r="BF12" s="559" t="n">
        <v>150000</v>
      </c>
      <c r="BG12" s="559" t="n">
        <v>150000</v>
      </c>
      <c r="BH12" s="559" t="n">
        <v>150000</v>
      </c>
      <c r="BI12" s="559" t="n">
        <v>150000</v>
      </c>
      <c r="BJ12" s="559" t="n">
        <v>150000</v>
      </c>
      <c r="BK12" s="559" t="n">
        <v>150000</v>
      </c>
      <c r="BL12" s="559" t="n">
        <v>150000</v>
      </c>
      <c r="BM12" s="559" t="n">
        <v>150000</v>
      </c>
      <c r="BN12" s="561" t="n">
        <v>150000</v>
      </c>
      <c r="BO12" s="559" t="n">
        <v>150000</v>
      </c>
      <c r="BP12" s="559" t="n">
        <v>150000</v>
      </c>
      <c r="BQ12" s="559" t="n">
        <v>150000</v>
      </c>
      <c r="BR12" s="559" t="n">
        <v>150000</v>
      </c>
    </row>
    <row r="13">
      <c r="C13" s="397" t="inlineStr">
        <is>
          <t>取次手数料率（継続・対電気料金）</t>
        </is>
      </c>
      <c r="D13" s="397" t="inlineStr">
        <is>
          <t>新電力取次の相場1〜5%の下側。料率は非公開＝要交渉。推定</t>
        </is>
      </c>
      <c r="E13" s="76" t="n"/>
      <c r="F13" s="397" t="n">
        <v>0.02</v>
      </c>
      <c r="G13" s="397" t="n">
        <v>0.02</v>
      </c>
      <c r="H13" s="397" t="n">
        <v>0.02</v>
      </c>
      <c r="I13" s="397" t="n">
        <v>0.02</v>
      </c>
      <c r="J13" s="397" t="n">
        <v>0.02</v>
      </c>
      <c r="K13" s="397" t="n">
        <v>0.02</v>
      </c>
      <c r="L13" s="397" t="n">
        <v>0.02</v>
      </c>
      <c r="M13" s="397" t="n">
        <v>0.02</v>
      </c>
      <c r="N13" s="397" t="n">
        <v>0.02</v>
      </c>
      <c r="O13" s="397" t="n">
        <v>0.02</v>
      </c>
      <c r="P13" s="397" t="n">
        <v>0.02</v>
      </c>
      <c r="Q13" s="397" t="n">
        <v>0.02</v>
      </c>
      <c r="R13" s="80" t="n">
        <v>0.02</v>
      </c>
      <c r="S13" s="397" t="n">
        <v>0.02</v>
      </c>
      <c r="T13" s="397" t="n">
        <v>0.02</v>
      </c>
      <c r="U13" s="397" t="n">
        <v>0.02</v>
      </c>
      <c r="V13" s="397" t="n">
        <v>0.02</v>
      </c>
      <c r="W13" s="397" t="n">
        <v>0.02</v>
      </c>
      <c r="X13" s="397" t="n">
        <v>0.02</v>
      </c>
      <c r="Y13" s="397" t="n">
        <v>0.02</v>
      </c>
      <c r="Z13" s="397" t="n">
        <v>0.02</v>
      </c>
      <c r="AA13" s="397" t="n">
        <v>0.02</v>
      </c>
      <c r="AB13" s="397" t="n">
        <v>0.02</v>
      </c>
      <c r="AC13" s="397" t="n">
        <v>0.02</v>
      </c>
      <c r="AD13" s="397" t="n">
        <v>0.02</v>
      </c>
      <c r="AE13" s="397" t="n">
        <v>0.02</v>
      </c>
      <c r="AF13" s="397" t="n">
        <v>0.02</v>
      </c>
      <c r="AG13" s="397" t="n">
        <v>0.02</v>
      </c>
      <c r="AH13" s="397" t="n">
        <v>0.02</v>
      </c>
      <c r="AI13" s="397" t="n">
        <v>0.02</v>
      </c>
      <c r="AJ13" s="397" t="n">
        <v>0.02</v>
      </c>
      <c r="AK13" s="397" t="n">
        <v>0.02</v>
      </c>
      <c r="AL13" s="397" t="n">
        <v>0.02</v>
      </c>
      <c r="AM13" s="397" t="n">
        <v>0.02</v>
      </c>
      <c r="AN13" s="397" t="n">
        <v>0.02</v>
      </c>
      <c r="AO13" s="397" t="n">
        <v>0.02</v>
      </c>
      <c r="AP13" s="397" t="n">
        <v>0.02</v>
      </c>
      <c r="AQ13" s="397" t="n">
        <v>0.02</v>
      </c>
      <c r="AR13" s="397" t="n">
        <v>0.02</v>
      </c>
      <c r="AS13" s="397" t="n">
        <v>0.02</v>
      </c>
      <c r="AT13" s="397" t="n">
        <v>0.02</v>
      </c>
      <c r="AU13" s="397" t="n">
        <v>0.02</v>
      </c>
      <c r="AV13" s="397" t="n">
        <v>0.02</v>
      </c>
      <c r="AW13" s="397" t="n">
        <v>0.02</v>
      </c>
      <c r="AX13" s="397" t="n">
        <v>0.02</v>
      </c>
      <c r="AY13" s="397" t="n">
        <v>0.02</v>
      </c>
      <c r="AZ13" s="397" t="n">
        <v>0.02</v>
      </c>
      <c r="BA13" s="397" t="n">
        <v>0.02</v>
      </c>
      <c r="BB13" s="397" t="n">
        <v>0.02</v>
      </c>
      <c r="BC13" s="397" t="n">
        <v>0.02</v>
      </c>
      <c r="BD13" s="397" t="n">
        <v>0.02</v>
      </c>
      <c r="BE13" s="397" t="n">
        <v>0.02</v>
      </c>
      <c r="BF13" s="397" t="n">
        <v>0.02</v>
      </c>
      <c r="BG13" s="397" t="n">
        <v>0.02</v>
      </c>
      <c r="BH13" s="397" t="n">
        <v>0.02</v>
      </c>
      <c r="BI13" s="397" t="n">
        <v>0.02</v>
      </c>
      <c r="BJ13" s="397" t="n">
        <v>0.02</v>
      </c>
      <c r="BK13" s="397" t="n">
        <v>0.02</v>
      </c>
      <c r="BL13" s="397" t="n">
        <v>0.02</v>
      </c>
      <c r="BM13" s="397" t="n">
        <v>0.02</v>
      </c>
      <c r="BN13" s="91" t="n">
        <v>0.02</v>
      </c>
      <c r="BO13" s="397" t="n">
        <v>0.02</v>
      </c>
      <c r="BP13" s="397" t="n">
        <v>0.02</v>
      </c>
      <c r="BQ13" s="397" t="n">
        <v>0.02</v>
      </c>
      <c r="BR13" s="397" t="n">
        <v>0.02</v>
      </c>
    </row>
    <row r="14">
      <c r="C14" s="397" t="inlineStr">
        <is>
          <t>手数料計（月/社）</t>
        </is>
      </c>
      <c r="D14" s="76" t="n"/>
      <c r="E14" s="76" t="n"/>
      <c r="F14" s="397">
        <f>F12*F13</f>
        <v>3000.0</v>
      </c>
      <c r="G14" s="397">
        <f>G12*G13</f>
        <v>3000.0</v>
      </c>
      <c r="H14" s="397">
        <f>H12*H13</f>
        <v>3000.0</v>
      </c>
      <c r="I14" s="397">
        <f>I12*I13</f>
        <v>3000.0</v>
      </c>
      <c r="J14" s="397">
        <f>J12*J13</f>
        <v>3000.0</v>
      </c>
      <c r="K14" s="397">
        <f>K12*K13</f>
        <v>3000.0</v>
      </c>
      <c r="L14" s="397">
        <f>L12*L13</f>
        <v>3000.0</v>
      </c>
      <c r="M14" s="397">
        <f>M12*M13</f>
        <v>3000.0</v>
      </c>
      <c r="N14" s="397">
        <f>N12*N13</f>
        <v>3000.0</v>
      </c>
      <c r="O14" s="397">
        <f>O12*O13</f>
        <v>3000.0</v>
      </c>
      <c r="P14" s="397">
        <f>P12*P13</f>
        <v>3000.0</v>
      </c>
      <c r="Q14" s="397">
        <f>Q12*Q13</f>
        <v>3000.0</v>
      </c>
      <c r="R14" s="80">
        <f>R12*R13</f>
        <v>3000.0</v>
      </c>
      <c r="S14" s="397">
        <f>S12*S13</f>
        <v>3000.0</v>
      </c>
      <c r="T14" s="397">
        <f>T12*T13</f>
        <v>3000.0</v>
      </c>
      <c r="U14" s="397">
        <f>U12*U13</f>
        <v>3000.0</v>
      </c>
      <c r="V14" s="397">
        <f>V12*V13</f>
        <v>3000.0</v>
      </c>
      <c r="W14" s="397">
        <f>W12*W13</f>
        <v>3000.0</v>
      </c>
      <c r="X14" s="397">
        <f>X12*X13</f>
        <v>3000.0</v>
      </c>
      <c r="Y14" s="397">
        <f>Y12*Y13</f>
        <v>3000.0</v>
      </c>
      <c r="Z14" s="397">
        <f>Z12*Z13</f>
        <v>3000.0</v>
      </c>
      <c r="AA14" s="397">
        <f>AA12*AA13</f>
        <v>3000.0</v>
      </c>
      <c r="AB14" s="397">
        <f>AB12*AB13</f>
        <v>3000.0</v>
      </c>
      <c r="AC14" s="397">
        <f>AC12*AC13</f>
        <v>3000.0</v>
      </c>
      <c r="AD14" s="397">
        <f>AD12*AD13</f>
        <v>3000.0</v>
      </c>
      <c r="AE14" s="397">
        <f>AE12*AE13</f>
        <v>3000.0</v>
      </c>
      <c r="AF14" s="397">
        <f>AF12*AF13</f>
        <v>3000.0</v>
      </c>
      <c r="AG14" s="397">
        <f>AG12*AG13</f>
        <v>3000.0</v>
      </c>
      <c r="AH14" s="397">
        <f>AH12*AH13</f>
        <v>3000.0</v>
      </c>
      <c r="AI14" s="397">
        <f>AI12*AI13</f>
        <v>3000.0</v>
      </c>
      <c r="AJ14" s="397">
        <f>AJ12*AJ13</f>
        <v>3000.0</v>
      </c>
      <c r="AK14" s="397">
        <f>AK12*AK13</f>
        <v>3000.0</v>
      </c>
      <c r="AL14" s="397">
        <f>AL12*AL13</f>
        <v>3000.0</v>
      </c>
      <c r="AM14" s="397">
        <f>AM12*AM13</f>
        <v>3000.0</v>
      </c>
      <c r="AN14" s="397">
        <f>AN12*AN13</f>
        <v>3000.0</v>
      </c>
      <c r="AO14" s="397">
        <f>AO12*AO13</f>
        <v>3000.0</v>
      </c>
      <c r="AP14" s="397">
        <f>AP12*AP13</f>
        <v>3000.0</v>
      </c>
      <c r="AQ14" s="397">
        <f>AQ12*AQ13</f>
        <v>3000.0</v>
      </c>
      <c r="AR14" s="397">
        <f>AR12*AR13</f>
        <v>3000.0</v>
      </c>
      <c r="AS14" s="397">
        <f>AS12*AS13</f>
        <v>3000.0</v>
      </c>
      <c r="AT14" s="397">
        <f>AT12*AT13</f>
        <v>3000.0</v>
      </c>
      <c r="AU14" s="397">
        <f>AU12*AU13</f>
        <v>3000.0</v>
      </c>
      <c r="AV14" s="397">
        <f>AV12*AV13</f>
        <v>3000.0</v>
      </c>
      <c r="AW14" s="397">
        <f>AW12*AW13</f>
        <v>3000.0</v>
      </c>
      <c r="AX14" s="397">
        <f>AX12*AX13</f>
        <v>3000.0</v>
      </c>
      <c r="AY14" s="397">
        <f>AY12*AY13</f>
        <v>3000.0</v>
      </c>
      <c r="AZ14" s="397">
        <f>AZ12*AZ13</f>
        <v>3000.0</v>
      </c>
      <c r="BA14" s="397">
        <f>BA12*BA13</f>
        <v>3000.0</v>
      </c>
      <c r="BB14" s="397">
        <f>BB12*BB13</f>
        <v>3000.0</v>
      </c>
      <c r="BC14" s="397">
        <f>BC12*BC13</f>
        <v>3000.0</v>
      </c>
      <c r="BD14" s="397">
        <f>BD12*BD13</f>
        <v>3000.0</v>
      </c>
      <c r="BE14" s="397">
        <f>BE12*BE13</f>
        <v>3000.0</v>
      </c>
      <c r="BF14" s="397">
        <f>BF12*BF13</f>
        <v>3000.0</v>
      </c>
      <c r="BG14" s="397">
        <f>BG12*BG13</f>
        <v>3000.0</v>
      </c>
      <c r="BH14" s="397">
        <f>BH12*BH13</f>
        <v>3000.0</v>
      </c>
      <c r="BI14" s="397">
        <f>BI12*BI13</f>
        <v>3000.0</v>
      </c>
      <c r="BJ14" s="397">
        <f>BJ12*BJ13</f>
        <v>3000.0</v>
      </c>
      <c r="BK14" s="397">
        <f>BK12*BK13</f>
        <v>3000.0</v>
      </c>
      <c r="BL14" s="397">
        <f>BL12*BL13</f>
        <v>3000.0</v>
      </c>
      <c r="BM14" s="397">
        <f>BM12*BM13</f>
        <v>3000.0</v>
      </c>
      <c r="BN14" s="91">
        <f>BN12*BN13</f>
        <v>3000.0</v>
      </c>
      <c r="BO14" s="397">
        <f>BO12*BO13</f>
        <v>3000.0</v>
      </c>
      <c r="BP14" s="397">
        <f>BP12*BP13</f>
        <v>3000.0</v>
      </c>
      <c r="BQ14" s="397">
        <f>BQ12*BQ13</f>
        <v>3000.0</v>
      </c>
      <c r="BR14" s="397">
        <f>BR12*BR13</f>
        <v>3000.0</v>
      </c>
    </row>
    <row r="15">
      <c r="C15" s="397" t="inlineStr">
        <is>
          <t>内・税理士（月/社）</t>
        </is>
      </c>
      <c r="D15" s="397" t="inlineStr">
        <is>
          <t>ビジとりと同配分（税理士5：taXel1）</t>
        </is>
      </c>
      <c r="E15" s="76" t="n"/>
      <c r="F15" s="397" t="n">
        <v>2500</v>
      </c>
      <c r="G15" s="397" t="n">
        <v>2500</v>
      </c>
      <c r="H15" s="397" t="n">
        <v>2500</v>
      </c>
      <c r="I15" s="397" t="n">
        <v>2500</v>
      </c>
      <c r="J15" s="397" t="n">
        <v>2500</v>
      </c>
      <c r="K15" s="397" t="n">
        <v>2500</v>
      </c>
      <c r="L15" s="397" t="n">
        <v>2500</v>
      </c>
      <c r="M15" s="397" t="n">
        <v>2500</v>
      </c>
      <c r="N15" s="397" t="n">
        <v>2500</v>
      </c>
      <c r="O15" s="397" t="n">
        <v>2500</v>
      </c>
      <c r="P15" s="397" t="n">
        <v>2500</v>
      </c>
      <c r="Q15" s="397" t="n">
        <v>2500</v>
      </c>
      <c r="R15" s="80" t="n">
        <v>2500</v>
      </c>
      <c r="S15" s="397" t="n">
        <v>2500</v>
      </c>
      <c r="T15" s="397" t="n">
        <v>2500</v>
      </c>
      <c r="U15" s="397" t="n">
        <v>2500</v>
      </c>
      <c r="V15" s="397" t="n">
        <v>2500</v>
      </c>
      <c r="W15" s="397" t="n">
        <v>2500</v>
      </c>
      <c r="X15" s="397" t="n">
        <v>2500</v>
      </c>
      <c r="Y15" s="397" t="n">
        <v>2500</v>
      </c>
      <c r="Z15" s="397" t="n">
        <v>2500</v>
      </c>
      <c r="AA15" s="397" t="n">
        <v>2500</v>
      </c>
      <c r="AB15" s="397" t="n">
        <v>2500</v>
      </c>
      <c r="AC15" s="397" t="n">
        <v>2500</v>
      </c>
      <c r="AD15" s="397" t="n">
        <v>2500</v>
      </c>
      <c r="AE15" s="397" t="n">
        <v>2500</v>
      </c>
      <c r="AF15" s="397" t="n">
        <v>2500</v>
      </c>
      <c r="AG15" s="397" t="n">
        <v>2500</v>
      </c>
      <c r="AH15" s="397" t="n">
        <v>2500</v>
      </c>
      <c r="AI15" s="397" t="n">
        <v>2500</v>
      </c>
      <c r="AJ15" s="397" t="n">
        <v>2500</v>
      </c>
      <c r="AK15" s="397" t="n">
        <v>2500</v>
      </c>
      <c r="AL15" s="397" t="n">
        <v>2500</v>
      </c>
      <c r="AM15" s="397" t="n">
        <v>2500</v>
      </c>
      <c r="AN15" s="397" t="n">
        <v>2500</v>
      </c>
      <c r="AO15" s="397" t="n">
        <v>2500</v>
      </c>
      <c r="AP15" s="397" t="n">
        <v>2500</v>
      </c>
      <c r="AQ15" s="397" t="n">
        <v>2500</v>
      </c>
      <c r="AR15" s="397" t="n">
        <v>2500</v>
      </c>
      <c r="AS15" s="397" t="n">
        <v>2500</v>
      </c>
      <c r="AT15" s="397" t="n">
        <v>2500</v>
      </c>
      <c r="AU15" s="397" t="n">
        <v>2500</v>
      </c>
      <c r="AV15" s="397" t="n">
        <v>2500</v>
      </c>
      <c r="AW15" s="397" t="n">
        <v>2500</v>
      </c>
      <c r="AX15" s="397" t="n">
        <v>2500</v>
      </c>
      <c r="AY15" s="397" t="n">
        <v>2500</v>
      </c>
      <c r="AZ15" s="397" t="n">
        <v>2500</v>
      </c>
      <c r="BA15" s="397" t="n">
        <v>2500</v>
      </c>
      <c r="BB15" s="397" t="n">
        <v>2500</v>
      </c>
      <c r="BC15" s="397" t="n">
        <v>2500</v>
      </c>
      <c r="BD15" s="397" t="n">
        <v>2500</v>
      </c>
      <c r="BE15" s="397" t="n">
        <v>2500</v>
      </c>
      <c r="BF15" s="397" t="n">
        <v>2500</v>
      </c>
      <c r="BG15" s="397" t="n">
        <v>2500</v>
      </c>
      <c r="BH15" s="397" t="n">
        <v>2500</v>
      </c>
      <c r="BI15" s="397" t="n">
        <v>2500</v>
      </c>
      <c r="BJ15" s="397" t="n">
        <v>2500</v>
      </c>
      <c r="BK15" s="397" t="n">
        <v>2500</v>
      </c>
      <c r="BL15" s="397" t="n">
        <v>2500</v>
      </c>
      <c r="BM15" s="397" t="n">
        <v>2500</v>
      </c>
      <c r="BN15" s="91" t="n">
        <v>2500</v>
      </c>
      <c r="BO15" s="397" t="n">
        <v>2500</v>
      </c>
      <c r="BP15" s="397" t="n">
        <v>2500</v>
      </c>
      <c r="BQ15" s="397" t="n">
        <v>2500</v>
      </c>
      <c r="BR15" s="397" t="n">
        <v>2500</v>
      </c>
    </row>
    <row r="16">
      <c r="C16" s="77" t="inlineStr">
        <is>
          <t>内・taXel（月/社）</t>
        </is>
      </c>
      <c r="D16" s="76" t="n"/>
      <c r="E16" s="76" t="n"/>
      <c r="F16" s="562">
        <f>F14-F15</f>
        <v>500.0</v>
      </c>
      <c r="G16" s="562">
        <f>G14-G15</f>
        <v>500.0</v>
      </c>
      <c r="H16" s="562">
        <f>H14-H15</f>
        <v>500.0</v>
      </c>
      <c r="I16" s="562">
        <f>I14-I15</f>
        <v>500.0</v>
      </c>
      <c r="J16" s="562">
        <f>J14-J15</f>
        <v>500.0</v>
      </c>
      <c r="K16" s="562">
        <f>K14-K15</f>
        <v>500.0</v>
      </c>
      <c r="L16" s="562">
        <f>L14-L15</f>
        <v>500.0</v>
      </c>
      <c r="M16" s="562">
        <f>M14-M15</f>
        <v>500.0</v>
      </c>
      <c r="N16" s="562">
        <f>N14-N15</f>
        <v>500.0</v>
      </c>
      <c r="O16" s="562">
        <f>O14-O15</f>
        <v>500.0</v>
      </c>
      <c r="P16" s="562">
        <f>P14-P15</f>
        <v>500.0</v>
      </c>
      <c r="Q16" s="562">
        <f>Q14-Q15</f>
        <v>500.0</v>
      </c>
      <c r="R16" s="563">
        <f>R14-R15</f>
        <v>500.0</v>
      </c>
      <c r="S16" s="562">
        <f>S14-S15</f>
        <v>500.0</v>
      </c>
      <c r="T16" s="562">
        <f>T14-T15</f>
        <v>500.0</v>
      </c>
      <c r="U16" s="562">
        <f>U14-U15</f>
        <v>500.0</v>
      </c>
      <c r="V16" s="562">
        <f>V14-V15</f>
        <v>500.0</v>
      </c>
      <c r="W16" s="562">
        <f>W14-W15</f>
        <v>500.0</v>
      </c>
      <c r="X16" s="562">
        <f>X14-X15</f>
        <v>500.0</v>
      </c>
      <c r="Y16" s="562">
        <f>Y14-Y15</f>
        <v>500.0</v>
      </c>
      <c r="Z16" s="562">
        <f>Z14-Z15</f>
        <v>500.0</v>
      </c>
      <c r="AA16" s="562">
        <f>AA14-AA15</f>
        <v>500.0</v>
      </c>
      <c r="AB16" s="562">
        <f>AB14-AB15</f>
        <v>500.0</v>
      </c>
      <c r="AC16" s="562">
        <f>AC14-AC15</f>
        <v>500.0</v>
      </c>
      <c r="AD16" s="562">
        <f>AD14-AD15</f>
        <v>500.0</v>
      </c>
      <c r="AE16" s="562">
        <f>AE14-AE15</f>
        <v>500.0</v>
      </c>
      <c r="AF16" s="562">
        <f>AF14-AF15</f>
        <v>500.0</v>
      </c>
      <c r="AG16" s="562">
        <f>AG14-AG15</f>
        <v>500.0</v>
      </c>
      <c r="AH16" s="562">
        <f>AH14-AH15</f>
        <v>500.0</v>
      </c>
      <c r="AI16" s="562">
        <f>AI14-AI15</f>
        <v>500.0</v>
      </c>
      <c r="AJ16" s="562">
        <f>AJ14-AJ15</f>
        <v>500.0</v>
      </c>
      <c r="AK16" s="562">
        <f>AK14-AK15</f>
        <v>500.0</v>
      </c>
      <c r="AL16" s="562">
        <f>AL14-AL15</f>
        <v>500.0</v>
      </c>
      <c r="AM16" s="562">
        <f>AM14-AM15</f>
        <v>500.0</v>
      </c>
      <c r="AN16" s="562">
        <f>AN14-AN15</f>
        <v>500.0</v>
      </c>
      <c r="AO16" s="562">
        <f>AO14-AO15</f>
        <v>500.0</v>
      </c>
      <c r="AP16" s="562">
        <f>AP14-AP15</f>
        <v>500.0</v>
      </c>
      <c r="AQ16" s="562">
        <f>AQ14-AQ15</f>
        <v>500.0</v>
      </c>
      <c r="AR16" s="562">
        <f>AR14-AR15</f>
        <v>500.0</v>
      </c>
      <c r="AS16" s="562">
        <f>AS14-AS15</f>
        <v>500.0</v>
      </c>
      <c r="AT16" s="562">
        <f>AT14-AT15</f>
        <v>500.0</v>
      </c>
      <c r="AU16" s="562">
        <f>AU14-AU15</f>
        <v>500.0</v>
      </c>
      <c r="AV16" s="562">
        <f>AV14-AV15</f>
        <v>500.0</v>
      </c>
      <c r="AW16" s="562">
        <f>AW14-AW15</f>
        <v>500.0</v>
      </c>
      <c r="AX16" s="562">
        <f>AX14-AX15</f>
        <v>500.0</v>
      </c>
      <c r="AY16" s="562">
        <f>AY14-AY15</f>
        <v>500.0</v>
      </c>
      <c r="AZ16" s="562">
        <f>AZ14-AZ15</f>
        <v>500.0</v>
      </c>
      <c r="BA16" s="562">
        <f>BA14-BA15</f>
        <v>500.0</v>
      </c>
      <c r="BB16" s="562">
        <f>BB14-BB15</f>
        <v>500.0</v>
      </c>
      <c r="BC16" s="562">
        <f>BC14-BC15</f>
        <v>500.0</v>
      </c>
      <c r="BD16" s="562">
        <f>BD14-BD15</f>
        <v>500.0</v>
      </c>
      <c r="BE16" s="562">
        <f>BE14-BE15</f>
        <v>500.0</v>
      </c>
      <c r="BF16" s="562">
        <f>BF14-BF15</f>
        <v>500.0</v>
      </c>
      <c r="BG16" s="564">
        <f>BG14-BG15</f>
        <v>500.0</v>
      </c>
      <c r="BH16" s="564">
        <f>BH14-BH15</f>
        <v>500.0</v>
      </c>
      <c r="BI16" s="564">
        <f>BI14-BI15</f>
        <v>500.0</v>
      </c>
      <c r="BJ16" s="564">
        <f>BJ14-BJ15</f>
        <v>500.0</v>
      </c>
      <c r="BK16" s="564">
        <f>BK14-BK15</f>
        <v>500.0</v>
      </c>
      <c r="BL16" s="564">
        <f>BL14-BL15</f>
        <v>500.0</v>
      </c>
      <c r="BM16" s="564">
        <f>BM14-BM15</f>
        <v>500.0</v>
      </c>
      <c r="BN16" s="565">
        <f>BN14-BN15</f>
        <v>500.0</v>
      </c>
      <c r="BO16" s="564">
        <f>BO14-BO15</f>
        <v>500.0</v>
      </c>
      <c r="BP16" s="564">
        <f>BP14-BP15</f>
        <v>500.0</v>
      </c>
      <c r="BQ16" s="564">
        <f>BQ14-BQ15</f>
        <v>500.0</v>
      </c>
      <c r="BR16" s="564">
        <f>BR14-BR15</f>
        <v>500.0</v>
      </c>
    </row>
    <row r="17">
      <c r="C17" s="397" t="inlineStr">
        <is>
          <t>１税理士 / 紹介費用</t>
        </is>
      </c>
      <c r="D17" s="397" t="inlineStr">
        <is>
          <t>Y2（M13）から開拓</t>
        </is>
      </c>
      <c r="E17" s="76" t="n"/>
      <c r="F17" s="397" t="n">
        <v>0</v>
      </c>
      <c r="G17" s="397" t="n">
        <v>0</v>
      </c>
      <c r="H17" s="397" t="n">
        <v>0</v>
      </c>
      <c r="I17" s="397" t="n">
        <v>0</v>
      </c>
      <c r="J17" s="397" t="n">
        <v>0</v>
      </c>
      <c r="K17" s="397" t="n">
        <v>0</v>
      </c>
      <c r="L17" s="397" t="n">
        <v>0</v>
      </c>
      <c r="M17" s="397" t="n">
        <v>0</v>
      </c>
      <c r="N17" s="397" t="n">
        <v>0</v>
      </c>
      <c r="O17" s="397" t="n">
        <v>0</v>
      </c>
      <c r="P17" s="397" t="n">
        <v>0</v>
      </c>
      <c r="Q17" s="397" t="n">
        <v>0</v>
      </c>
      <c r="R17" s="80">
        <f>R16*R25</f>
        <v>130547.967064715</v>
      </c>
      <c r="S17" s="397">
        <f>S16*S25</f>
        <v>142637.007723421</v>
      </c>
      <c r="T17" s="397">
        <f>T16*T25</f>
        <v>156934.267568952</v>
      </c>
      <c r="U17" s="397">
        <f>U16*U25</f>
        <v>169720.582217573</v>
      </c>
      <c r="V17" s="397">
        <f>V16*V25</f>
        <v>182251.170573222</v>
      </c>
      <c r="W17" s="397">
        <f>W16*W25</f>
        <v>196981.147161757</v>
      </c>
      <c r="X17" s="397">
        <f>X16*X25</f>
        <v>210191.524218522</v>
      </c>
      <c r="Y17" s="397">
        <f>Y16*Y25</f>
        <v>223137.693734152</v>
      </c>
      <c r="Z17" s="397">
        <f>Z16*Z25</f>
        <v>238274.939859469</v>
      </c>
      <c r="AA17" s="397">
        <f>AA16*AA25</f>
        <v>251884.441062279</v>
      </c>
      <c r="AB17" s="397">
        <f>AB16*AB25</f>
        <v>265221.752241034</v>
      </c>
      <c r="AC17" s="397">
        <f>AC16*AC25</f>
        <v>279517.317196213</v>
      </c>
      <c r="AD17" s="397">
        <f>AD16*AD25</f>
        <v>296675.764145279</v>
      </c>
      <c r="AE17" s="397">
        <f>AE16*AE25</f>
        <v>312308.938272737</v>
      </c>
      <c r="AF17" s="397">
        <f>AF16*AF25</f>
        <v>330118.531852964</v>
      </c>
      <c r="AG17" s="397">
        <f>AG16*AG25</f>
        <v>346391.457545537</v>
      </c>
      <c r="AH17" s="397">
        <f>AH16*AH25</f>
        <v>363604.60703849</v>
      </c>
      <c r="AI17" s="397">
        <f>AI16*AI25</f>
        <v>380516.526415317</v>
      </c>
      <c r="AJ17" s="397">
        <f>AJ16*AJ25</f>
        <v>398357.487203049</v>
      </c>
      <c r="AK17" s="397">
        <f>AK16*AK25</f>
        <v>414661.231176995</v>
      </c>
      <c r="AL17" s="397">
        <f>AL16*AL25</f>
        <v>433129.659631398</v>
      </c>
      <c r="AM17" s="397">
        <f>AM16*AM25</f>
        <v>450049.890587848</v>
      </c>
      <c r="AN17" s="397">
        <f>AN16*AN25</f>
        <v>466674.017502561</v>
      </c>
      <c r="AO17" s="397">
        <f>AO16*AO25</f>
        <v>485457.222196266</v>
      </c>
      <c r="AP17" s="397">
        <f>AP16*AP25</f>
        <v>502686.720807832</v>
      </c>
      <c r="AQ17" s="397">
        <f>AQ16*AQ25</f>
        <v>519614.703193694</v>
      </c>
      <c r="AR17" s="397">
        <f>AR16*AR25</f>
        <v>537471.445887805</v>
      </c>
      <c r="AS17" s="397">
        <f>AS16*AS25</f>
        <v>555015.695584768</v>
      </c>
      <c r="AT17" s="397">
        <f>AT16*AT25</f>
        <v>572252.920912035</v>
      </c>
      <c r="AU17" s="397">
        <f>AU16*AU25</f>
        <v>590413.494796074</v>
      </c>
      <c r="AV17" s="397">
        <f>AV16*AV25</f>
        <v>608256.258637143</v>
      </c>
      <c r="AW17" s="397">
        <f>AW16*AW25</f>
        <v>625786.774110993</v>
      </c>
      <c r="AX17" s="397">
        <f>AX16*AX25</f>
        <v>644235.50556405</v>
      </c>
      <c r="AY17" s="397">
        <f>AY16*AY25</f>
        <v>661136.38421668</v>
      </c>
      <c r="AZ17" s="397">
        <f>AZ16*AZ25</f>
        <v>678966.497492888</v>
      </c>
      <c r="BA17" s="397">
        <f>BA16*BA25</f>
        <v>696484.583786762</v>
      </c>
      <c r="BB17" s="397">
        <f>BB16*BB25</f>
        <v>721562.315029961</v>
      </c>
      <c r="BC17" s="397">
        <f>BC16*BC25</f>
        <v>745038.880304511</v>
      </c>
      <c r="BD17" s="397">
        <f>BD16*BD25</f>
        <v>769388.297099944</v>
      </c>
      <c r="BE17" s="397">
        <f>BE16*BE25</f>
        <v>793372.472643444</v>
      </c>
      <c r="BF17" s="397">
        <f>BF16*BF25</f>
        <v>816996.885553793</v>
      </c>
      <c r="BG17" s="397">
        <f>BG16*BG25</f>
        <v>842716.932270486</v>
      </c>
      <c r="BH17" s="397">
        <f>BH16*BH25</f>
        <v>866826.178286429</v>
      </c>
      <c r="BI17" s="397">
        <f>BI16*BI25</f>
        <v>890573.785612132</v>
      </c>
      <c r="BJ17" s="397">
        <f>BJ16*BJ25</f>
        <v>915190.17882795</v>
      </c>
      <c r="BK17" s="397">
        <f>BK16*BK25</f>
        <v>939437.326145531</v>
      </c>
      <c r="BL17" s="397">
        <f>BL16*BL25</f>
        <v>963320.766253348</v>
      </c>
      <c r="BM17" s="397">
        <f>BM16*BM25</f>
        <v>988070.954759548</v>
      </c>
      <c r="BN17" s="91">
        <f>SUM(F17:Q17)</f>
        <v>0.0</v>
      </c>
      <c r="BO17" s="397">
        <f>SUM(R17:AC17)</f>
        <v>2447299.81062131</v>
      </c>
      <c r="BP17" s="397">
        <f>SUM(AD17:AO17)</f>
        <v>4677945.33356844</v>
      </c>
      <c r="BQ17" s="397">
        <f>SUM(AP17:BA17)</f>
        <v>7192320.98499072</v>
      </c>
      <c r="BR17" s="397">
        <f>SUM(BB17:BM17)</f>
        <v>10252494.9727871</v>
      </c>
    </row>
    <row r="18">
      <c r="C18" s="16" t="inlineStr">
        <is>
          <t>税理士数＝アカウト数</t>
        </is>
      </c>
      <c r="D18" s="11" t="n"/>
      <c r="E18" s="11" t="n"/>
      <c r="F18" s="19" t="n">
        <v>0</v>
      </c>
      <c r="G18" s="19" t="n">
        <v>2</v>
      </c>
      <c r="H18" s="19" t="n">
        <v>11</v>
      </c>
      <c r="I18" s="19" t="n">
        <v>20</v>
      </c>
      <c r="J18" s="19" t="n">
        <v>28</v>
      </c>
      <c r="K18" s="19" t="n">
        <v>38</v>
      </c>
      <c r="L18" s="19" t="n">
        <v>48</v>
      </c>
      <c r="M18" s="19" t="n">
        <v>58</v>
      </c>
      <c r="N18" s="19" t="n">
        <v>70</v>
      </c>
      <c r="O18" s="19" t="n">
        <v>81</v>
      </c>
      <c r="P18" s="19" t="n">
        <v>92</v>
      </c>
      <c r="Q18" s="19" t="n">
        <v>105</v>
      </c>
      <c r="R18" s="37" t="n">
        <v>117</v>
      </c>
      <c r="S18" s="19" t="n">
        <v>129</v>
      </c>
      <c r="T18" s="19" t="n">
        <v>143</v>
      </c>
      <c r="U18" s="19" t="n">
        <v>156</v>
      </c>
      <c r="V18" s="19" t="n">
        <v>169</v>
      </c>
      <c r="W18" s="19" t="n">
        <v>184</v>
      </c>
      <c r="X18" s="19" t="n">
        <v>198</v>
      </c>
      <c r="Y18" s="19" t="n">
        <v>212</v>
      </c>
      <c r="Z18" s="19" t="n">
        <v>228</v>
      </c>
      <c r="AA18" s="19" t="n">
        <v>243</v>
      </c>
      <c r="AB18" s="19" t="n">
        <v>258</v>
      </c>
      <c r="AC18" s="19" t="n">
        <v>274</v>
      </c>
      <c r="AD18" s="19" t="n">
        <v>292</v>
      </c>
      <c r="AE18" s="19" t="n">
        <v>309</v>
      </c>
      <c r="AF18" s="19" t="n">
        <v>328</v>
      </c>
      <c r="AG18" s="19" t="n">
        <v>346</v>
      </c>
      <c r="AH18" s="19" t="n">
        <v>365</v>
      </c>
      <c r="AI18" s="19" t="n">
        <v>384</v>
      </c>
      <c r="AJ18" s="19" t="n">
        <v>404</v>
      </c>
      <c r="AK18" s="19" t="n">
        <v>423</v>
      </c>
      <c r="AL18" s="19" t="n">
        <v>444</v>
      </c>
      <c r="AM18" s="19" t="n">
        <v>464</v>
      </c>
      <c r="AN18" s="19" t="n">
        <v>484</v>
      </c>
      <c r="AO18" s="19" t="n">
        <v>506</v>
      </c>
      <c r="AP18" s="19" t="n">
        <v>527</v>
      </c>
      <c r="AQ18" s="19" t="n">
        <v>548</v>
      </c>
      <c r="AR18" s="19" t="n">
        <v>570</v>
      </c>
      <c r="AS18" s="19" t="n">
        <v>592</v>
      </c>
      <c r="AT18" s="19" t="n">
        <v>614</v>
      </c>
      <c r="AU18" s="19" t="n">
        <v>637</v>
      </c>
      <c r="AV18" s="19" t="n">
        <v>660</v>
      </c>
      <c r="AW18" s="19" t="n">
        <v>683</v>
      </c>
      <c r="AX18" s="19" t="n">
        <v>707</v>
      </c>
      <c r="AY18" s="19" t="n">
        <v>730</v>
      </c>
      <c r="AZ18" s="19" t="n">
        <v>754</v>
      </c>
      <c r="BA18" s="19" t="n">
        <v>778</v>
      </c>
      <c r="BB18" s="19" t="n">
        <v>807</v>
      </c>
      <c r="BC18" s="19" t="n">
        <v>835</v>
      </c>
      <c r="BD18" s="19" t="n">
        <v>864</v>
      </c>
      <c r="BE18" s="19" t="n">
        <v>893</v>
      </c>
      <c r="BF18" s="19" t="n">
        <v>922</v>
      </c>
      <c r="BG18" s="19" t="n">
        <v>953</v>
      </c>
      <c r="BH18" s="19" t="n">
        <v>983</v>
      </c>
      <c r="BI18" s="19" t="n">
        <v>1013</v>
      </c>
      <c r="BJ18" s="19" t="n">
        <v>1044</v>
      </c>
      <c r="BK18" s="19" t="n">
        <v>1075</v>
      </c>
      <c r="BL18" s="19" t="n">
        <v>1106</v>
      </c>
      <c r="BM18" s="19" t="n">
        <v>1138</v>
      </c>
      <c r="BN18" s="94">
        <f>Q18</f>
        <v>105.0</v>
      </c>
      <c r="BO18" s="19">
        <f>AC18</f>
        <v>274.0</v>
      </c>
      <c r="BP18" s="19">
        <f>AO18</f>
        <v>506.0</v>
      </c>
      <c r="BQ18" s="19">
        <f>BA18</f>
        <v>778.0</v>
      </c>
      <c r="BR18" s="19">
        <f>BM18</f>
        <v>1138.0</v>
      </c>
    </row>
    <row r="19">
      <c r="C19" s="515" t="inlineStr">
        <is>
          <t>新規</t>
        </is>
      </c>
      <c r="D19" s="11" t="n"/>
      <c r="E19" s="515" t="n"/>
      <c r="F19" s="8" t="n">
        <v>0</v>
      </c>
      <c r="G19" s="23" t="n">
        <v>1</v>
      </c>
      <c r="H19" s="23" t="n">
        <v>5</v>
      </c>
      <c r="I19" s="23" t="n">
        <v>5</v>
      </c>
      <c r="J19" s="23" t="n">
        <v>5</v>
      </c>
      <c r="K19" s="23">
        <f>H19+1</f>
        <v>6.0</v>
      </c>
      <c r="L19" s="23">
        <f>I19+1</f>
        <v>6.0</v>
      </c>
      <c r="M19" s="23">
        <f>J19+1</f>
        <v>6.0</v>
      </c>
      <c r="N19" s="23">
        <f>K19+1</f>
        <v>7.0</v>
      </c>
      <c r="O19" s="23">
        <f>L19+1</f>
        <v>7.0</v>
      </c>
      <c r="P19" s="23">
        <f>M19+1</f>
        <v>7.0</v>
      </c>
      <c r="Q19" s="23">
        <f>N19+1</f>
        <v>8.0</v>
      </c>
      <c r="R19" s="38">
        <f>O19+1</f>
        <v>8.0</v>
      </c>
      <c r="S19" s="23">
        <f>P19+1</f>
        <v>8.0</v>
      </c>
      <c r="T19" s="23">
        <f>Q19+1</f>
        <v>9.0</v>
      </c>
      <c r="U19" s="23">
        <f>R19+1</f>
        <v>9.0</v>
      </c>
      <c r="V19" s="23">
        <f>S19+1</f>
        <v>9.0</v>
      </c>
      <c r="W19" s="23">
        <f>T19+1</f>
        <v>10.0</v>
      </c>
      <c r="X19" s="23">
        <f>U19+1</f>
        <v>10.0</v>
      </c>
      <c r="Y19" s="23">
        <f>V19+1</f>
        <v>10.0</v>
      </c>
      <c r="Z19" s="23">
        <f>W19+1</f>
        <v>11.0</v>
      </c>
      <c r="AA19" s="23">
        <f>X19+1</f>
        <v>11.0</v>
      </c>
      <c r="AB19" s="23">
        <f>Y19+1</f>
        <v>11.0</v>
      </c>
      <c r="AC19" s="23">
        <f>Z19+1</f>
        <v>12.0</v>
      </c>
      <c r="AD19" s="23">
        <f>AA19+1</f>
        <v>12.0</v>
      </c>
      <c r="AE19" s="23">
        <f>AB19+1</f>
        <v>12.0</v>
      </c>
      <c r="AF19" s="23">
        <f>AC19+1</f>
        <v>13.0</v>
      </c>
      <c r="AG19" s="23">
        <f>AD19+1</f>
        <v>13.0</v>
      </c>
      <c r="AH19" s="23">
        <f>AE19+1</f>
        <v>13.0</v>
      </c>
      <c r="AI19" s="23">
        <f>AF19+1</f>
        <v>14.0</v>
      </c>
      <c r="AJ19" s="23">
        <f>AG19+1</f>
        <v>14.0</v>
      </c>
      <c r="AK19" s="23">
        <f>AH19+1</f>
        <v>14.0</v>
      </c>
      <c r="AL19" s="23">
        <f>AI19+1</f>
        <v>15.0</v>
      </c>
      <c r="AM19" s="23">
        <f>AJ19+1</f>
        <v>15.0</v>
      </c>
      <c r="AN19" s="23">
        <f>AK19+1</f>
        <v>15.0</v>
      </c>
      <c r="AO19" s="23">
        <f>AL19+1</f>
        <v>16.0</v>
      </c>
      <c r="AP19" s="23">
        <f>AM19+1</f>
        <v>16.0</v>
      </c>
      <c r="AQ19" s="23">
        <f>AN19+1</f>
        <v>16.0</v>
      </c>
      <c r="AR19" s="23">
        <f>AO19+1</f>
        <v>17.0</v>
      </c>
      <c r="AS19" s="23">
        <f>AP19+1</f>
        <v>17.0</v>
      </c>
      <c r="AT19" s="23">
        <f>AQ19+1</f>
        <v>17.0</v>
      </c>
      <c r="AU19" s="23">
        <f>AR19+1</f>
        <v>18.0</v>
      </c>
      <c r="AV19" s="23">
        <f>AS19+1</f>
        <v>18.0</v>
      </c>
      <c r="AW19" s="23">
        <f>AT19+1</f>
        <v>18.0</v>
      </c>
      <c r="AX19" s="23">
        <f>AU19+1</f>
        <v>19.0</v>
      </c>
      <c r="AY19" s="23">
        <f>AV19+1</f>
        <v>19.0</v>
      </c>
      <c r="AZ19" s="23">
        <f>AW19+1</f>
        <v>19.0</v>
      </c>
      <c r="BA19" s="23">
        <f>AX19+1</f>
        <v>20.0</v>
      </c>
      <c r="BB19" s="23">
        <f>AY19+1</f>
        <v>20.0</v>
      </c>
      <c r="BC19" s="23">
        <f>AZ19+1</f>
        <v>20.0</v>
      </c>
      <c r="BD19" s="23">
        <f>BA19+1</f>
        <v>21.0</v>
      </c>
      <c r="BE19" s="23">
        <f>BB19+1</f>
        <v>21.0</v>
      </c>
      <c r="BF19" s="23">
        <f>BC19+1</f>
        <v>21.0</v>
      </c>
      <c r="BG19" s="23">
        <f>BD19+1</f>
        <v>22.0</v>
      </c>
      <c r="BH19" s="23">
        <f>BE19+1</f>
        <v>22.0</v>
      </c>
      <c r="BI19" s="23">
        <f>BF19+1</f>
        <v>22.0</v>
      </c>
      <c r="BJ19" s="23">
        <f>BG19+1</f>
        <v>23.0</v>
      </c>
      <c r="BK19" s="23">
        <f>BH19+1</f>
        <v>23.0</v>
      </c>
      <c r="BL19" s="23">
        <f>BI19+1</f>
        <v>23.0</v>
      </c>
      <c r="BM19" s="23">
        <f>BJ19+1</f>
        <v>24.0</v>
      </c>
      <c r="BN19" s="95">
        <f>SUM(F19:Q19)</f>
        <v>63.0</v>
      </c>
      <c r="BO19" s="23">
        <f>SUM(R19:AC19)</f>
        <v>118.0</v>
      </c>
      <c r="BP19" s="23">
        <f>SUM(AD19:AO19)</f>
        <v>166.0</v>
      </c>
      <c r="BQ19" s="23">
        <f>SUM(AP19:BA19)</f>
        <v>214.0</v>
      </c>
      <c r="BR19" s="23">
        <f>SUM(BB19:BM19)</f>
        <v>262.0</v>
      </c>
    </row>
    <row r="20">
      <c r="C20" s="515" t="inlineStr">
        <is>
          <t>解約予想数</t>
        </is>
      </c>
      <c r="D20" s="11" t="n"/>
      <c r="E20" s="515" t="n"/>
      <c r="F20" s="26" t="n">
        <v>0</v>
      </c>
      <c r="G20" s="26">
        <f>F25*G21</f>
        <v>0.0</v>
      </c>
      <c r="H20" s="26">
        <f>G25*H21</f>
        <v>0.098</v>
      </c>
      <c r="I20" s="26">
        <f>H25*I21</f>
        <v>0.53704</v>
      </c>
      <c r="J20" s="26">
        <f>I25*J21</f>
        <v>0.9672992</v>
      </c>
      <c r="K20" s="26">
        <f>J25*K21</f>
        <v>1.339953216</v>
      </c>
      <c r="L20" s="26">
        <f>K25*L21</f>
        <v>1.80315415168</v>
      </c>
      <c r="M20" s="26">
        <f>L25*M21</f>
        <v>2.2570910686464</v>
      </c>
      <c r="N20" s="26">
        <f>M25*N21</f>
        <v>2.70194924727347</v>
      </c>
      <c r="O20" s="26">
        <f>N25*O21</f>
        <v>3.235910262328</v>
      </c>
      <c r="P20" s="26">
        <f>O25*P21</f>
        <v>3.71019205708144</v>
      </c>
      <c r="Q20" s="26">
        <f>P25*Q21</f>
        <v>4.17498821593981</v>
      </c>
      <c r="R20" s="83">
        <f>Q25*R21</f>
        <v>4.72848845162102</v>
      </c>
      <c r="S20" s="26">
        <f>R25*S21</f>
        <v>5.2219186825886</v>
      </c>
      <c r="T20" s="26">
        <f>S25*T21</f>
        <v>5.70548030893683</v>
      </c>
      <c r="U20" s="26">
        <f>T25*U21</f>
        <v>6.27737070275809</v>
      </c>
      <c r="V20" s="26">
        <f>U25*V21</f>
        <v>6.78882328870293</v>
      </c>
      <c r="W20" s="26">
        <f>V25*W21</f>
        <v>7.29004682292887</v>
      </c>
      <c r="X20" s="26">
        <f>W25*X21</f>
        <v>7.87924588647029</v>
      </c>
      <c r="Y20" s="26">
        <f>X25*Y21</f>
        <v>8.40766096874089</v>
      </c>
      <c r="Z20" s="26">
        <f>Y25*Z21</f>
        <v>8.92550774936607</v>
      </c>
      <c r="AA20" s="26">
        <f>Z25*AA21</f>
        <v>9.53099759437875</v>
      </c>
      <c r="AB20" s="26">
        <f>AA25*AB21</f>
        <v>10.0753776424912</v>
      </c>
      <c r="AC20" s="26">
        <f>AB25*AC21</f>
        <v>10.6088700896413</v>
      </c>
      <c r="AD20" s="26">
        <f>AC25*AD21</f>
        <v>9.78310610186746</v>
      </c>
      <c r="AE20" s="26">
        <f>AD25*AE21</f>
        <v>10.3836517450848</v>
      </c>
      <c r="AF20" s="26">
        <f>AE25*AF21</f>
        <v>10.9308128395458</v>
      </c>
      <c r="AG20" s="26">
        <f>AF25*AG21</f>
        <v>11.5541486148537</v>
      </c>
      <c r="AH20" s="26">
        <f>AG25*AH21</f>
        <v>12.1237010140938</v>
      </c>
      <c r="AI20" s="26">
        <f>AH25*AI21</f>
        <v>12.7261612463472</v>
      </c>
      <c r="AJ20" s="26">
        <f>AI25*AJ21</f>
        <v>13.3180784245361</v>
      </c>
      <c r="AK20" s="26">
        <f>AJ25*AK21</f>
        <v>13.9425120521067</v>
      </c>
      <c r="AL20" s="26">
        <f>AK25*AL21</f>
        <v>14.5131430911948</v>
      </c>
      <c r="AM20" s="26">
        <f>AL25*AM21</f>
        <v>15.1595380870989</v>
      </c>
      <c r="AN20" s="26">
        <f>AM25*AN21</f>
        <v>15.7517461705747</v>
      </c>
      <c r="AO20" s="26">
        <f>AN25*AO21</f>
        <v>16.3335906125896</v>
      </c>
      <c r="AP20" s="26">
        <f>AO25*AP21</f>
        <v>16.9910027768693</v>
      </c>
      <c r="AQ20" s="26">
        <f>AP25*AQ21</f>
        <v>17.5940352282741</v>
      </c>
      <c r="AR20" s="26">
        <f>AQ25*AR21</f>
        <v>18.1865146117793</v>
      </c>
      <c r="AS20" s="26">
        <f>AR25*AS21</f>
        <v>18.8115006060732</v>
      </c>
      <c r="AT20" s="26">
        <f>AS25*AT21</f>
        <v>19.4255493454669</v>
      </c>
      <c r="AU20" s="26">
        <f>AT25*AU21</f>
        <v>20.0288522319212</v>
      </c>
      <c r="AV20" s="26">
        <f>AU25*AV21</f>
        <v>20.6644723178626</v>
      </c>
      <c r="AW20" s="26">
        <f>AV25*AW21</f>
        <v>21.2889690523</v>
      </c>
      <c r="AX20" s="26">
        <f>AW25*AX21</f>
        <v>21.9025370938848</v>
      </c>
      <c r="AY20" s="26">
        <f>AX25*AY21</f>
        <v>22.5482426947418</v>
      </c>
      <c r="AZ20" s="26">
        <f>AY25*AZ21</f>
        <v>23.1397734475838</v>
      </c>
      <c r="BA20" s="26">
        <f>AZ25*BA21</f>
        <v>23.7638274122511</v>
      </c>
      <c r="BB20" s="26">
        <f>BA25*BB21</f>
        <v>20.8945375136029</v>
      </c>
      <c r="BC20" s="26">
        <f>BB25*BC21</f>
        <v>21.6468694508988</v>
      </c>
      <c r="BD20" s="26">
        <f>BC25*BD21</f>
        <v>22.3511664091353</v>
      </c>
      <c r="BE20" s="26">
        <f>BD25*BE21</f>
        <v>23.0816489129983</v>
      </c>
      <c r="BF20" s="26">
        <f>BE25*BF21</f>
        <v>23.8011741793033</v>
      </c>
      <c r="BG20" s="26">
        <f>BF25*BG21</f>
        <v>24.5099065666138</v>
      </c>
      <c r="BH20" s="26">
        <f>BG25*BH21</f>
        <v>25.2815079681146</v>
      </c>
      <c r="BI20" s="26">
        <f>BH25*BI21</f>
        <v>26.0047853485929</v>
      </c>
      <c r="BJ20" s="26">
        <f>BI25*BJ21</f>
        <v>26.717213568364</v>
      </c>
      <c r="BK20" s="26">
        <f>BJ25*BK21</f>
        <v>27.4557053648385</v>
      </c>
      <c r="BL20" s="26">
        <f>BK25*BL21</f>
        <v>28.1831197843659</v>
      </c>
      <c r="BM20" s="26">
        <f>BL25*BM21</f>
        <v>28.8996229876004</v>
      </c>
      <c r="BN20" s="95">
        <f>SUM(F20:Q20)</f>
        <v>20.8255774189491</v>
      </c>
      <c r="BO20" s="26">
        <f>SUM(R20:AC20)</f>
        <v>91.4397881886248</v>
      </c>
      <c r="BP20" s="26">
        <f>SUM(AD20:AO20)</f>
        <v>156.520189999894</v>
      </c>
      <c r="BQ20" s="26">
        <f>SUM(AP20:BA20)</f>
        <v>244.345276819008</v>
      </c>
      <c r="BR20" s="26">
        <f>SUM(BB20:BM20)</f>
        <v>298.827258054429</v>
      </c>
    </row>
    <row r="21">
      <c r="C21" s="515" t="inlineStr">
        <is>
          <t>解約率</t>
        </is>
      </c>
      <c r="D21" s="11" t="inlineStr">
        <is>
          <t>F&amp;M オフィスステーション1.01%</t>
        </is>
      </c>
      <c r="E21" s="515" t="n"/>
      <c r="F21" s="27" t="n">
        <v>0.02</v>
      </c>
      <c r="G21" s="27" t="n">
        <v>0.02</v>
      </c>
      <c r="H21" s="27" t="n">
        <v>0.02</v>
      </c>
      <c r="I21" s="27" t="n">
        <v>0.02</v>
      </c>
      <c r="J21" s="27" t="n">
        <v>0.02</v>
      </c>
      <c r="K21" s="27" t="n">
        <v>0.02</v>
      </c>
      <c r="L21" s="27" t="n">
        <v>0.02</v>
      </c>
      <c r="M21" s="27" t="n">
        <v>0.02</v>
      </c>
      <c r="N21" s="27" t="n">
        <v>0.02</v>
      </c>
      <c r="O21" s="27" t="n">
        <v>0.02</v>
      </c>
      <c r="P21" s="27" t="n">
        <v>0.02</v>
      </c>
      <c r="Q21" s="27" t="n">
        <v>0.02</v>
      </c>
      <c r="R21" s="75" t="n">
        <v>0.02</v>
      </c>
      <c r="S21" s="27" t="n">
        <v>0.02</v>
      </c>
      <c r="T21" s="27" t="n">
        <v>0.02</v>
      </c>
      <c r="U21" s="27" t="n">
        <v>0.02</v>
      </c>
      <c r="V21" s="27" t="n">
        <v>0.02</v>
      </c>
      <c r="W21" s="27" t="n">
        <v>0.02</v>
      </c>
      <c r="X21" s="27" t="n">
        <v>0.02</v>
      </c>
      <c r="Y21" s="27" t="n">
        <v>0.02</v>
      </c>
      <c r="Z21" s="27" t="n">
        <v>0.02</v>
      </c>
      <c r="AA21" s="27" t="n">
        <v>0.02</v>
      </c>
      <c r="AB21" s="27" t="n">
        <v>0.02</v>
      </c>
      <c r="AC21" s="27" t="n">
        <v>0.02</v>
      </c>
      <c r="AD21" s="517" t="n">
        <v>0.0175</v>
      </c>
      <c r="AE21" s="517" t="n">
        <v>0.0175</v>
      </c>
      <c r="AF21" s="517" t="n">
        <v>0.0175</v>
      </c>
      <c r="AG21" s="517" t="n">
        <v>0.0175</v>
      </c>
      <c r="AH21" s="517" t="n">
        <v>0.0175</v>
      </c>
      <c r="AI21" s="517" t="n">
        <v>0.0175</v>
      </c>
      <c r="AJ21" s="517" t="n">
        <v>0.0175</v>
      </c>
      <c r="AK21" s="517" t="n">
        <v>0.0175</v>
      </c>
      <c r="AL21" s="517" t="n">
        <v>0.0175</v>
      </c>
      <c r="AM21" s="517" t="n">
        <v>0.0175</v>
      </c>
      <c r="AN21" s="517" t="n">
        <v>0.0175</v>
      </c>
      <c r="AO21" s="517" t="n">
        <v>0.0175</v>
      </c>
      <c r="AP21" s="517" t="n">
        <v>0.0175</v>
      </c>
      <c r="AQ21" s="517" t="n">
        <v>0.0175</v>
      </c>
      <c r="AR21" s="517" t="n">
        <v>0.0175</v>
      </c>
      <c r="AS21" s="517" t="n">
        <v>0.0175</v>
      </c>
      <c r="AT21" s="517" t="n">
        <v>0.0175</v>
      </c>
      <c r="AU21" s="517" t="n">
        <v>0.0175</v>
      </c>
      <c r="AV21" s="517" t="n">
        <v>0.0175</v>
      </c>
      <c r="AW21" s="517" t="n">
        <v>0.0175</v>
      </c>
      <c r="AX21" s="517" t="n">
        <v>0.0175</v>
      </c>
      <c r="AY21" s="517" t="n">
        <v>0.0175</v>
      </c>
      <c r="AZ21" s="517" t="n">
        <v>0.0175</v>
      </c>
      <c r="BA21" s="517" t="n">
        <v>0.0175</v>
      </c>
      <c r="BB21" s="27" t="n">
        <v>0.015</v>
      </c>
      <c r="BC21" s="27" t="n">
        <v>0.015</v>
      </c>
      <c r="BD21" s="27" t="n">
        <v>0.015</v>
      </c>
      <c r="BE21" s="27" t="n">
        <v>0.015</v>
      </c>
      <c r="BF21" s="27" t="n">
        <v>0.015</v>
      </c>
      <c r="BG21" s="27" t="n">
        <v>0.015</v>
      </c>
      <c r="BH21" s="27" t="n">
        <v>0.015</v>
      </c>
      <c r="BI21" s="27" t="n">
        <v>0.015</v>
      </c>
      <c r="BJ21" s="27" t="n">
        <v>0.015</v>
      </c>
      <c r="BK21" s="27" t="n">
        <v>0.015</v>
      </c>
      <c r="BL21" s="27" t="n">
        <v>0.015</v>
      </c>
      <c r="BM21" s="27" t="n">
        <v>0.015</v>
      </c>
      <c r="BN21" s="96">
        <f>AVERAGE(F21:Q21)</f>
        <v>0.02</v>
      </c>
      <c r="BO21" s="27">
        <f>AVERAGE(R21:AC21)</f>
        <v>0.02</v>
      </c>
      <c r="BP21" s="27">
        <f>AVERAGE(AD21:AO21)</f>
        <v>0.0175</v>
      </c>
      <c r="BQ21" s="27">
        <f>AVERAGE(AP21:BA21)</f>
        <v>0.0175</v>
      </c>
      <c r="BR21" s="27">
        <f>AVERAGE(BB21:BM21)</f>
        <v>0.015</v>
      </c>
    </row>
    <row r="22"/>
    <row r="23">
      <c r="C23" s="147" t="inlineStr">
        <is>
          <t>■ ストック計算（契約社数＝前月契約社数＋当月新規受注－当月解約）</t>
        </is>
      </c>
    </row>
    <row r="24">
      <c r="A24" s="147" t="n"/>
      <c r="B24" s="147" t="n"/>
      <c r="C24" s="155" t="inlineStr">
        <is>
          <t>新規受注数（当月）</t>
        </is>
      </c>
      <c r="D24" s="76" t="inlineStr">
        <is>
          <t>＝当月の累計獲得数(11行)－前月の累計獲得数。税理士獲得ロジック(×35等)は別途検討中のため、既存ファネルを流用</t>
        </is>
      </c>
      <c r="E24" s="76" t="n"/>
      <c r="F24" s="566">
        <f>F11</f>
        <v>0.0</v>
      </c>
      <c r="G24" s="566">
        <f>G11-F11</f>
        <v>4.9</v>
      </c>
      <c r="H24" s="566">
        <f>H11-G11</f>
        <v>22.05</v>
      </c>
      <c r="I24" s="566">
        <f>I11-H11</f>
        <v>22.05</v>
      </c>
      <c r="J24" s="566">
        <f>J11-I11</f>
        <v>19.6</v>
      </c>
      <c r="K24" s="566">
        <f>K11-J11</f>
        <v>24.5</v>
      </c>
      <c r="L24" s="566">
        <f>L11-K11</f>
        <v>24.5</v>
      </c>
      <c r="M24" s="566">
        <f>M11-L11</f>
        <v>24.5</v>
      </c>
      <c r="N24" s="566">
        <f>N11-M11</f>
        <v>29.4</v>
      </c>
      <c r="O24" s="566">
        <f>O11-N11</f>
        <v>26.95</v>
      </c>
      <c r="P24" s="566">
        <f>P11-O11</f>
        <v>26.95</v>
      </c>
      <c r="Q24" s="566">
        <f>Q11-P11</f>
        <v>31.85</v>
      </c>
      <c r="R24" s="567">
        <f>R11-Q11</f>
        <v>29.4</v>
      </c>
      <c r="S24" s="566">
        <f>S11-R11</f>
        <v>29.4</v>
      </c>
      <c r="T24" s="566">
        <f>T11-S11</f>
        <v>34.3</v>
      </c>
      <c r="U24" s="566">
        <f>U11-T11</f>
        <v>31.85</v>
      </c>
      <c r="V24" s="566">
        <f>V11-U11</f>
        <v>31.85</v>
      </c>
      <c r="W24" s="566">
        <f>W11-V11</f>
        <v>36.75</v>
      </c>
      <c r="X24" s="566">
        <f>X11-W11</f>
        <v>34.3</v>
      </c>
      <c r="Y24" s="566">
        <f>Y11-X11</f>
        <v>34.3</v>
      </c>
      <c r="Z24" s="566">
        <f>Z11-Y11</f>
        <v>39.1999999999999</v>
      </c>
      <c r="AA24" s="566">
        <f>AA11-Z11</f>
        <v>36.75</v>
      </c>
      <c r="AB24" s="566">
        <f>AB11-AA11</f>
        <v>36.75</v>
      </c>
      <c r="AC24" s="566">
        <f>AC11-AB11</f>
        <v>39.2</v>
      </c>
      <c r="AD24" s="566">
        <f>AD11-AC11</f>
        <v>44.1</v>
      </c>
      <c r="AE24" s="566">
        <f>AE11-AD11</f>
        <v>41.65</v>
      </c>
      <c r="AF24" s="566">
        <f>AF11-AE11</f>
        <v>46.55</v>
      </c>
      <c r="AG24" s="566">
        <f>AG11-AF11</f>
        <v>44.1</v>
      </c>
      <c r="AH24" s="566">
        <f>AH11-AG11</f>
        <v>46.5500000000001</v>
      </c>
      <c r="AI24" s="566">
        <f>AI11-AH11</f>
        <v>46.55</v>
      </c>
      <c r="AJ24" s="566">
        <f>AJ11-AI11</f>
        <v>49.0</v>
      </c>
      <c r="AK24" s="566">
        <f>AK11-AJ11</f>
        <v>46.55</v>
      </c>
      <c r="AL24" s="566">
        <f>AL11-AK11</f>
        <v>51.45</v>
      </c>
      <c r="AM24" s="566">
        <f>AM11-AL11</f>
        <v>49.0</v>
      </c>
      <c r="AN24" s="566">
        <f>AN11-AM11</f>
        <v>49.0</v>
      </c>
      <c r="AO24" s="566">
        <f>AO11-AN11</f>
        <v>53.8999999999999</v>
      </c>
      <c r="AP24" s="566">
        <f>AP11-AO11</f>
        <v>51.45</v>
      </c>
      <c r="AQ24" s="566">
        <f>AQ11-AP11</f>
        <v>51.45</v>
      </c>
      <c r="AR24" s="566">
        <f>AR11-AQ11</f>
        <v>53.9000000000001</v>
      </c>
      <c r="AS24" s="566">
        <f>AS11-AR11</f>
        <v>53.8999999999999</v>
      </c>
      <c r="AT24" s="566">
        <f>AT11-AS11</f>
        <v>53.9000000000001</v>
      </c>
      <c r="AU24" s="566">
        <f>AU11-AT11</f>
        <v>56.3499999999999</v>
      </c>
      <c r="AV24" s="566">
        <f>AV11-AU11</f>
        <v>56.3500000000001</v>
      </c>
      <c r="AW24" s="566">
        <f>AW11-AV11</f>
        <v>56.3499999999999</v>
      </c>
      <c r="AX24" s="566">
        <f>AX11-AW11</f>
        <v>58.8</v>
      </c>
      <c r="AY24" s="566">
        <f>AY11-AX11</f>
        <v>56.3500000000001</v>
      </c>
      <c r="AZ24" s="566">
        <f>AZ11-AY11</f>
        <v>58.8</v>
      </c>
      <c r="BA24" s="566">
        <f>BA11-AZ11</f>
        <v>58.8</v>
      </c>
      <c r="BB24" s="566">
        <f>BB11-BA11</f>
        <v>71.05</v>
      </c>
      <c r="BC24" s="566">
        <f>BC11-BB11</f>
        <v>68.5999999999999</v>
      </c>
      <c r="BD24" s="566">
        <f>BD11-BC11</f>
        <v>71.05</v>
      </c>
      <c r="BE24" s="566">
        <f>BE11-BD11</f>
        <v>71.0500000000002</v>
      </c>
      <c r="BF24" s="566">
        <f>BF11-BE11</f>
        <v>71.0499999999997</v>
      </c>
      <c r="BG24" s="566">
        <f>BG11-BF11</f>
        <v>75.9500000000003</v>
      </c>
      <c r="BH24" s="566">
        <f>BH11-BG11</f>
        <v>73.5</v>
      </c>
      <c r="BI24" s="566">
        <f>BI11-BH11</f>
        <v>73.5</v>
      </c>
      <c r="BJ24" s="566">
        <f>BJ11-BI11</f>
        <v>75.9499999999998</v>
      </c>
      <c r="BK24" s="566">
        <f>BK11-BJ11</f>
        <v>75.9500000000003</v>
      </c>
      <c r="BL24" s="566">
        <f>BL11-BK11</f>
        <v>75.9499999999998</v>
      </c>
      <c r="BM24" s="566">
        <f>BM11-BL11</f>
        <v>78.4000000000001</v>
      </c>
      <c r="BN24" s="568">
        <f>SUM(F24:Q24)</f>
        <v>257.25</v>
      </c>
      <c r="BO24" s="566">
        <f>SUM(R24:AC24)</f>
        <v>414.05</v>
      </c>
      <c r="BP24" s="566">
        <f>SUM(AD24:AO24)</f>
        <v>568.4</v>
      </c>
      <c r="BQ24" s="566">
        <f>SUM(AP24:BA24)</f>
        <v>666.4</v>
      </c>
      <c r="BR24" s="566">
        <f>SUM(BB24:BM24)</f>
        <v>882.0</v>
      </c>
    </row>
    <row r="25">
      <c r="A25" s="147" t="n"/>
      <c r="B25" s="147" t="n"/>
      <c r="C25" s="155" t="inlineStr">
        <is>
          <t>期末契約社数（ストック）</t>
        </is>
      </c>
      <c r="D25" s="76" t="inlineStr">
        <is>
          <t>＝前月末契約社数＋新規受注数－解約予想数。売上＝本行×単価</t>
        </is>
      </c>
      <c r="E25" s="76" t="n"/>
      <c r="F25" s="566">
        <f>F24-F20</f>
        <v>0.0</v>
      </c>
      <c r="G25" s="566">
        <f>F25+G24-G20</f>
        <v>4.9</v>
      </c>
      <c r="H25" s="566">
        <f>G25+H24-H20</f>
        <v>26.852</v>
      </c>
      <c r="I25" s="566">
        <f>H25+I24-I20</f>
        <v>48.36496</v>
      </c>
      <c r="J25" s="566">
        <f>I25+J24-J20</f>
        <v>66.9976608</v>
      </c>
      <c r="K25" s="566">
        <f>J25+K24-K20</f>
        <v>90.157707584</v>
      </c>
      <c r="L25" s="566">
        <f>K25+L24-L20</f>
        <v>112.85455343232</v>
      </c>
      <c r="M25" s="566">
        <f>L25+M24-M20</f>
        <v>135.097462363674</v>
      </c>
      <c r="N25" s="566">
        <f>M25+N24-N20</f>
        <v>161.7955131164</v>
      </c>
      <c r="O25" s="566">
        <f>N25+O24-O20</f>
        <v>185.509602854072</v>
      </c>
      <c r="P25" s="566">
        <f>O25+P24-P20</f>
        <v>208.749410796991</v>
      </c>
      <c r="Q25" s="566">
        <f>P25+Q24-Q20</f>
        <v>236.424422581051</v>
      </c>
      <c r="R25" s="567">
        <f>Q25+R24-R20</f>
        <v>261.09593412943</v>
      </c>
      <c r="S25" s="566">
        <f>R25+S24-S20</f>
        <v>285.274015446841</v>
      </c>
      <c r="T25" s="566">
        <f>S25+T24-T20</f>
        <v>313.868535137904</v>
      </c>
      <c r="U25" s="566">
        <f>T25+U24-U20</f>
        <v>339.441164435146</v>
      </c>
      <c r="V25" s="566">
        <f>U25+V24-V20</f>
        <v>364.502341146443</v>
      </c>
      <c r="W25" s="566">
        <f>V25+W24-W20</f>
        <v>393.962294323515</v>
      </c>
      <c r="X25" s="566">
        <f>W25+X24-X20</f>
        <v>420.383048437044</v>
      </c>
      <c r="Y25" s="566">
        <f>X25+Y24-Y20</f>
        <v>446.275387468303</v>
      </c>
      <c r="Z25" s="566">
        <f>Y25+Z24-Z20</f>
        <v>476.549879718937</v>
      </c>
      <c r="AA25" s="566">
        <f>Z25+AA24-AA20</f>
        <v>503.768882124559</v>
      </c>
      <c r="AB25" s="566">
        <f>AA25+AB24-AB20</f>
        <v>530.443504482067</v>
      </c>
      <c r="AC25" s="566">
        <f>AB25+AC24-AC20</f>
        <v>559.034634392426</v>
      </c>
      <c r="AD25" s="566">
        <f>AC25+AD24-AD20</f>
        <v>593.351528290559</v>
      </c>
      <c r="AE25" s="566">
        <f>AD25+AE24-AE20</f>
        <v>624.617876545474</v>
      </c>
      <c r="AF25" s="566">
        <f>AE25+AF24-AF20</f>
        <v>660.237063705928</v>
      </c>
      <c r="AG25" s="566">
        <f>AF25+AG24-AG20</f>
        <v>692.782915091074</v>
      </c>
      <c r="AH25" s="566">
        <f>AG25+AH24-AH20</f>
        <v>727.209214076981</v>
      </c>
      <c r="AI25" s="566">
        <f>AH25+AI24-AI20</f>
        <v>761.033052830633</v>
      </c>
      <c r="AJ25" s="566">
        <f>AI25+AJ24-AJ20</f>
        <v>796.714974406097</v>
      </c>
      <c r="AK25" s="566">
        <f>AJ25+AK24-AK20</f>
        <v>829.322462353991</v>
      </c>
      <c r="AL25" s="566">
        <f>AK25+AL24-AL20</f>
        <v>866.259319262796</v>
      </c>
      <c r="AM25" s="566">
        <f>AL25+AM24-AM20</f>
        <v>900.099781175697</v>
      </c>
      <c r="AN25" s="566">
        <f>AM25+AN24-AN20</f>
        <v>933.348035005122</v>
      </c>
      <c r="AO25" s="566">
        <f>AN25+AO24-AO20</f>
        <v>970.914444392532</v>
      </c>
      <c r="AP25" s="566">
        <f>AO25+AP24-AP20</f>
        <v>1005.37344161566</v>
      </c>
      <c r="AQ25" s="566">
        <f>AP25+AQ24-AQ20</f>
        <v>1039.22940638739</v>
      </c>
      <c r="AR25" s="566">
        <f>AQ25+AR24-AR20</f>
        <v>1074.94289177561</v>
      </c>
      <c r="AS25" s="566">
        <f>AR25+AS24-AS20</f>
        <v>1110.03139116954</v>
      </c>
      <c r="AT25" s="566">
        <f>AS25+AT24-AT20</f>
        <v>1144.50584182407</v>
      </c>
      <c r="AU25" s="566">
        <f>AT25+AU24-AU20</f>
        <v>1180.82698959215</v>
      </c>
      <c r="AV25" s="566">
        <f>AU25+AV24-AV20</f>
        <v>1216.51251727429</v>
      </c>
      <c r="AW25" s="566">
        <f>AV25+AW24-AW20</f>
        <v>1251.57354822199</v>
      </c>
      <c r="AX25" s="566">
        <f>AW25+AX24-AX20</f>
        <v>1288.4710111281</v>
      </c>
      <c r="AY25" s="566">
        <f>AX25+AY24-AY20</f>
        <v>1322.27276843336</v>
      </c>
      <c r="AZ25" s="566">
        <f>AY25+AZ24-AZ20</f>
        <v>1357.93299498578</v>
      </c>
      <c r="BA25" s="566">
        <f>AZ25+BA24-BA20</f>
        <v>1392.96916757352</v>
      </c>
      <c r="BB25" s="566">
        <f>BA25+BB24-BB20</f>
        <v>1443.12463005992</v>
      </c>
      <c r="BC25" s="566">
        <f>BB25+BC24-BC20</f>
        <v>1490.07776060902</v>
      </c>
      <c r="BD25" s="566">
        <f>BC25+BD24-BD20</f>
        <v>1538.77659419989</v>
      </c>
      <c r="BE25" s="566">
        <f>BD25+BE24-BE20</f>
        <v>1586.74494528689</v>
      </c>
      <c r="BF25" s="566">
        <f>BE25+BF24-BF20</f>
        <v>1633.99377110759</v>
      </c>
      <c r="BG25" s="566">
        <f>BF25+BG24-BG20</f>
        <v>1685.43386454097</v>
      </c>
      <c r="BH25" s="566">
        <f>BG25+BH24-BH20</f>
        <v>1733.65235657286</v>
      </c>
      <c r="BI25" s="566">
        <f>BH25+BI24-BI20</f>
        <v>1781.14757122426</v>
      </c>
      <c r="BJ25" s="566">
        <f>BI25+BJ24-BJ20</f>
        <v>1830.3803576559</v>
      </c>
      <c r="BK25" s="566">
        <f>BJ25+BK24-BK20</f>
        <v>1878.87465229106</v>
      </c>
      <c r="BL25" s="566">
        <f>BK25+BL24-BL20</f>
        <v>1926.6415325067</v>
      </c>
      <c r="BM25" s="566">
        <f>BL25+BM24-BM20</f>
        <v>1976.1419095191</v>
      </c>
      <c r="BN25" s="568">
        <f>Q25</f>
        <v>236.424422581051</v>
      </c>
      <c r="BO25" s="566">
        <f>AC25</f>
        <v>559.034634392426</v>
      </c>
      <c r="BP25" s="566">
        <f>AO25</f>
        <v>970.914444392532</v>
      </c>
      <c r="BQ25" s="566">
        <f>BA25</f>
        <v>1392.96916757352</v>
      </c>
      <c r="BR25" s="566">
        <f>BM25</f>
        <v>1976.1419095191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25"/>
  <sheetViews>
    <sheetView topLeftCell="A2" workbookViewId="0">
      <selection activeCell="G5" sqref="G5"/>
    </sheetView>
  </sheetViews>
  <sheetFormatPr baseColWidth="10" defaultRowHeight="20"/>
  <sheetData>
    <row r="1"/>
    <row r="2"/>
    <row r="3"/>
    <row r="4">
      <c r="C4" s="114" t="inlineStr">
        <is>
          <t>■ ⑤ 売掛保証（保証型ファクタリング）※Y1から開拓</t>
        </is>
      </c>
      <c r="D4" s="114" t="inlineStr">
        <is>
          <t>イー・ギャランティ（東証プライム・会計事務所チャネルが本業）等。買取型ファクタリングは扱わない（高手数料・信用リスク）。URIHOは2026/3新規終了</t>
        </is>
      </c>
      <c r="E4" s="74" t="n"/>
      <c r="F4" s="115" t="inlineStr">
        <is>
          <t>Y1_M1</t>
        </is>
      </c>
      <c r="G4" s="115" t="inlineStr">
        <is>
          <t>Y1_M2</t>
        </is>
      </c>
      <c r="H4" s="115" t="inlineStr">
        <is>
          <t>Y1_M3</t>
        </is>
      </c>
      <c r="I4" s="115" t="inlineStr">
        <is>
          <t>Y1_M4</t>
        </is>
      </c>
      <c r="J4" s="115" t="inlineStr">
        <is>
          <t>Y1_M5</t>
        </is>
      </c>
      <c r="K4" s="115" t="inlineStr">
        <is>
          <t>Y1_M6</t>
        </is>
      </c>
      <c r="L4" s="115" t="inlineStr">
        <is>
          <t>Y1_M7</t>
        </is>
      </c>
      <c r="M4" s="115" t="inlineStr">
        <is>
          <t>Y1_M8</t>
        </is>
      </c>
      <c r="N4" s="115" t="inlineStr">
        <is>
          <t>Y1_M9</t>
        </is>
      </c>
      <c r="O4" s="115" t="inlineStr">
        <is>
          <t>Y1_M10</t>
        </is>
      </c>
      <c r="P4" s="115" t="inlineStr">
        <is>
          <t>Y1_M11</t>
        </is>
      </c>
      <c r="Q4" s="115" t="inlineStr">
        <is>
          <t>Y1_M12</t>
        </is>
      </c>
      <c r="R4" s="115" t="inlineStr">
        <is>
          <t>Y2_M1</t>
        </is>
      </c>
      <c r="S4" s="115" t="inlineStr">
        <is>
          <t>Y2_M2</t>
        </is>
      </c>
      <c r="T4" s="115" t="inlineStr">
        <is>
          <t>Y2_M3</t>
        </is>
      </c>
      <c r="U4" s="115" t="inlineStr">
        <is>
          <t>Y2_M4</t>
        </is>
      </c>
      <c r="V4" s="115" t="inlineStr">
        <is>
          <t>Y2_M5</t>
        </is>
      </c>
      <c r="W4" s="115" t="inlineStr">
        <is>
          <t>Y2_M6</t>
        </is>
      </c>
      <c r="X4" s="115" t="inlineStr">
        <is>
          <t>Y2_M7</t>
        </is>
      </c>
      <c r="Y4" s="115" t="inlineStr">
        <is>
          <t>Y2_M8</t>
        </is>
      </c>
      <c r="Z4" s="115" t="inlineStr">
        <is>
          <t>Y2_M9</t>
        </is>
      </c>
      <c r="AA4" s="115" t="inlineStr">
        <is>
          <t>Y2_M10</t>
        </is>
      </c>
      <c r="AB4" s="115" t="inlineStr">
        <is>
          <t>Y2_M11</t>
        </is>
      </c>
      <c r="AC4" s="115" t="inlineStr">
        <is>
          <t>Y2_M12</t>
        </is>
      </c>
      <c r="AD4" s="115" t="inlineStr">
        <is>
          <t>Y3_M1</t>
        </is>
      </c>
      <c r="AE4" s="115" t="inlineStr">
        <is>
          <t>Y3_M2</t>
        </is>
      </c>
      <c r="AF4" s="115" t="inlineStr">
        <is>
          <t>Y3_M3</t>
        </is>
      </c>
      <c r="AG4" s="115" t="inlineStr">
        <is>
          <t>Y3_M4</t>
        </is>
      </c>
      <c r="AH4" s="115" t="inlineStr">
        <is>
          <t>Y3_M5</t>
        </is>
      </c>
      <c r="AI4" s="115" t="inlineStr">
        <is>
          <t>Y3_M6</t>
        </is>
      </c>
      <c r="AJ4" s="115" t="inlineStr">
        <is>
          <t>Y3_M7</t>
        </is>
      </c>
      <c r="AK4" s="115" t="inlineStr">
        <is>
          <t>Y3_M8</t>
        </is>
      </c>
      <c r="AL4" s="115" t="inlineStr">
        <is>
          <t>Y3_M9</t>
        </is>
      </c>
      <c r="AM4" s="115" t="inlineStr">
        <is>
          <t>Y3_M10</t>
        </is>
      </c>
      <c r="AN4" s="115" t="inlineStr">
        <is>
          <t>Y3_M11</t>
        </is>
      </c>
      <c r="AO4" s="115" t="inlineStr">
        <is>
          <t>Y3_M12</t>
        </is>
      </c>
      <c r="AP4" s="115" t="inlineStr">
        <is>
          <t>Y4_M1</t>
        </is>
      </c>
      <c r="AQ4" s="115" t="inlineStr">
        <is>
          <t>Y4_M2</t>
        </is>
      </c>
      <c r="AR4" s="115" t="inlineStr">
        <is>
          <t>Y4_M3</t>
        </is>
      </c>
      <c r="AS4" s="115" t="inlineStr">
        <is>
          <t>Y4_M4</t>
        </is>
      </c>
      <c r="AT4" s="115" t="inlineStr">
        <is>
          <t>Y4_M5</t>
        </is>
      </c>
      <c r="AU4" s="115" t="inlineStr">
        <is>
          <t>Y4_M6</t>
        </is>
      </c>
      <c r="AV4" s="115" t="inlineStr">
        <is>
          <t>Y4_M7</t>
        </is>
      </c>
      <c r="AW4" s="115" t="inlineStr">
        <is>
          <t>Y4_M8</t>
        </is>
      </c>
      <c r="AX4" s="115" t="inlineStr">
        <is>
          <t>Y4_M9</t>
        </is>
      </c>
      <c r="AY4" s="115" t="inlineStr">
        <is>
          <t>Y4_M10</t>
        </is>
      </c>
      <c r="AZ4" s="115" t="inlineStr">
        <is>
          <t>Y4_M11</t>
        </is>
      </c>
      <c r="BA4" s="115" t="inlineStr">
        <is>
          <t>Y4_M12</t>
        </is>
      </c>
      <c r="BB4" s="115" t="inlineStr">
        <is>
          <t>Y5_M1</t>
        </is>
      </c>
      <c r="BC4" s="115" t="inlineStr">
        <is>
          <t>Y5_M2</t>
        </is>
      </c>
      <c r="BD4" s="115" t="inlineStr">
        <is>
          <t>Y5_M3</t>
        </is>
      </c>
      <c r="BE4" s="115" t="inlineStr">
        <is>
          <t>Y5_M4</t>
        </is>
      </c>
      <c r="BF4" s="115" t="inlineStr">
        <is>
          <t>Y5_M5</t>
        </is>
      </c>
      <c r="BG4" s="115" t="inlineStr">
        <is>
          <t>Y5_M6</t>
        </is>
      </c>
      <c r="BH4" s="115" t="inlineStr">
        <is>
          <t>Y5_M7</t>
        </is>
      </c>
      <c r="BI4" s="115" t="inlineStr">
        <is>
          <t>Y5_M8</t>
        </is>
      </c>
      <c r="BJ4" s="115" t="inlineStr">
        <is>
          <t>Y5_M9</t>
        </is>
      </c>
      <c r="BK4" s="115" t="inlineStr">
        <is>
          <t>Y5_M10</t>
        </is>
      </c>
      <c r="BL4" s="115" t="inlineStr">
        <is>
          <t>Y5_M11</t>
        </is>
      </c>
      <c r="BM4" s="115" t="inlineStr">
        <is>
          <t>Y5_M12</t>
        </is>
      </c>
      <c r="BN4" s="116" t="inlineStr">
        <is>
          <t>Y1</t>
        </is>
      </c>
      <c r="BO4" s="116" t="inlineStr">
        <is>
          <t>Y2</t>
        </is>
      </c>
      <c r="BP4" s="116" t="inlineStr">
        <is>
          <t>Y3</t>
        </is>
      </c>
      <c r="BQ4" s="116" t="inlineStr">
        <is>
          <t>Y4</t>
        </is>
      </c>
      <c r="BR4" s="116" t="inlineStr">
        <is>
          <t>Y5</t>
        </is>
      </c>
    </row>
    <row r="5">
      <c r="C5" s="396" t="inlineStr">
        <is>
          <t>売上</t>
        </is>
      </c>
      <c r="F5" s="117">
        <f>F25*F16</f>
        <v>0.0</v>
      </c>
      <c r="G5" s="569">
        <f>G25*G16</f>
        <v>3780.0</v>
      </c>
      <c r="H5" s="569">
        <f>H25*H16</f>
        <v>20714.4</v>
      </c>
      <c r="I5" s="569">
        <f>I25*I16</f>
        <v>37310.112</v>
      </c>
      <c r="J5" s="569">
        <f>J25*J16</f>
        <v>51683.90976</v>
      </c>
      <c r="K5" s="569">
        <f>K25*K16</f>
        <v>69550.2315648</v>
      </c>
      <c r="L5" s="569">
        <f>L25*L16</f>
        <v>87059.226933504</v>
      </c>
      <c r="M5" s="569">
        <f>M25*M16</f>
        <v>104218.042394834</v>
      </c>
      <c r="N5" s="569">
        <f>N25*N16</f>
        <v>124813.681546937</v>
      </c>
      <c r="O5" s="569">
        <f>O25*O16</f>
        <v>143107.407915998</v>
      </c>
      <c r="P5" s="569">
        <f>P25*P16</f>
        <v>161035.259757679</v>
      </c>
      <c r="Q5" s="569">
        <f>Q25*Q16</f>
        <v>182384.554562525</v>
      </c>
      <c r="R5" s="570">
        <f>R25*R16</f>
        <v>201416.863471274</v>
      </c>
      <c r="S5" s="569">
        <f>S25*S16</f>
        <v>220068.526201849</v>
      </c>
      <c r="T5" s="569">
        <f>T25*T16</f>
        <v>242127.155677812</v>
      </c>
      <c r="U5" s="569">
        <f>U25*U16</f>
        <v>261854.612564256</v>
      </c>
      <c r="V5" s="569">
        <f>V25*V16</f>
        <v>281187.520312971</v>
      </c>
      <c r="W5" s="569">
        <f>W25*W16</f>
        <v>303913.769906711</v>
      </c>
      <c r="X5" s="569">
        <f>X25*X16</f>
        <v>324295.494508577</v>
      </c>
      <c r="Y5" s="569">
        <f>Y25*Y16</f>
        <v>344269.584618405</v>
      </c>
      <c r="Z5" s="569">
        <f>Z25*Z16</f>
        <v>367624.192926037</v>
      </c>
      <c r="AA5" s="569">
        <f>AA25*AA16</f>
        <v>388621.709067516</v>
      </c>
      <c r="AB5" s="569">
        <f>AB25*AB16</f>
        <v>409199.274886166</v>
      </c>
      <c r="AC5" s="569">
        <f>AC25*AC16</f>
        <v>431255.289388443</v>
      </c>
      <c r="AD5" s="569">
        <f>AD25*AD16</f>
        <v>457728.321824145</v>
      </c>
      <c r="AE5" s="569">
        <f>AE25*AE16</f>
        <v>481848.076192223</v>
      </c>
      <c r="AF5" s="569">
        <f>AF25*AF16</f>
        <v>509325.734858859</v>
      </c>
      <c r="AG5" s="569">
        <f>AG25*AG16</f>
        <v>534432.534498829</v>
      </c>
      <c r="AH5" s="569">
        <f>AH25*AH16</f>
        <v>560989.965145099</v>
      </c>
      <c r="AI5" s="569">
        <f>AI25*AI16</f>
        <v>587082.64075506</v>
      </c>
      <c r="AJ5" s="569">
        <f>AJ25*AJ16</f>
        <v>614608.694541846</v>
      </c>
      <c r="AK5" s="569">
        <f>AK25*AK16</f>
        <v>639763.042387364</v>
      </c>
      <c r="AL5" s="569">
        <f>AL25*AL16</f>
        <v>668257.189145585</v>
      </c>
      <c r="AM5" s="569">
        <f>AM25*AM16</f>
        <v>694362.688335537</v>
      </c>
      <c r="AN5" s="569">
        <f>AN25*AN16</f>
        <v>720011.341289665</v>
      </c>
      <c r="AO5" s="569">
        <f>AO25*AO16</f>
        <v>748991.142817096</v>
      </c>
      <c r="AP5" s="569">
        <f>AP25*AP16</f>
        <v>775573.797817797</v>
      </c>
      <c r="AQ5" s="569">
        <f>AQ25*AQ16</f>
        <v>801691.256355986</v>
      </c>
      <c r="AR5" s="569">
        <f>AR25*AR16</f>
        <v>829241.659369756</v>
      </c>
      <c r="AS5" s="569">
        <f>AS25*AS16</f>
        <v>856309.930330785</v>
      </c>
      <c r="AT5" s="569">
        <f>AT25*AT16</f>
        <v>882904.506549996</v>
      </c>
      <c r="AU5" s="569">
        <f>AU25*AU16</f>
        <v>910923.677685372</v>
      </c>
      <c r="AV5" s="569">
        <f>AV25*AV16</f>
        <v>938452.513325878</v>
      </c>
      <c r="AW5" s="569">
        <f>AW25*AW16</f>
        <v>965499.594342675</v>
      </c>
      <c r="AX5" s="569">
        <f>AX25*AX16</f>
        <v>993963.351441678</v>
      </c>
      <c r="AY5" s="569">
        <f>AY25*AY16</f>
        <v>1020038.99279145</v>
      </c>
      <c r="AZ5" s="569">
        <f>AZ25*AZ16</f>
        <v>1047548.3104176</v>
      </c>
      <c r="BA5" s="569">
        <f>BA25*BA16</f>
        <v>1074576.21498529</v>
      </c>
      <c r="BB5" s="569">
        <f>BB25*BB16</f>
        <v>1113267.57176051</v>
      </c>
      <c r="BC5" s="569">
        <f>BC25*BC16</f>
        <v>1149488.5581841</v>
      </c>
      <c r="BD5" s="569">
        <f>BD25*BD16</f>
        <v>1187056.22981134</v>
      </c>
      <c r="BE5" s="569">
        <f>BE25*BE16</f>
        <v>1224060.38636417</v>
      </c>
      <c r="BF5" s="569">
        <f>BF25*BF16</f>
        <v>1260509.48056871</v>
      </c>
      <c r="BG5" s="569">
        <f>BG25*BG16</f>
        <v>1300191.83836018</v>
      </c>
      <c r="BH5" s="569">
        <f>BH25*BH16</f>
        <v>1337388.96078478</v>
      </c>
      <c r="BI5" s="569">
        <f>BI25*BI16</f>
        <v>1374028.126373</v>
      </c>
      <c r="BJ5" s="569">
        <f>BJ25*BJ16</f>
        <v>1412007.70447741</v>
      </c>
      <c r="BK5" s="569">
        <f>BK25*BK16</f>
        <v>1449417.58891025</v>
      </c>
      <c r="BL5" s="569">
        <f>BL25*BL16</f>
        <v>1486266.32507659</v>
      </c>
      <c r="BM5" s="569">
        <f>BM25*BM16</f>
        <v>1524452.33020045</v>
      </c>
      <c r="BN5" s="571">
        <f>SUM(F5:Q5)</f>
        <v>985656.826436277</v>
      </c>
      <c r="BO5" s="572">
        <f>SUM(R5:AC5)</f>
        <v>3775833.99353002</v>
      </c>
      <c r="BP5" s="572">
        <f>SUM(AD5:AO5)</f>
        <v>7217401.37179131</v>
      </c>
      <c r="BQ5" s="572">
        <f>SUM(AP5:BA5)</f>
        <v>11096723.8054143</v>
      </c>
      <c r="BR5" s="572">
        <f>SUM(BB5:BM5)</f>
        <v>15818135.1008715</v>
      </c>
    </row>
    <row r="6">
      <c r="C6" s="122" t="inlineStr">
        <is>
          <t>顧問先</t>
        </is>
      </c>
      <c r="D6" s="122" t="n"/>
      <c r="E6" s="122" t="n"/>
      <c r="F6" s="122">
        <f>35*F18</f>
        <v>0.0</v>
      </c>
      <c r="G6" s="122">
        <f>35*G18</f>
        <v>70.0</v>
      </c>
      <c r="H6" s="122">
        <f>35*H18</f>
        <v>385.0</v>
      </c>
      <c r="I6" s="122">
        <f>35*I18</f>
        <v>700.0</v>
      </c>
      <c r="J6" s="122">
        <f>35*J18</f>
        <v>980.0</v>
      </c>
      <c r="K6" s="122">
        <f>35*K18</f>
        <v>1330.0</v>
      </c>
      <c r="L6" s="122">
        <f>35*L18</f>
        <v>1680.0</v>
      </c>
      <c r="M6" s="122">
        <f>35*M18</f>
        <v>2030.0</v>
      </c>
      <c r="N6" s="122">
        <f>35*N18</f>
        <v>2450.0</v>
      </c>
      <c r="O6" s="122">
        <f>35*O18</f>
        <v>2835.0</v>
      </c>
      <c r="P6" s="122">
        <f>35*P18</f>
        <v>3220.0</v>
      </c>
      <c r="Q6" s="122">
        <f>35*Q18</f>
        <v>3675.0</v>
      </c>
      <c r="R6" s="123">
        <f>35*R18</f>
        <v>4095.0</v>
      </c>
      <c r="S6" s="122">
        <f>35*S18</f>
        <v>4515.0</v>
      </c>
      <c r="T6" s="122">
        <f>35*T18</f>
        <v>5005.0</v>
      </c>
      <c r="U6" s="122">
        <f>35*U18</f>
        <v>5460.0</v>
      </c>
      <c r="V6" s="122">
        <f>35*V18</f>
        <v>5915.0</v>
      </c>
      <c r="W6" s="122">
        <f>35*W18</f>
        <v>6440.0</v>
      </c>
      <c r="X6" s="122">
        <f>35*X18</f>
        <v>6930.0</v>
      </c>
      <c r="Y6" s="122">
        <f>35*Y18</f>
        <v>7420.0</v>
      </c>
      <c r="Z6" s="122">
        <f>35*Z18</f>
        <v>7980.0</v>
      </c>
      <c r="AA6" s="122">
        <f>35*AA18</f>
        <v>8505.0</v>
      </c>
      <c r="AB6" s="122">
        <f>35*AB18</f>
        <v>9030.0</v>
      </c>
      <c r="AC6" s="122">
        <f>35*AC18</f>
        <v>9590.0</v>
      </c>
      <c r="AD6" s="122">
        <f>35*AD18</f>
        <v>10220.0</v>
      </c>
      <c r="AE6" s="122">
        <f>35*AE18</f>
        <v>10815.0</v>
      </c>
      <c r="AF6" s="122">
        <f>35*AF18</f>
        <v>11480.0</v>
      </c>
      <c r="AG6" s="122">
        <f>35*AG18</f>
        <v>12110.0</v>
      </c>
      <c r="AH6" s="122">
        <f>35*AH18</f>
        <v>12775.0</v>
      </c>
      <c r="AI6" s="122">
        <f>35*AI18</f>
        <v>13440.0</v>
      </c>
      <c r="AJ6" s="122">
        <f>35*AJ18</f>
        <v>14140.0</v>
      </c>
      <c r="AK6" s="122">
        <f>35*AK18</f>
        <v>14805.0</v>
      </c>
      <c r="AL6" s="122">
        <f>35*AL18</f>
        <v>15540.0</v>
      </c>
      <c r="AM6" s="122">
        <f>35*AM18</f>
        <v>16240.0</v>
      </c>
      <c r="AN6" s="122">
        <f>35*AN18</f>
        <v>16940.0</v>
      </c>
      <c r="AO6" s="122">
        <f>35*AO18</f>
        <v>17710.0</v>
      </c>
      <c r="AP6" s="122">
        <f>35*AP18</f>
        <v>18445.0</v>
      </c>
      <c r="AQ6" s="122">
        <f>35*AQ18</f>
        <v>19180.0</v>
      </c>
      <c r="AR6" s="122">
        <f>35*AR18</f>
        <v>19950.0</v>
      </c>
      <c r="AS6" s="122">
        <f>35*AS18</f>
        <v>20720.0</v>
      </c>
      <c r="AT6" s="122">
        <f>35*AT18</f>
        <v>21490.0</v>
      </c>
      <c r="AU6" s="122">
        <f>35*AU18</f>
        <v>22295.0</v>
      </c>
      <c r="AV6" s="122">
        <f>35*AV18</f>
        <v>23100.0</v>
      </c>
      <c r="AW6" s="122">
        <f>35*AW18</f>
        <v>23905.0</v>
      </c>
      <c r="AX6" s="122">
        <f>35*AX18</f>
        <v>24745.0</v>
      </c>
      <c r="AY6" s="122">
        <f>35*AY18</f>
        <v>25550.0</v>
      </c>
      <c r="AZ6" s="122">
        <f>35*AZ18</f>
        <v>26390.0</v>
      </c>
      <c r="BA6" s="122">
        <f>35*BA18</f>
        <v>27230.0</v>
      </c>
      <c r="BB6" s="122">
        <f>35*BB18</f>
        <v>28245.0</v>
      </c>
      <c r="BC6" s="122">
        <f>35*BC18</f>
        <v>29225.0</v>
      </c>
      <c r="BD6" s="122">
        <f>35*BD18</f>
        <v>30240.0</v>
      </c>
      <c r="BE6" s="122">
        <f>35*BE18</f>
        <v>31255.0</v>
      </c>
      <c r="BF6" s="122">
        <f>35*BF18</f>
        <v>32270.0</v>
      </c>
      <c r="BG6" s="122">
        <f>35*BG18</f>
        <v>33355.0</v>
      </c>
      <c r="BH6" s="122">
        <f>35*BH18</f>
        <v>34405.0</v>
      </c>
      <c r="BI6" s="122">
        <f>35*BI18</f>
        <v>35455.0</v>
      </c>
      <c r="BJ6" s="122">
        <f>35*BJ18</f>
        <v>36540.0</v>
      </c>
      <c r="BK6" s="122">
        <f>35*BK18</f>
        <v>37625.0</v>
      </c>
      <c r="BL6" s="122">
        <f>35*BL18</f>
        <v>38710.0</v>
      </c>
      <c r="BM6" s="122">
        <f>35*BM18</f>
        <v>39830.0</v>
      </c>
      <c r="BN6" s="124">
        <f>35*BN18</f>
        <v>3675.0</v>
      </c>
      <c r="BO6" s="125">
        <f>35*BO18</f>
        <v>9590.0</v>
      </c>
      <c r="BP6" s="125">
        <f>35*BP18</f>
        <v>17710.0</v>
      </c>
      <c r="BQ6" s="125">
        <f>35*BQ18</f>
        <v>27230.0</v>
      </c>
      <c r="BR6" s="125">
        <f>35*BR18</f>
        <v>39830.0</v>
      </c>
    </row>
    <row r="7">
      <c r="C7" s="114" t="inlineStr">
        <is>
          <t>掛売り中心・売掛金2ヶ月超割合</t>
        </is>
      </c>
      <c r="D7" s="114" t="inlineStr">
        <is>
          <t>検出＝売掛金÷月商＞2ヶ月（決算書から自動）。推定</t>
        </is>
      </c>
      <c r="E7" s="114" t="n"/>
      <c r="F7" s="114" t="n">
        <v>0.5</v>
      </c>
      <c r="G7" s="114" t="n">
        <v>0.5</v>
      </c>
      <c r="H7" s="114" t="n">
        <v>0.5</v>
      </c>
      <c r="I7" s="114" t="n">
        <v>0.5</v>
      </c>
      <c r="J7" s="114" t="n">
        <v>0.5</v>
      </c>
      <c r="K7" s="114" t="n">
        <v>0.5</v>
      </c>
      <c r="L7" s="114" t="n">
        <v>0.5</v>
      </c>
      <c r="M7" s="114" t="n">
        <v>0.5</v>
      </c>
      <c r="N7" s="114" t="n">
        <v>0.5</v>
      </c>
      <c r="O7" s="114" t="n">
        <v>0.5</v>
      </c>
      <c r="P7" s="114" t="n">
        <v>0.5</v>
      </c>
      <c r="Q7" s="114" t="n">
        <v>0.5</v>
      </c>
      <c r="R7" s="126" t="n">
        <v>0.5</v>
      </c>
      <c r="S7" s="114" t="n">
        <v>0.5</v>
      </c>
      <c r="T7" s="114" t="n">
        <v>0.5</v>
      </c>
      <c r="U7" s="114" t="n">
        <v>0.5</v>
      </c>
      <c r="V7" s="114" t="n">
        <v>0.5</v>
      </c>
      <c r="W7" s="114" t="n">
        <v>0.5</v>
      </c>
      <c r="X7" s="114" t="n">
        <v>0.5</v>
      </c>
      <c r="Y7" s="114" t="n">
        <v>0.5</v>
      </c>
      <c r="Z7" s="114" t="n">
        <v>0.5</v>
      </c>
      <c r="AA7" s="114" t="n">
        <v>0.5</v>
      </c>
      <c r="AB7" s="114" t="n">
        <v>0.5</v>
      </c>
      <c r="AC7" s="114" t="n">
        <v>0.5</v>
      </c>
      <c r="AD7" s="114" t="n">
        <v>0.5</v>
      </c>
      <c r="AE7" s="114" t="n">
        <v>0.5</v>
      </c>
      <c r="AF7" s="114" t="n">
        <v>0.5</v>
      </c>
      <c r="AG7" s="114" t="n">
        <v>0.5</v>
      </c>
      <c r="AH7" s="114" t="n">
        <v>0.5</v>
      </c>
      <c r="AI7" s="114" t="n">
        <v>0.5</v>
      </c>
      <c r="AJ7" s="114" t="n">
        <v>0.5</v>
      </c>
      <c r="AK7" s="114" t="n">
        <v>0.5</v>
      </c>
      <c r="AL7" s="114" t="n">
        <v>0.5</v>
      </c>
      <c r="AM7" s="114" t="n">
        <v>0.5</v>
      </c>
      <c r="AN7" s="114" t="n">
        <v>0.5</v>
      </c>
      <c r="AO7" s="114" t="n">
        <v>0.5</v>
      </c>
      <c r="AP7" s="114" t="n">
        <v>0.5</v>
      </c>
      <c r="AQ7" s="114" t="n">
        <v>0.5</v>
      </c>
      <c r="AR7" s="114" t="n">
        <v>0.5</v>
      </c>
      <c r="AS7" s="114" t="n">
        <v>0.5</v>
      </c>
      <c r="AT7" s="114" t="n">
        <v>0.5</v>
      </c>
      <c r="AU7" s="114" t="n">
        <v>0.5</v>
      </c>
      <c r="AV7" s="114" t="n">
        <v>0.5</v>
      </c>
      <c r="AW7" s="114" t="n">
        <v>0.5</v>
      </c>
      <c r="AX7" s="114" t="n">
        <v>0.5</v>
      </c>
      <c r="AY7" s="114" t="n">
        <v>0.5</v>
      </c>
      <c r="AZ7" s="114" t="n">
        <v>0.5</v>
      </c>
      <c r="BA7" s="114" t="n">
        <v>0.5</v>
      </c>
      <c r="BB7" s="114" t="n">
        <v>0.5</v>
      </c>
      <c r="BC7" s="114" t="n">
        <v>0.5</v>
      </c>
      <c r="BD7" s="114" t="n">
        <v>0.5</v>
      </c>
      <c r="BE7" s="114" t="n">
        <v>0.5</v>
      </c>
      <c r="BF7" s="114" t="n">
        <v>0.5</v>
      </c>
      <c r="BG7" s="114" t="n">
        <v>0.5</v>
      </c>
      <c r="BH7" s="114" t="n">
        <v>0.5</v>
      </c>
      <c r="BI7" s="114" t="n">
        <v>0.5</v>
      </c>
      <c r="BJ7" s="114" t="n">
        <v>0.5</v>
      </c>
      <c r="BK7" s="114" t="n">
        <v>0.5</v>
      </c>
      <c r="BL7" s="114" t="n">
        <v>0.5</v>
      </c>
      <c r="BM7" s="114" t="n">
        <v>0.5</v>
      </c>
      <c r="BN7" s="124" t="n">
        <v>0.5</v>
      </c>
      <c r="BO7" s="114" t="n">
        <v>0.5</v>
      </c>
      <c r="BP7" s="114" t="n">
        <v>0.5</v>
      </c>
      <c r="BQ7" s="114" t="n">
        <v>0.5</v>
      </c>
      <c r="BR7" s="114" t="n">
        <v>0.5</v>
      </c>
    </row>
    <row r="8">
      <c r="C8" s="114" t="inlineStr">
        <is>
          <t>税理士 ➡ 企業提案</t>
        </is>
      </c>
      <c r="D8" s="114" t="inlineStr">
        <is>
          <t>貸倒＝社長の実痛。1社依存の顧問先に刺さる（北村ヒアリング#08）</t>
        </is>
      </c>
      <c r="E8" s="114" t="n"/>
      <c r="F8" s="114" t="n">
        <v>0.4</v>
      </c>
      <c r="G8" s="114" t="n">
        <v>0.4</v>
      </c>
      <c r="H8" s="114" t="n">
        <v>0.4</v>
      </c>
      <c r="I8" s="114" t="n">
        <v>0.4</v>
      </c>
      <c r="J8" s="114" t="n">
        <v>0.4</v>
      </c>
      <c r="K8" s="114" t="n">
        <v>0.4</v>
      </c>
      <c r="L8" s="114" t="n">
        <v>0.4</v>
      </c>
      <c r="M8" s="114" t="n">
        <v>0.4</v>
      </c>
      <c r="N8" s="114" t="n">
        <v>0.4</v>
      </c>
      <c r="O8" s="114" t="n">
        <v>0.4</v>
      </c>
      <c r="P8" s="114" t="n">
        <v>0.4</v>
      </c>
      <c r="Q8" s="114" t="n">
        <v>0.4</v>
      </c>
      <c r="R8" s="126" t="n">
        <v>0.4</v>
      </c>
      <c r="S8" s="114" t="n">
        <v>0.4</v>
      </c>
      <c r="T8" s="114" t="n">
        <v>0.4</v>
      </c>
      <c r="U8" s="114" t="n">
        <v>0.4</v>
      </c>
      <c r="V8" s="114" t="n">
        <v>0.4</v>
      </c>
      <c r="W8" s="114" t="n">
        <v>0.4</v>
      </c>
      <c r="X8" s="114" t="n">
        <v>0.4</v>
      </c>
      <c r="Y8" s="114" t="n">
        <v>0.4</v>
      </c>
      <c r="Z8" s="114" t="n">
        <v>0.4</v>
      </c>
      <c r="AA8" s="114" t="n">
        <v>0.4</v>
      </c>
      <c r="AB8" s="114" t="n">
        <v>0.4</v>
      </c>
      <c r="AC8" s="114" t="n">
        <v>0.4</v>
      </c>
      <c r="AD8" s="114" t="n">
        <v>0.4</v>
      </c>
      <c r="AE8" s="114" t="n">
        <v>0.4</v>
      </c>
      <c r="AF8" s="114" t="n">
        <v>0.4</v>
      </c>
      <c r="AG8" s="114" t="n">
        <v>0.4</v>
      </c>
      <c r="AH8" s="114" t="n">
        <v>0.4</v>
      </c>
      <c r="AI8" s="114" t="n">
        <v>0.4</v>
      </c>
      <c r="AJ8" s="114" t="n">
        <v>0.4</v>
      </c>
      <c r="AK8" s="114" t="n">
        <v>0.4</v>
      </c>
      <c r="AL8" s="114" t="n">
        <v>0.4</v>
      </c>
      <c r="AM8" s="114" t="n">
        <v>0.4</v>
      </c>
      <c r="AN8" s="114" t="n">
        <v>0.4</v>
      </c>
      <c r="AO8" s="114" t="n">
        <v>0.4</v>
      </c>
      <c r="AP8" s="114" t="n">
        <v>0.4</v>
      </c>
      <c r="AQ8" s="114" t="n">
        <v>0.4</v>
      </c>
      <c r="AR8" s="114" t="n">
        <v>0.4</v>
      </c>
      <c r="AS8" s="114" t="n">
        <v>0.4</v>
      </c>
      <c r="AT8" s="114" t="n">
        <v>0.4</v>
      </c>
      <c r="AU8" s="114" t="n">
        <v>0.4</v>
      </c>
      <c r="AV8" s="114" t="n">
        <v>0.4</v>
      </c>
      <c r="AW8" s="114" t="n">
        <v>0.4</v>
      </c>
      <c r="AX8" s="114" t="n">
        <v>0.4</v>
      </c>
      <c r="AY8" s="114" t="n">
        <v>0.4</v>
      </c>
      <c r="AZ8" s="114" t="n">
        <v>0.4</v>
      </c>
      <c r="BA8" s="114" t="n">
        <v>0.4</v>
      </c>
      <c r="BB8" s="114" t="n">
        <v>0.4</v>
      </c>
      <c r="BC8" s="114" t="n">
        <v>0.4</v>
      </c>
      <c r="BD8" s="114" t="n">
        <v>0.4</v>
      </c>
      <c r="BE8" s="114" t="n">
        <v>0.4</v>
      </c>
      <c r="BF8" s="114" t="n">
        <v>0.4</v>
      </c>
      <c r="BG8" s="114" t="n">
        <v>0.4</v>
      </c>
      <c r="BH8" s="114" t="n">
        <v>0.4</v>
      </c>
      <c r="BI8" s="114" t="n">
        <v>0.4</v>
      </c>
      <c r="BJ8" s="114" t="n">
        <v>0.4</v>
      </c>
      <c r="BK8" s="114" t="n">
        <v>0.4</v>
      </c>
      <c r="BL8" s="114" t="n">
        <v>0.4</v>
      </c>
      <c r="BM8" s="114" t="n">
        <v>0.4</v>
      </c>
      <c r="BN8" s="124" t="n">
        <v>0.4</v>
      </c>
      <c r="BO8" s="114" t="n">
        <v>0.4</v>
      </c>
      <c r="BP8" s="114" t="n">
        <v>0.4</v>
      </c>
      <c r="BQ8" s="114" t="n">
        <v>0.4</v>
      </c>
      <c r="BR8" s="114" t="n">
        <v>0.4</v>
      </c>
    </row>
    <row r="9">
      <c r="C9" s="122" t="inlineStr">
        <is>
          <t>受注率</t>
        </is>
      </c>
      <c r="D9" s="122" t="inlineStr">
        <is>
          <t>保証料コストが発生するため保守。推定</t>
        </is>
      </c>
      <c r="E9" s="122" t="n"/>
      <c r="F9" s="122" t="n">
        <v>0.3</v>
      </c>
      <c r="G9" s="122" t="n">
        <v>0.3</v>
      </c>
      <c r="H9" s="122" t="n">
        <v>0.3</v>
      </c>
      <c r="I9" s="122" t="n">
        <v>0.3</v>
      </c>
      <c r="J9" s="122" t="n">
        <v>0.3</v>
      </c>
      <c r="K9" s="122" t="n">
        <v>0.3</v>
      </c>
      <c r="L9" s="122" t="n">
        <v>0.3</v>
      </c>
      <c r="M9" s="122" t="n">
        <v>0.3</v>
      </c>
      <c r="N9" s="122" t="n">
        <v>0.3</v>
      </c>
      <c r="O9" s="122" t="n">
        <v>0.3</v>
      </c>
      <c r="P9" s="122" t="n">
        <v>0.3</v>
      </c>
      <c r="Q9" s="122" t="n">
        <v>0.3</v>
      </c>
      <c r="R9" s="123" t="n">
        <v>0.3</v>
      </c>
      <c r="S9" s="122" t="n">
        <v>0.3</v>
      </c>
      <c r="T9" s="122" t="n">
        <v>0.3</v>
      </c>
      <c r="U9" s="122" t="n">
        <v>0.3</v>
      </c>
      <c r="V9" s="122" t="n">
        <v>0.3</v>
      </c>
      <c r="W9" s="122" t="n">
        <v>0.3</v>
      </c>
      <c r="X9" s="122" t="n">
        <v>0.3</v>
      </c>
      <c r="Y9" s="122" t="n">
        <v>0.3</v>
      </c>
      <c r="Z9" s="122" t="n">
        <v>0.3</v>
      </c>
      <c r="AA9" s="122" t="n">
        <v>0.3</v>
      </c>
      <c r="AB9" s="122" t="n">
        <v>0.3</v>
      </c>
      <c r="AC9" s="122" t="n">
        <v>0.3</v>
      </c>
      <c r="AD9" s="122" t="n">
        <v>0.3</v>
      </c>
      <c r="AE9" s="122" t="n">
        <v>0.3</v>
      </c>
      <c r="AF9" s="122" t="n">
        <v>0.3</v>
      </c>
      <c r="AG9" s="122" t="n">
        <v>0.3</v>
      </c>
      <c r="AH9" s="122" t="n">
        <v>0.3</v>
      </c>
      <c r="AI9" s="122" t="n">
        <v>0.3</v>
      </c>
      <c r="AJ9" s="122" t="n">
        <v>0.3</v>
      </c>
      <c r="AK9" s="122" t="n">
        <v>0.3</v>
      </c>
      <c r="AL9" s="122" t="n">
        <v>0.3</v>
      </c>
      <c r="AM9" s="122" t="n">
        <v>0.3</v>
      </c>
      <c r="AN9" s="122" t="n">
        <v>0.3</v>
      </c>
      <c r="AO9" s="122" t="n">
        <v>0.3</v>
      </c>
      <c r="AP9" s="122" t="n">
        <v>0.3</v>
      </c>
      <c r="AQ9" s="122" t="n">
        <v>0.3</v>
      </c>
      <c r="AR9" s="122" t="n">
        <v>0.3</v>
      </c>
      <c r="AS9" s="122" t="n">
        <v>0.3</v>
      </c>
      <c r="AT9" s="122" t="n">
        <v>0.3</v>
      </c>
      <c r="AU9" s="122" t="n">
        <v>0.3</v>
      </c>
      <c r="AV9" s="122" t="n">
        <v>0.3</v>
      </c>
      <c r="AW9" s="122" t="n">
        <v>0.3</v>
      </c>
      <c r="AX9" s="122" t="n">
        <v>0.3</v>
      </c>
      <c r="AY9" s="122" t="n">
        <v>0.3</v>
      </c>
      <c r="AZ9" s="122" t="n">
        <v>0.3</v>
      </c>
      <c r="BA9" s="122" t="n">
        <v>0.3</v>
      </c>
      <c r="BB9" s="122" t="n">
        <v>0.3</v>
      </c>
      <c r="BC9" s="122" t="n">
        <v>0.3</v>
      </c>
      <c r="BD9" s="122" t="n">
        <v>0.3</v>
      </c>
      <c r="BE9" s="122" t="n">
        <v>0.3</v>
      </c>
      <c r="BF9" s="122" t="n">
        <v>0.3</v>
      </c>
      <c r="BG9" s="122" t="n">
        <v>0.3</v>
      </c>
      <c r="BH9" s="122" t="n">
        <v>0.3</v>
      </c>
      <c r="BI9" s="122" t="n">
        <v>0.3</v>
      </c>
      <c r="BJ9" s="122" t="n">
        <v>0.3</v>
      </c>
      <c r="BK9" s="122" t="n">
        <v>0.3</v>
      </c>
      <c r="BL9" s="122" t="n">
        <v>0.3</v>
      </c>
      <c r="BM9" s="122" t="n">
        <v>0.3</v>
      </c>
      <c r="BN9" s="124" t="n">
        <v>0.3</v>
      </c>
      <c r="BO9" s="125" t="n">
        <v>0.3</v>
      </c>
      <c r="BP9" s="125" t="n">
        <v>0.3</v>
      </c>
      <c r="BQ9" s="125" t="n">
        <v>0.3</v>
      </c>
      <c r="BR9" s="125" t="n">
        <v>0.3</v>
      </c>
    </row>
    <row r="10">
      <c r="C10" s="114" t="inlineStr">
        <is>
          <t>定常浸透率</t>
        </is>
      </c>
      <c r="D10" s="114" t="inlineStr">
        <is>
          <t>保証は見直し・解約あり。推定</t>
        </is>
      </c>
      <c r="E10" s="114" t="n"/>
      <c r="F10" s="114" t="n">
        <v>0.6</v>
      </c>
      <c r="G10" s="114" t="n">
        <v>0.6</v>
      </c>
      <c r="H10" s="114" t="n">
        <v>0.6</v>
      </c>
      <c r="I10" s="114" t="n">
        <v>0.6</v>
      </c>
      <c r="J10" s="114" t="n">
        <v>0.6</v>
      </c>
      <c r="K10" s="114" t="n">
        <v>0.6</v>
      </c>
      <c r="L10" s="114" t="n">
        <v>0.6</v>
      </c>
      <c r="M10" s="114" t="n">
        <v>0.6</v>
      </c>
      <c r="N10" s="114" t="n">
        <v>0.6</v>
      </c>
      <c r="O10" s="114" t="n">
        <v>0.6</v>
      </c>
      <c r="P10" s="114" t="n">
        <v>0.6</v>
      </c>
      <c r="Q10" s="114" t="n">
        <v>0.6</v>
      </c>
      <c r="R10" s="126" t="n">
        <v>0.6</v>
      </c>
      <c r="S10" s="114" t="n">
        <v>0.6</v>
      </c>
      <c r="T10" s="114" t="n">
        <v>0.6</v>
      </c>
      <c r="U10" s="114" t="n">
        <v>0.6</v>
      </c>
      <c r="V10" s="114" t="n">
        <v>0.6</v>
      </c>
      <c r="W10" s="114" t="n">
        <v>0.6</v>
      </c>
      <c r="X10" s="114" t="n">
        <v>0.6</v>
      </c>
      <c r="Y10" s="114" t="n">
        <v>0.6</v>
      </c>
      <c r="Z10" s="114" t="n">
        <v>0.6</v>
      </c>
      <c r="AA10" s="114" t="n">
        <v>0.6</v>
      </c>
      <c r="AB10" s="114" t="n">
        <v>0.6</v>
      </c>
      <c r="AC10" s="114" t="n">
        <v>0.6</v>
      </c>
      <c r="AD10" s="114" t="n">
        <v>0.6</v>
      </c>
      <c r="AE10" s="114" t="n">
        <v>0.6</v>
      </c>
      <c r="AF10" s="114" t="n">
        <v>0.6</v>
      </c>
      <c r="AG10" s="114" t="n">
        <v>0.6</v>
      </c>
      <c r="AH10" s="114" t="n">
        <v>0.6</v>
      </c>
      <c r="AI10" s="114" t="n">
        <v>0.6</v>
      </c>
      <c r="AJ10" s="114" t="n">
        <v>0.6</v>
      </c>
      <c r="AK10" s="114" t="n">
        <v>0.6</v>
      </c>
      <c r="AL10" s="114" t="n">
        <v>0.6</v>
      </c>
      <c r="AM10" s="114" t="n">
        <v>0.6</v>
      </c>
      <c r="AN10" s="114" t="n">
        <v>0.6</v>
      </c>
      <c r="AO10" s="114" t="n">
        <v>0.6</v>
      </c>
      <c r="AP10" s="114" t="n">
        <v>0.6</v>
      </c>
      <c r="AQ10" s="114" t="n">
        <v>0.6</v>
      </c>
      <c r="AR10" s="114" t="n">
        <v>0.6</v>
      </c>
      <c r="AS10" s="114" t="n">
        <v>0.6</v>
      </c>
      <c r="AT10" s="114" t="n">
        <v>0.6</v>
      </c>
      <c r="AU10" s="114" t="n">
        <v>0.6</v>
      </c>
      <c r="AV10" s="114" t="n">
        <v>0.6</v>
      </c>
      <c r="AW10" s="114" t="n">
        <v>0.6</v>
      </c>
      <c r="AX10" s="114" t="n">
        <v>0.6</v>
      </c>
      <c r="AY10" s="114" t="n">
        <v>0.6</v>
      </c>
      <c r="AZ10" s="114" t="n">
        <v>0.6</v>
      </c>
      <c r="BA10" s="114" t="n">
        <v>0.6</v>
      </c>
      <c r="BB10" s="114" t="n">
        <v>0.6</v>
      </c>
      <c r="BC10" s="114" t="n">
        <v>0.6</v>
      </c>
      <c r="BD10" s="114" t="n">
        <v>0.6</v>
      </c>
      <c r="BE10" s="114" t="n">
        <v>0.6</v>
      </c>
      <c r="BF10" s="114" t="n">
        <v>0.6</v>
      </c>
      <c r="BG10" s="114" t="n">
        <v>0.6</v>
      </c>
      <c r="BH10" s="114" t="n">
        <v>0.6</v>
      </c>
      <c r="BI10" s="114" t="n">
        <v>0.6</v>
      </c>
      <c r="BJ10" s="114" t="n">
        <v>0.6</v>
      </c>
      <c r="BK10" s="114" t="n">
        <v>0.6</v>
      </c>
      <c r="BL10" s="114" t="n">
        <v>0.6</v>
      </c>
      <c r="BM10" s="114" t="n">
        <v>0.6</v>
      </c>
      <c r="BN10" s="124" t="n">
        <v>0.6</v>
      </c>
      <c r="BO10" s="114" t="n">
        <v>0.6</v>
      </c>
      <c r="BP10" s="114" t="n">
        <v>0.6</v>
      </c>
      <c r="BQ10" s="114" t="n">
        <v>0.6</v>
      </c>
      <c r="BR10" s="114" t="n">
        <v>0.6</v>
      </c>
    </row>
    <row r="11">
      <c r="C11" s="114" t="inlineStr">
        <is>
          <t>１税理士 / 受注数（定常）（累計獲得数・解約前）</t>
        </is>
      </c>
      <c r="D11" s="114" t="n"/>
      <c r="E11" s="114" t="n"/>
      <c r="F11" s="114">
        <f>PRODUCT(F6:F10)</f>
        <v>0.0</v>
      </c>
      <c r="G11" s="114">
        <f>PRODUCT(G6:G10)</f>
        <v>2.52</v>
      </c>
      <c r="H11" s="114">
        <f>PRODUCT(H6:H10)</f>
        <v>13.86</v>
      </c>
      <c r="I11" s="114">
        <f>PRODUCT(I6:I10)</f>
        <v>25.2</v>
      </c>
      <c r="J11" s="114">
        <f>PRODUCT(J6:J10)</f>
        <v>35.28</v>
      </c>
      <c r="K11" s="114">
        <f>PRODUCT(K6:K10)</f>
        <v>47.88</v>
      </c>
      <c r="L11" s="114">
        <f>PRODUCT(L6:L10)</f>
        <v>60.48</v>
      </c>
      <c r="M11" s="114">
        <f>PRODUCT(M6:M10)</f>
        <v>73.08</v>
      </c>
      <c r="N11" s="114">
        <f>PRODUCT(N6:N10)</f>
        <v>88.2</v>
      </c>
      <c r="O11" s="114">
        <f>PRODUCT(O6:O10)</f>
        <v>102.06</v>
      </c>
      <c r="P11" s="114">
        <f>PRODUCT(P6:P10)</f>
        <v>115.92</v>
      </c>
      <c r="Q11" s="114">
        <f>PRODUCT(Q6:Q10)</f>
        <v>132.3</v>
      </c>
      <c r="R11" s="126">
        <f>PRODUCT(R6:R10)</f>
        <v>147.42</v>
      </c>
      <c r="S11" s="114">
        <f>PRODUCT(S6:S10)</f>
        <v>162.54</v>
      </c>
      <c r="T11" s="114">
        <f>PRODUCT(T6:T10)</f>
        <v>180.18</v>
      </c>
      <c r="U11" s="114">
        <f>PRODUCT(U6:U10)</f>
        <v>196.56</v>
      </c>
      <c r="V11" s="114">
        <f>PRODUCT(V6:V10)</f>
        <v>212.94</v>
      </c>
      <c r="W11" s="114">
        <f>PRODUCT(W6:W10)</f>
        <v>231.84</v>
      </c>
      <c r="X11" s="114">
        <f>PRODUCT(X6:X10)</f>
        <v>249.48</v>
      </c>
      <c r="Y11" s="114">
        <f>PRODUCT(Y6:Y10)</f>
        <v>267.12</v>
      </c>
      <c r="Z11" s="114">
        <f>PRODUCT(Z6:Z10)</f>
        <v>287.28</v>
      </c>
      <c r="AA11" s="114">
        <f>PRODUCT(AA6:AA10)</f>
        <v>306.18</v>
      </c>
      <c r="AB11" s="114">
        <f>PRODUCT(AB6:AB10)</f>
        <v>325.08</v>
      </c>
      <c r="AC11" s="114">
        <f>PRODUCT(AC6:AC10)</f>
        <v>345.24</v>
      </c>
      <c r="AD11" s="114">
        <f>PRODUCT(AD6:AD10)</f>
        <v>367.92</v>
      </c>
      <c r="AE11" s="114">
        <f>PRODUCT(AE6:AE10)</f>
        <v>389.34</v>
      </c>
      <c r="AF11" s="114">
        <f>PRODUCT(AF6:AF10)</f>
        <v>413.28</v>
      </c>
      <c r="AG11" s="114">
        <f>PRODUCT(AG6:AG10)</f>
        <v>435.96</v>
      </c>
      <c r="AH11" s="114">
        <f>PRODUCT(AH6:AH10)</f>
        <v>459.9</v>
      </c>
      <c r="AI11" s="114">
        <f>PRODUCT(AI6:AI10)</f>
        <v>483.84</v>
      </c>
      <c r="AJ11" s="114">
        <f>PRODUCT(AJ6:AJ10)</f>
        <v>509.04</v>
      </c>
      <c r="AK11" s="114">
        <f>PRODUCT(AK6:AK10)</f>
        <v>532.98</v>
      </c>
      <c r="AL11" s="114">
        <f>PRODUCT(AL6:AL10)</f>
        <v>559.44</v>
      </c>
      <c r="AM11" s="114">
        <f>PRODUCT(AM6:AM10)</f>
        <v>584.64</v>
      </c>
      <c r="AN11" s="114">
        <f>PRODUCT(AN6:AN10)</f>
        <v>609.84</v>
      </c>
      <c r="AO11" s="114">
        <f>PRODUCT(AO6:AO10)</f>
        <v>637.56</v>
      </c>
      <c r="AP11" s="114">
        <f>PRODUCT(AP6:AP10)</f>
        <v>664.02</v>
      </c>
      <c r="AQ11" s="114">
        <f>PRODUCT(AQ6:AQ10)</f>
        <v>690.48</v>
      </c>
      <c r="AR11" s="114">
        <f>PRODUCT(AR6:AR10)</f>
        <v>718.2</v>
      </c>
      <c r="AS11" s="114">
        <f>PRODUCT(AS6:AS10)</f>
        <v>745.92</v>
      </c>
      <c r="AT11" s="114">
        <f>PRODUCT(AT6:AT10)</f>
        <v>773.64</v>
      </c>
      <c r="AU11" s="114">
        <f>PRODUCT(AU6:AU10)</f>
        <v>802.62</v>
      </c>
      <c r="AV11" s="114">
        <f>PRODUCT(AV6:AV10)</f>
        <v>831.6</v>
      </c>
      <c r="AW11" s="114">
        <f>PRODUCT(AW6:AW10)</f>
        <v>860.58</v>
      </c>
      <c r="AX11" s="114">
        <f>PRODUCT(AX6:AX10)</f>
        <v>890.82</v>
      </c>
      <c r="AY11" s="114">
        <f>PRODUCT(AY6:AY10)</f>
        <v>919.8</v>
      </c>
      <c r="AZ11" s="114">
        <f>PRODUCT(AZ6:AZ10)</f>
        <v>950.04</v>
      </c>
      <c r="BA11" s="114">
        <f>PRODUCT(BA6:BA10)</f>
        <v>980.28</v>
      </c>
      <c r="BB11" s="114">
        <f>PRODUCT(BB6:BB10)</f>
        <v>1016.82</v>
      </c>
      <c r="BC11" s="114">
        <f>PRODUCT(BC6:BC10)</f>
        <v>1052.1</v>
      </c>
      <c r="BD11" s="114">
        <f>PRODUCT(BD6:BD10)</f>
        <v>1088.64</v>
      </c>
      <c r="BE11" s="114">
        <f>PRODUCT(BE6:BE10)</f>
        <v>1125.18</v>
      </c>
      <c r="BF11" s="114">
        <f>PRODUCT(BF6:BF10)</f>
        <v>1161.72</v>
      </c>
      <c r="BG11" s="114">
        <f>PRODUCT(BG6:BG10)</f>
        <v>1200.78</v>
      </c>
      <c r="BH11" s="114">
        <f>PRODUCT(BH6:BH10)</f>
        <v>1238.58</v>
      </c>
      <c r="BI11" s="114">
        <f>PRODUCT(BI6:BI10)</f>
        <v>1276.38</v>
      </c>
      <c r="BJ11" s="114">
        <f>PRODUCT(BJ6:BJ10)</f>
        <v>1315.44</v>
      </c>
      <c r="BK11" s="114">
        <f>PRODUCT(BK6:BK10)</f>
        <v>1354.5</v>
      </c>
      <c r="BL11" s="114">
        <f>PRODUCT(BL6:BL10)</f>
        <v>1393.56</v>
      </c>
      <c r="BM11" s="114">
        <f>PRODUCT(BM6:BM10)</f>
        <v>1433.88</v>
      </c>
      <c r="BN11" s="124">
        <f>PRODUCT(BN6:BN10)</f>
        <v>132.3</v>
      </c>
      <c r="BO11" s="114">
        <f>PRODUCT(BO6:BO10)</f>
        <v>345.24</v>
      </c>
      <c r="BP11" s="114">
        <f>PRODUCT(BP6:BP10)</f>
        <v>637.56</v>
      </c>
      <c r="BQ11" s="114">
        <f>PRODUCT(BQ6:BQ10)</f>
        <v>980.28</v>
      </c>
      <c r="BR11" s="114">
        <f>PRODUCT(BR6:BR10)</f>
        <v>1433.88</v>
      </c>
    </row>
    <row r="12">
      <c r="C12" s="114" t="inlineStr">
        <is>
          <t>想定保証料（月/社）</t>
        </is>
      </c>
      <c r="D12" s="114" t="inlineStr">
        <is>
          <t>保証枠×年率1〜3%の相場から。推定</t>
        </is>
      </c>
      <c r="E12" s="114" t="n"/>
      <c r="F12" s="114" t="n">
        <v>30000</v>
      </c>
      <c r="G12" s="114" t="n">
        <v>30000</v>
      </c>
      <c r="H12" s="114" t="n">
        <v>30000</v>
      </c>
      <c r="I12" s="114" t="n">
        <v>30000</v>
      </c>
      <c r="J12" s="114" t="n">
        <v>30000</v>
      </c>
      <c r="K12" s="114" t="n">
        <v>30000</v>
      </c>
      <c r="L12" s="114" t="n">
        <v>30000</v>
      </c>
      <c r="M12" s="114" t="n">
        <v>30000</v>
      </c>
      <c r="N12" s="114" t="n">
        <v>30000</v>
      </c>
      <c r="O12" s="114" t="n">
        <v>30000</v>
      </c>
      <c r="P12" s="114" t="n">
        <v>30000</v>
      </c>
      <c r="Q12" s="114" t="n">
        <v>30000</v>
      </c>
      <c r="R12" s="126" t="n">
        <v>30000</v>
      </c>
      <c r="S12" s="114" t="n">
        <v>30000</v>
      </c>
      <c r="T12" s="114" t="n">
        <v>30000</v>
      </c>
      <c r="U12" s="114" t="n">
        <v>30000</v>
      </c>
      <c r="V12" s="114" t="n">
        <v>30000</v>
      </c>
      <c r="W12" s="114" t="n">
        <v>30000</v>
      </c>
      <c r="X12" s="114" t="n">
        <v>30000</v>
      </c>
      <c r="Y12" s="114" t="n">
        <v>30000</v>
      </c>
      <c r="Z12" s="114" t="n">
        <v>30000</v>
      </c>
      <c r="AA12" s="114" t="n">
        <v>30000</v>
      </c>
      <c r="AB12" s="114" t="n">
        <v>30000</v>
      </c>
      <c r="AC12" s="114" t="n">
        <v>30000</v>
      </c>
      <c r="AD12" s="114" t="n">
        <v>30000</v>
      </c>
      <c r="AE12" s="114" t="n">
        <v>30000</v>
      </c>
      <c r="AF12" s="114" t="n">
        <v>30000</v>
      </c>
      <c r="AG12" s="114" t="n">
        <v>30000</v>
      </c>
      <c r="AH12" s="114" t="n">
        <v>30000</v>
      </c>
      <c r="AI12" s="114" t="n">
        <v>30000</v>
      </c>
      <c r="AJ12" s="114" t="n">
        <v>30000</v>
      </c>
      <c r="AK12" s="114" t="n">
        <v>30000</v>
      </c>
      <c r="AL12" s="114" t="n">
        <v>30000</v>
      </c>
      <c r="AM12" s="114" t="n">
        <v>30000</v>
      </c>
      <c r="AN12" s="114" t="n">
        <v>30000</v>
      </c>
      <c r="AO12" s="114" t="n">
        <v>30000</v>
      </c>
      <c r="AP12" s="114" t="n">
        <v>30000</v>
      </c>
      <c r="AQ12" s="114" t="n">
        <v>30000</v>
      </c>
      <c r="AR12" s="114" t="n">
        <v>30000</v>
      </c>
      <c r="AS12" s="114" t="n">
        <v>30000</v>
      </c>
      <c r="AT12" s="114" t="n">
        <v>30000</v>
      </c>
      <c r="AU12" s="114" t="n">
        <v>30000</v>
      </c>
      <c r="AV12" s="114" t="n">
        <v>30000</v>
      </c>
      <c r="AW12" s="114" t="n">
        <v>30000</v>
      </c>
      <c r="AX12" s="114" t="n">
        <v>30000</v>
      </c>
      <c r="AY12" s="114" t="n">
        <v>30000</v>
      </c>
      <c r="AZ12" s="114" t="n">
        <v>30000</v>
      </c>
      <c r="BA12" s="114" t="n">
        <v>30000</v>
      </c>
      <c r="BB12" s="114" t="n">
        <v>30000</v>
      </c>
      <c r="BC12" s="114" t="n">
        <v>30000</v>
      </c>
      <c r="BD12" s="114" t="n">
        <v>30000</v>
      </c>
      <c r="BE12" s="114" t="n">
        <v>30000</v>
      </c>
      <c r="BF12" s="114" t="n">
        <v>30000</v>
      </c>
      <c r="BG12" s="114" t="n">
        <v>30000</v>
      </c>
      <c r="BH12" s="114" t="n">
        <v>30000</v>
      </c>
      <c r="BI12" s="114" t="n">
        <v>30000</v>
      </c>
      <c r="BJ12" s="114" t="n">
        <v>30000</v>
      </c>
      <c r="BK12" s="114" t="n">
        <v>30000</v>
      </c>
      <c r="BL12" s="114" t="n">
        <v>30000</v>
      </c>
      <c r="BM12" s="114" t="n">
        <v>30000</v>
      </c>
      <c r="BN12" s="124" t="n">
        <v>30000</v>
      </c>
      <c r="BO12" s="114" t="n">
        <v>30000</v>
      </c>
      <c r="BP12" s="114" t="n">
        <v>30000</v>
      </c>
      <c r="BQ12" s="114" t="n">
        <v>30000</v>
      </c>
      <c r="BR12" s="114" t="n">
        <v>30000</v>
      </c>
    </row>
    <row r="13">
      <c r="C13" s="114" t="inlineStr">
        <is>
          <t>代理店手数料率（継続・対保証料）</t>
        </is>
      </c>
      <c r="D13" s="114" t="inlineStr">
        <is>
          <t>非公開＝要交渉。推定</t>
        </is>
      </c>
      <c r="E13" s="114" t="n"/>
      <c r="F13" s="114" t="n">
        <v>0.15</v>
      </c>
      <c r="G13" s="114" t="n">
        <v>0.15</v>
      </c>
      <c r="H13" s="114" t="n">
        <v>0.15</v>
      </c>
      <c r="I13" s="114" t="n">
        <v>0.15</v>
      </c>
      <c r="J13" s="114" t="n">
        <v>0.15</v>
      </c>
      <c r="K13" s="114" t="n">
        <v>0.15</v>
      </c>
      <c r="L13" s="114" t="n">
        <v>0.15</v>
      </c>
      <c r="M13" s="114" t="n">
        <v>0.15</v>
      </c>
      <c r="N13" s="114" t="n">
        <v>0.15</v>
      </c>
      <c r="O13" s="114" t="n">
        <v>0.15</v>
      </c>
      <c r="P13" s="114" t="n">
        <v>0.15</v>
      </c>
      <c r="Q13" s="114" t="n">
        <v>0.15</v>
      </c>
      <c r="R13" s="126" t="n">
        <v>0.15</v>
      </c>
      <c r="S13" s="114" t="n">
        <v>0.15</v>
      </c>
      <c r="T13" s="114" t="n">
        <v>0.15</v>
      </c>
      <c r="U13" s="114" t="n">
        <v>0.15</v>
      </c>
      <c r="V13" s="114" t="n">
        <v>0.15</v>
      </c>
      <c r="W13" s="114" t="n">
        <v>0.15</v>
      </c>
      <c r="X13" s="114" t="n">
        <v>0.15</v>
      </c>
      <c r="Y13" s="114" t="n">
        <v>0.15</v>
      </c>
      <c r="Z13" s="114" t="n">
        <v>0.15</v>
      </c>
      <c r="AA13" s="114" t="n">
        <v>0.15</v>
      </c>
      <c r="AB13" s="114" t="n">
        <v>0.15</v>
      </c>
      <c r="AC13" s="114" t="n">
        <v>0.15</v>
      </c>
      <c r="AD13" s="114" t="n">
        <v>0.15</v>
      </c>
      <c r="AE13" s="114" t="n">
        <v>0.15</v>
      </c>
      <c r="AF13" s="114" t="n">
        <v>0.15</v>
      </c>
      <c r="AG13" s="114" t="n">
        <v>0.15</v>
      </c>
      <c r="AH13" s="114" t="n">
        <v>0.15</v>
      </c>
      <c r="AI13" s="114" t="n">
        <v>0.15</v>
      </c>
      <c r="AJ13" s="114" t="n">
        <v>0.15</v>
      </c>
      <c r="AK13" s="114" t="n">
        <v>0.15</v>
      </c>
      <c r="AL13" s="114" t="n">
        <v>0.15</v>
      </c>
      <c r="AM13" s="114" t="n">
        <v>0.15</v>
      </c>
      <c r="AN13" s="114" t="n">
        <v>0.15</v>
      </c>
      <c r="AO13" s="114" t="n">
        <v>0.15</v>
      </c>
      <c r="AP13" s="114" t="n">
        <v>0.15</v>
      </c>
      <c r="AQ13" s="114" t="n">
        <v>0.15</v>
      </c>
      <c r="AR13" s="114" t="n">
        <v>0.15</v>
      </c>
      <c r="AS13" s="114" t="n">
        <v>0.15</v>
      </c>
      <c r="AT13" s="114" t="n">
        <v>0.15</v>
      </c>
      <c r="AU13" s="114" t="n">
        <v>0.15</v>
      </c>
      <c r="AV13" s="114" t="n">
        <v>0.15</v>
      </c>
      <c r="AW13" s="114" t="n">
        <v>0.15</v>
      </c>
      <c r="AX13" s="114" t="n">
        <v>0.15</v>
      </c>
      <c r="AY13" s="114" t="n">
        <v>0.15</v>
      </c>
      <c r="AZ13" s="114" t="n">
        <v>0.15</v>
      </c>
      <c r="BA13" s="114" t="n">
        <v>0.15</v>
      </c>
      <c r="BB13" s="114" t="n">
        <v>0.15</v>
      </c>
      <c r="BC13" s="114" t="n">
        <v>0.15</v>
      </c>
      <c r="BD13" s="114" t="n">
        <v>0.15</v>
      </c>
      <c r="BE13" s="114" t="n">
        <v>0.15</v>
      </c>
      <c r="BF13" s="114" t="n">
        <v>0.15</v>
      </c>
      <c r="BG13" s="114" t="n">
        <v>0.15</v>
      </c>
      <c r="BH13" s="114" t="n">
        <v>0.15</v>
      </c>
      <c r="BI13" s="114" t="n">
        <v>0.15</v>
      </c>
      <c r="BJ13" s="114" t="n">
        <v>0.15</v>
      </c>
      <c r="BK13" s="114" t="n">
        <v>0.15</v>
      </c>
      <c r="BL13" s="114" t="n">
        <v>0.15</v>
      </c>
      <c r="BM13" s="114" t="n">
        <v>0.15</v>
      </c>
      <c r="BN13" s="124" t="n">
        <v>0.15</v>
      </c>
      <c r="BO13" s="114" t="n">
        <v>0.15</v>
      </c>
      <c r="BP13" s="114" t="n">
        <v>0.15</v>
      </c>
      <c r="BQ13" s="114" t="n">
        <v>0.15</v>
      </c>
      <c r="BR13" s="114" t="n">
        <v>0.15</v>
      </c>
    </row>
    <row r="14">
      <c r="C14" s="114" t="inlineStr">
        <is>
          <t>手数料計（月/社）</t>
        </is>
      </c>
      <c r="D14" s="114" t="n"/>
      <c r="E14" s="114" t="n"/>
      <c r="F14" s="114">
        <f>F12*F13</f>
        <v>4500.0</v>
      </c>
      <c r="G14" s="114">
        <f>G12*G13</f>
        <v>4500.0</v>
      </c>
      <c r="H14" s="114">
        <f>H12*H13</f>
        <v>4500.0</v>
      </c>
      <c r="I14" s="114">
        <f>I12*I13</f>
        <v>4500.0</v>
      </c>
      <c r="J14" s="114">
        <f>J12*J13</f>
        <v>4500.0</v>
      </c>
      <c r="K14" s="114">
        <f>K12*K13</f>
        <v>4500.0</v>
      </c>
      <c r="L14" s="114">
        <f>L12*L13</f>
        <v>4500.0</v>
      </c>
      <c r="M14" s="114">
        <f>M12*M13</f>
        <v>4500.0</v>
      </c>
      <c r="N14" s="114">
        <f>N12*N13</f>
        <v>4500.0</v>
      </c>
      <c r="O14" s="114">
        <f>O12*O13</f>
        <v>4500.0</v>
      </c>
      <c r="P14" s="114">
        <f>P12*P13</f>
        <v>4500.0</v>
      </c>
      <c r="Q14" s="114">
        <f>Q12*Q13</f>
        <v>4500.0</v>
      </c>
      <c r="R14" s="126">
        <f>R12*R13</f>
        <v>4500.0</v>
      </c>
      <c r="S14" s="114">
        <f>S12*S13</f>
        <v>4500.0</v>
      </c>
      <c r="T14" s="114">
        <f>T12*T13</f>
        <v>4500.0</v>
      </c>
      <c r="U14" s="114">
        <f>U12*U13</f>
        <v>4500.0</v>
      </c>
      <c r="V14" s="114">
        <f>V12*V13</f>
        <v>4500.0</v>
      </c>
      <c r="W14" s="114">
        <f>W12*W13</f>
        <v>4500.0</v>
      </c>
      <c r="X14" s="114">
        <f>X12*X13</f>
        <v>4500.0</v>
      </c>
      <c r="Y14" s="114">
        <f>Y12*Y13</f>
        <v>4500.0</v>
      </c>
      <c r="Z14" s="114">
        <f>Z12*Z13</f>
        <v>4500.0</v>
      </c>
      <c r="AA14" s="114">
        <f>AA12*AA13</f>
        <v>4500.0</v>
      </c>
      <c r="AB14" s="114">
        <f>AB12*AB13</f>
        <v>4500.0</v>
      </c>
      <c r="AC14" s="114">
        <f>AC12*AC13</f>
        <v>4500.0</v>
      </c>
      <c r="AD14" s="114">
        <f>AD12*AD13</f>
        <v>4500.0</v>
      </c>
      <c r="AE14" s="114">
        <f>AE12*AE13</f>
        <v>4500.0</v>
      </c>
      <c r="AF14" s="114">
        <f>AF12*AF13</f>
        <v>4500.0</v>
      </c>
      <c r="AG14" s="114">
        <f>AG12*AG13</f>
        <v>4500.0</v>
      </c>
      <c r="AH14" s="114">
        <f>AH12*AH13</f>
        <v>4500.0</v>
      </c>
      <c r="AI14" s="114">
        <f>AI12*AI13</f>
        <v>4500.0</v>
      </c>
      <c r="AJ14" s="114">
        <f>AJ12*AJ13</f>
        <v>4500.0</v>
      </c>
      <c r="AK14" s="114">
        <f>AK12*AK13</f>
        <v>4500.0</v>
      </c>
      <c r="AL14" s="114">
        <f>AL12*AL13</f>
        <v>4500.0</v>
      </c>
      <c r="AM14" s="114">
        <f>AM12*AM13</f>
        <v>4500.0</v>
      </c>
      <c r="AN14" s="114">
        <f>AN12*AN13</f>
        <v>4500.0</v>
      </c>
      <c r="AO14" s="114">
        <f>AO12*AO13</f>
        <v>4500.0</v>
      </c>
      <c r="AP14" s="114">
        <f>AP12*AP13</f>
        <v>4500.0</v>
      </c>
      <c r="AQ14" s="114">
        <f>AQ12*AQ13</f>
        <v>4500.0</v>
      </c>
      <c r="AR14" s="114">
        <f>AR12*AR13</f>
        <v>4500.0</v>
      </c>
      <c r="AS14" s="114">
        <f>AS12*AS13</f>
        <v>4500.0</v>
      </c>
      <c r="AT14" s="114">
        <f>AT12*AT13</f>
        <v>4500.0</v>
      </c>
      <c r="AU14" s="114">
        <f>AU12*AU13</f>
        <v>4500.0</v>
      </c>
      <c r="AV14" s="114">
        <f>AV12*AV13</f>
        <v>4500.0</v>
      </c>
      <c r="AW14" s="114">
        <f>AW12*AW13</f>
        <v>4500.0</v>
      </c>
      <c r="AX14" s="114">
        <f>AX12*AX13</f>
        <v>4500.0</v>
      </c>
      <c r="AY14" s="114">
        <f>AY12*AY13</f>
        <v>4500.0</v>
      </c>
      <c r="AZ14" s="114">
        <f>AZ12*AZ13</f>
        <v>4500.0</v>
      </c>
      <c r="BA14" s="114">
        <f>BA12*BA13</f>
        <v>4500.0</v>
      </c>
      <c r="BB14" s="114">
        <f>BB12*BB13</f>
        <v>4500.0</v>
      </c>
      <c r="BC14" s="114">
        <f>BC12*BC13</f>
        <v>4500.0</v>
      </c>
      <c r="BD14" s="114">
        <f>BD12*BD13</f>
        <v>4500.0</v>
      </c>
      <c r="BE14" s="114">
        <f>BE12*BE13</f>
        <v>4500.0</v>
      </c>
      <c r="BF14" s="114">
        <f>BF12*BF13</f>
        <v>4500.0</v>
      </c>
      <c r="BG14" s="114">
        <f>BG12*BG13</f>
        <v>4500.0</v>
      </c>
      <c r="BH14" s="114">
        <f>BH12*BH13</f>
        <v>4500.0</v>
      </c>
      <c r="BI14" s="114">
        <f>BI12*BI13</f>
        <v>4500.0</v>
      </c>
      <c r="BJ14" s="114">
        <f>BJ12*BJ13</f>
        <v>4500.0</v>
      </c>
      <c r="BK14" s="114">
        <f>BK12*BK13</f>
        <v>4500.0</v>
      </c>
      <c r="BL14" s="114">
        <f>BL12*BL13</f>
        <v>4500.0</v>
      </c>
      <c r="BM14" s="114">
        <f>BM12*BM13</f>
        <v>4500.0</v>
      </c>
      <c r="BN14" s="124">
        <f>BN12*BN13</f>
        <v>4500.0</v>
      </c>
      <c r="BO14" s="114">
        <f>BO12*BO13</f>
        <v>4500.0</v>
      </c>
      <c r="BP14" s="114">
        <f>BP12*BP13</f>
        <v>4500.0</v>
      </c>
      <c r="BQ14" s="114">
        <f>BQ12*BQ13</f>
        <v>4500.0</v>
      </c>
      <c r="BR14" s="114">
        <f>BR12*BR13</f>
        <v>4500.0</v>
      </c>
    </row>
    <row r="15">
      <c r="C15" s="114" t="inlineStr">
        <is>
          <t>内・税理士（月/社）</t>
        </is>
      </c>
      <c r="D15" s="114" t="inlineStr">
        <is>
          <t>配分 税理士2：taXel1</t>
        </is>
      </c>
      <c r="E15" s="114" t="n"/>
      <c r="F15" s="114" t="n">
        <v>3000</v>
      </c>
      <c r="G15" s="114" t="n">
        <v>3000</v>
      </c>
      <c r="H15" s="114" t="n">
        <v>3000</v>
      </c>
      <c r="I15" s="114" t="n">
        <v>3000</v>
      </c>
      <c r="J15" s="114" t="n">
        <v>3000</v>
      </c>
      <c r="K15" s="114" t="n">
        <v>3000</v>
      </c>
      <c r="L15" s="114" t="n">
        <v>3000</v>
      </c>
      <c r="M15" s="114" t="n">
        <v>3000</v>
      </c>
      <c r="N15" s="114" t="n">
        <v>3000</v>
      </c>
      <c r="O15" s="114" t="n">
        <v>3000</v>
      </c>
      <c r="P15" s="114" t="n">
        <v>3000</v>
      </c>
      <c r="Q15" s="114" t="n">
        <v>3000</v>
      </c>
      <c r="R15" s="126" t="n">
        <v>3000</v>
      </c>
      <c r="S15" s="114" t="n">
        <v>3000</v>
      </c>
      <c r="T15" s="114" t="n">
        <v>3000</v>
      </c>
      <c r="U15" s="114" t="n">
        <v>3000</v>
      </c>
      <c r="V15" s="114" t="n">
        <v>3000</v>
      </c>
      <c r="W15" s="114" t="n">
        <v>3000</v>
      </c>
      <c r="X15" s="114" t="n">
        <v>3000</v>
      </c>
      <c r="Y15" s="114" t="n">
        <v>3000</v>
      </c>
      <c r="Z15" s="114" t="n">
        <v>3000</v>
      </c>
      <c r="AA15" s="114" t="n">
        <v>3000</v>
      </c>
      <c r="AB15" s="114" t="n">
        <v>3000</v>
      </c>
      <c r="AC15" s="114" t="n">
        <v>3000</v>
      </c>
      <c r="AD15" s="114" t="n">
        <v>3000</v>
      </c>
      <c r="AE15" s="114" t="n">
        <v>3000</v>
      </c>
      <c r="AF15" s="114" t="n">
        <v>3000</v>
      </c>
      <c r="AG15" s="114" t="n">
        <v>3000</v>
      </c>
      <c r="AH15" s="114" t="n">
        <v>3000</v>
      </c>
      <c r="AI15" s="114" t="n">
        <v>3000</v>
      </c>
      <c r="AJ15" s="114" t="n">
        <v>3000</v>
      </c>
      <c r="AK15" s="114" t="n">
        <v>3000</v>
      </c>
      <c r="AL15" s="114" t="n">
        <v>3000</v>
      </c>
      <c r="AM15" s="114" t="n">
        <v>3000</v>
      </c>
      <c r="AN15" s="114" t="n">
        <v>3000</v>
      </c>
      <c r="AO15" s="114" t="n">
        <v>3000</v>
      </c>
      <c r="AP15" s="114" t="n">
        <v>3000</v>
      </c>
      <c r="AQ15" s="114" t="n">
        <v>3000</v>
      </c>
      <c r="AR15" s="114" t="n">
        <v>3000</v>
      </c>
      <c r="AS15" s="114" t="n">
        <v>3000</v>
      </c>
      <c r="AT15" s="114" t="n">
        <v>3000</v>
      </c>
      <c r="AU15" s="114" t="n">
        <v>3000</v>
      </c>
      <c r="AV15" s="114" t="n">
        <v>3000</v>
      </c>
      <c r="AW15" s="114" t="n">
        <v>3000</v>
      </c>
      <c r="AX15" s="114" t="n">
        <v>3000</v>
      </c>
      <c r="AY15" s="114" t="n">
        <v>3000</v>
      </c>
      <c r="AZ15" s="114" t="n">
        <v>3000</v>
      </c>
      <c r="BA15" s="114" t="n">
        <v>3000</v>
      </c>
      <c r="BB15" s="114" t="n">
        <v>3000</v>
      </c>
      <c r="BC15" s="114" t="n">
        <v>3000</v>
      </c>
      <c r="BD15" s="114" t="n">
        <v>3000</v>
      </c>
      <c r="BE15" s="114" t="n">
        <v>3000</v>
      </c>
      <c r="BF15" s="114" t="n">
        <v>3000</v>
      </c>
      <c r="BG15" s="114" t="n">
        <v>3000</v>
      </c>
      <c r="BH15" s="114" t="n">
        <v>3000</v>
      </c>
      <c r="BI15" s="114" t="n">
        <v>3000</v>
      </c>
      <c r="BJ15" s="114" t="n">
        <v>3000</v>
      </c>
      <c r="BK15" s="114" t="n">
        <v>3000</v>
      </c>
      <c r="BL15" s="114" t="n">
        <v>3000</v>
      </c>
      <c r="BM15" s="114" t="n">
        <v>3000</v>
      </c>
      <c r="BN15" s="124" t="n">
        <v>3000</v>
      </c>
      <c r="BO15" s="114" t="n">
        <v>3000</v>
      </c>
      <c r="BP15" s="114" t="n">
        <v>3000</v>
      </c>
      <c r="BQ15" s="114" t="n">
        <v>3000</v>
      </c>
      <c r="BR15" s="114" t="n">
        <v>3000</v>
      </c>
    </row>
    <row r="16">
      <c r="C16" s="127" t="inlineStr">
        <is>
          <t>内・taXel（月/社）</t>
        </is>
      </c>
      <c r="D16" s="127" t="n"/>
      <c r="E16" s="127" t="inlineStr">
        <is>
          <t>単価</t>
        </is>
      </c>
      <c r="F16" s="573">
        <f>F14-F15</f>
        <v>1500.0</v>
      </c>
      <c r="G16" s="573">
        <f>G14-G15</f>
        <v>1500.0</v>
      </c>
      <c r="H16" s="573">
        <f>H14-H15</f>
        <v>1500.0</v>
      </c>
      <c r="I16" s="573">
        <f>I14-I15</f>
        <v>1500.0</v>
      </c>
      <c r="J16" s="573">
        <f>J14-J15</f>
        <v>1500.0</v>
      </c>
      <c r="K16" s="573">
        <f>K14-K15</f>
        <v>1500.0</v>
      </c>
      <c r="L16" s="573">
        <f>L14-L15</f>
        <v>1500.0</v>
      </c>
      <c r="M16" s="573">
        <f>M14-M15</f>
        <v>1500.0</v>
      </c>
      <c r="N16" s="573">
        <f>N14-N15</f>
        <v>1500.0</v>
      </c>
      <c r="O16" s="573">
        <f>O14-O15</f>
        <v>1500.0</v>
      </c>
      <c r="P16" s="573">
        <f>P14-P15</f>
        <v>1500.0</v>
      </c>
      <c r="Q16" s="573">
        <f>Q14-Q15</f>
        <v>1500.0</v>
      </c>
      <c r="R16" s="574">
        <f>R14-R15</f>
        <v>1500.0</v>
      </c>
      <c r="S16" s="573">
        <f>S14-S15</f>
        <v>1500.0</v>
      </c>
      <c r="T16" s="573">
        <f>T14-T15</f>
        <v>1500.0</v>
      </c>
      <c r="U16" s="573">
        <f>U14-U15</f>
        <v>1500.0</v>
      </c>
      <c r="V16" s="573">
        <f>V14-V15</f>
        <v>1500.0</v>
      </c>
      <c r="W16" s="573">
        <f>W14-W15</f>
        <v>1500.0</v>
      </c>
      <c r="X16" s="573">
        <f>X14-X15</f>
        <v>1500.0</v>
      </c>
      <c r="Y16" s="573">
        <f>Y14-Y15</f>
        <v>1500.0</v>
      </c>
      <c r="Z16" s="573">
        <f>Z14-Z15</f>
        <v>1500.0</v>
      </c>
      <c r="AA16" s="573">
        <f>AA14-AA15</f>
        <v>1500.0</v>
      </c>
      <c r="AB16" s="573">
        <f>AB14-AB15</f>
        <v>1500.0</v>
      </c>
      <c r="AC16" s="573">
        <f>AC14-AC15</f>
        <v>1500.0</v>
      </c>
      <c r="AD16" s="573">
        <f>AD14-AD15</f>
        <v>1500.0</v>
      </c>
      <c r="AE16" s="573">
        <f>AE14-AE15</f>
        <v>1500.0</v>
      </c>
      <c r="AF16" s="573">
        <f>AF14-AF15</f>
        <v>1500.0</v>
      </c>
      <c r="AG16" s="573">
        <f>AG14-AG15</f>
        <v>1500.0</v>
      </c>
      <c r="AH16" s="573">
        <f>AH14-AH15</f>
        <v>1500.0</v>
      </c>
      <c r="AI16" s="573">
        <f>AI14-AI15</f>
        <v>1500.0</v>
      </c>
      <c r="AJ16" s="573">
        <f>AJ14-AJ15</f>
        <v>1500.0</v>
      </c>
      <c r="AK16" s="573">
        <f>AK14-AK15</f>
        <v>1500.0</v>
      </c>
      <c r="AL16" s="573">
        <f>AL14-AL15</f>
        <v>1500.0</v>
      </c>
      <c r="AM16" s="573">
        <f>AM14-AM15</f>
        <v>1500.0</v>
      </c>
      <c r="AN16" s="573">
        <f>AN14-AN15</f>
        <v>1500.0</v>
      </c>
      <c r="AO16" s="573">
        <f>AO14-AO15</f>
        <v>1500.0</v>
      </c>
      <c r="AP16" s="573">
        <f>AP14-AP15</f>
        <v>1500.0</v>
      </c>
      <c r="AQ16" s="573">
        <f>AQ14-AQ15</f>
        <v>1500.0</v>
      </c>
      <c r="AR16" s="573">
        <f>AR14-AR15</f>
        <v>1500.0</v>
      </c>
      <c r="AS16" s="573">
        <f>AS14-AS15</f>
        <v>1500.0</v>
      </c>
      <c r="AT16" s="573">
        <f>AT14-AT15</f>
        <v>1500.0</v>
      </c>
      <c r="AU16" s="573">
        <f>AU14-AU15</f>
        <v>1500.0</v>
      </c>
      <c r="AV16" s="573">
        <f>AV14-AV15</f>
        <v>1500.0</v>
      </c>
      <c r="AW16" s="573">
        <f>AW14-AW15</f>
        <v>1500.0</v>
      </c>
      <c r="AX16" s="573">
        <f>AX14-AX15</f>
        <v>1500.0</v>
      </c>
      <c r="AY16" s="573">
        <f>AY14-AY15</f>
        <v>1500.0</v>
      </c>
      <c r="AZ16" s="573">
        <f>AZ14-AZ15</f>
        <v>1500.0</v>
      </c>
      <c r="BA16" s="573">
        <f>BA14-BA15</f>
        <v>1500.0</v>
      </c>
      <c r="BB16" s="573">
        <f>BB14-BB15</f>
        <v>1500.0</v>
      </c>
      <c r="BC16" s="573">
        <f>BC14-BC15</f>
        <v>1500.0</v>
      </c>
      <c r="BD16" s="573">
        <f>BD14-BD15</f>
        <v>1500.0</v>
      </c>
      <c r="BE16" s="573">
        <f>BE14-BE15</f>
        <v>1500.0</v>
      </c>
      <c r="BF16" s="573">
        <f>BF14-BF15</f>
        <v>1500.0</v>
      </c>
      <c r="BG16" s="573">
        <f>BG14-BG15</f>
        <v>1500.0</v>
      </c>
      <c r="BH16" s="573">
        <f>BH14-BH15</f>
        <v>1500.0</v>
      </c>
      <c r="BI16" s="573">
        <f>BI14-BI15</f>
        <v>1500.0</v>
      </c>
      <c r="BJ16" s="573">
        <f>BJ14-BJ15</f>
        <v>1500.0</v>
      </c>
      <c r="BK16" s="573">
        <f>BK14-BK15</f>
        <v>1500.0</v>
      </c>
      <c r="BL16" s="573">
        <f>BL14-BL15</f>
        <v>1500.0</v>
      </c>
      <c r="BM16" s="573">
        <f>BM14-BM15</f>
        <v>1500.0</v>
      </c>
      <c r="BN16" s="574">
        <f>BN14-BN15</f>
        <v>1500.0</v>
      </c>
      <c r="BO16" s="573">
        <f>BO14-BO15</f>
        <v>1500.0</v>
      </c>
      <c r="BP16" s="573">
        <f>BP14-BP15</f>
        <v>1500.0</v>
      </c>
      <c r="BQ16" s="573">
        <f>BQ14-BQ15</f>
        <v>1500.0</v>
      </c>
      <c r="BR16" s="573">
        <f>BR14-BR15</f>
        <v>1500.0</v>
      </c>
    </row>
    <row r="17">
      <c r="C17" s="114" t="inlineStr">
        <is>
          <t>１税理士 / 紹介費用</t>
        </is>
      </c>
      <c r="D17" s="114" t="inlineStr">
        <is>
          <t>Y2（M13）から開拓</t>
        </is>
      </c>
      <c r="E17" s="114" t="n"/>
      <c r="F17" s="114" t="n">
        <v>0</v>
      </c>
      <c r="G17" s="114" t="n">
        <v>0</v>
      </c>
      <c r="H17" s="114" t="n">
        <v>0</v>
      </c>
      <c r="I17" s="114" t="n">
        <v>0</v>
      </c>
      <c r="J17" s="114" t="n">
        <v>0</v>
      </c>
      <c r="K17" s="114" t="n">
        <v>0</v>
      </c>
      <c r="L17" s="114" t="n">
        <v>0</v>
      </c>
      <c r="M17" s="114" t="n">
        <v>0</v>
      </c>
      <c r="N17" s="114" t="n">
        <v>0</v>
      </c>
      <c r="O17" s="114" t="n">
        <v>0</v>
      </c>
      <c r="P17" s="114" t="n">
        <v>0</v>
      </c>
      <c r="Q17" s="114" t="n">
        <v>0</v>
      </c>
      <c r="R17" s="126">
        <f>R16*R25</f>
        <v>201416.863471274</v>
      </c>
      <c r="S17" s="114">
        <f>S16*S25</f>
        <v>220068.526201849</v>
      </c>
      <c r="T17" s="114">
        <f>T16*T25</f>
        <v>242127.155677812</v>
      </c>
      <c r="U17" s="114">
        <f>U16*U25</f>
        <v>261854.612564256</v>
      </c>
      <c r="V17" s="114">
        <f>V16*V25</f>
        <v>281187.520312971</v>
      </c>
      <c r="W17" s="114">
        <f>W16*W25</f>
        <v>303913.769906711</v>
      </c>
      <c r="X17" s="114">
        <f>X16*X25</f>
        <v>324295.494508577</v>
      </c>
      <c r="Y17" s="114">
        <f>Y16*Y25</f>
        <v>344269.584618405</v>
      </c>
      <c r="Z17" s="114">
        <f>Z16*Z25</f>
        <v>367624.192926037</v>
      </c>
      <c r="AA17" s="114">
        <f>AA16*AA25</f>
        <v>388621.709067516</v>
      </c>
      <c r="AB17" s="114">
        <f>AB16*AB25</f>
        <v>409199.274886166</v>
      </c>
      <c r="AC17" s="114">
        <f>AC16*AC25</f>
        <v>431255.289388443</v>
      </c>
      <c r="AD17" s="114">
        <f>AD16*AD25</f>
        <v>457728.321824145</v>
      </c>
      <c r="AE17" s="114">
        <f>AE16*AE25</f>
        <v>481848.076192223</v>
      </c>
      <c r="AF17" s="114">
        <f>AF16*AF25</f>
        <v>509325.734858859</v>
      </c>
      <c r="AG17" s="114">
        <f>AG16*AG25</f>
        <v>534432.534498829</v>
      </c>
      <c r="AH17" s="114">
        <f>AH16*AH25</f>
        <v>560989.965145099</v>
      </c>
      <c r="AI17" s="114">
        <f>AI16*AI25</f>
        <v>587082.64075506</v>
      </c>
      <c r="AJ17" s="114">
        <f>AJ16*AJ25</f>
        <v>614608.694541846</v>
      </c>
      <c r="AK17" s="114">
        <f>AK16*AK25</f>
        <v>639763.042387364</v>
      </c>
      <c r="AL17" s="114">
        <f>AL16*AL25</f>
        <v>668257.189145585</v>
      </c>
      <c r="AM17" s="114">
        <f>AM16*AM25</f>
        <v>694362.688335537</v>
      </c>
      <c r="AN17" s="114">
        <f>AN16*AN25</f>
        <v>720011.341289665</v>
      </c>
      <c r="AO17" s="114">
        <f>AO16*AO25</f>
        <v>748991.142817096</v>
      </c>
      <c r="AP17" s="114">
        <f>AP16*AP25</f>
        <v>775573.797817797</v>
      </c>
      <c r="AQ17" s="114">
        <f>AQ16*AQ25</f>
        <v>801691.256355986</v>
      </c>
      <c r="AR17" s="114">
        <f>AR16*AR25</f>
        <v>829241.659369756</v>
      </c>
      <c r="AS17" s="114">
        <f>AS16*AS25</f>
        <v>856309.930330785</v>
      </c>
      <c r="AT17" s="114">
        <f>AT16*AT25</f>
        <v>882904.506549996</v>
      </c>
      <c r="AU17" s="114">
        <f>AU16*AU25</f>
        <v>910923.677685372</v>
      </c>
      <c r="AV17" s="114">
        <f>AV16*AV25</f>
        <v>938452.513325878</v>
      </c>
      <c r="AW17" s="114">
        <f>AW16*AW25</f>
        <v>965499.594342675</v>
      </c>
      <c r="AX17" s="114">
        <f>AX16*AX25</f>
        <v>993963.351441678</v>
      </c>
      <c r="AY17" s="114">
        <f>AY16*AY25</f>
        <v>1020038.99279145</v>
      </c>
      <c r="AZ17" s="114">
        <f>AZ16*AZ25</f>
        <v>1047548.3104176</v>
      </c>
      <c r="BA17" s="114">
        <f>BA16*BA25</f>
        <v>1074576.21498529</v>
      </c>
      <c r="BB17" s="114">
        <f>BB16*BB25</f>
        <v>1113267.57176051</v>
      </c>
      <c r="BC17" s="114">
        <f>BC16*BC25</f>
        <v>1149488.5581841</v>
      </c>
      <c r="BD17" s="114">
        <f>BD16*BD25</f>
        <v>1187056.22981134</v>
      </c>
      <c r="BE17" s="114">
        <f>BE16*BE25</f>
        <v>1224060.38636417</v>
      </c>
      <c r="BF17" s="114">
        <f>BF16*BF25</f>
        <v>1260509.48056871</v>
      </c>
      <c r="BG17" s="114">
        <f>BG16*BG25</f>
        <v>1300191.83836018</v>
      </c>
      <c r="BH17" s="114">
        <f>BH16*BH25</f>
        <v>1337388.96078478</v>
      </c>
      <c r="BI17" s="114">
        <f>BI16*BI25</f>
        <v>1374028.126373</v>
      </c>
      <c r="BJ17" s="114">
        <f>BJ16*BJ25</f>
        <v>1412007.70447741</v>
      </c>
      <c r="BK17" s="114">
        <f>BK16*BK25</f>
        <v>1449417.58891025</v>
      </c>
      <c r="BL17" s="114">
        <f>BL16*BL25</f>
        <v>1486266.32507659</v>
      </c>
      <c r="BM17" s="114">
        <f>BM16*BM25</f>
        <v>1524452.33020045</v>
      </c>
      <c r="BN17" s="124">
        <f>SUM(F17:Q17)</f>
        <v>0.0</v>
      </c>
      <c r="BO17" s="114">
        <f>SUM(R17:AC17)</f>
        <v>3775833.99353002</v>
      </c>
      <c r="BP17" s="114">
        <f>SUM(AD17:AO17)</f>
        <v>7217401.37179131</v>
      </c>
      <c r="BQ17" s="114">
        <f>SUM(AP17:BA17)</f>
        <v>11096723.8054143</v>
      </c>
      <c r="BR17" s="114">
        <f>SUM(BB17:BM17)</f>
        <v>15818135.1008715</v>
      </c>
    </row>
    <row r="18">
      <c r="C18" s="128" t="inlineStr">
        <is>
          <t>税理士数＝アカウト数</t>
        </is>
      </c>
      <c r="D18" s="129" t="n"/>
      <c r="E18" s="129" t="n"/>
      <c r="F18" s="575" t="n">
        <v>0</v>
      </c>
      <c r="G18" s="575" t="n">
        <v>2</v>
      </c>
      <c r="H18" s="575" t="n">
        <v>11</v>
      </c>
      <c r="I18" s="575" t="n">
        <v>20</v>
      </c>
      <c r="J18" s="575" t="n">
        <v>28</v>
      </c>
      <c r="K18" s="575" t="n">
        <v>38</v>
      </c>
      <c r="L18" s="575" t="n">
        <v>48</v>
      </c>
      <c r="M18" s="575" t="n">
        <v>58</v>
      </c>
      <c r="N18" s="575" t="n">
        <v>70</v>
      </c>
      <c r="O18" s="575" t="n">
        <v>81</v>
      </c>
      <c r="P18" s="575" t="n">
        <v>92</v>
      </c>
      <c r="Q18" s="575" t="n">
        <v>105</v>
      </c>
      <c r="R18" s="576" t="n">
        <v>117</v>
      </c>
      <c r="S18" s="575" t="n">
        <v>129</v>
      </c>
      <c r="T18" s="575" t="n">
        <v>143</v>
      </c>
      <c r="U18" s="575" t="n">
        <v>156</v>
      </c>
      <c r="V18" s="575" t="n">
        <v>169</v>
      </c>
      <c r="W18" s="575" t="n">
        <v>184</v>
      </c>
      <c r="X18" s="575" t="n">
        <v>198</v>
      </c>
      <c r="Y18" s="575" t="n">
        <v>212</v>
      </c>
      <c r="Z18" s="575" t="n">
        <v>228</v>
      </c>
      <c r="AA18" s="575" t="n">
        <v>243</v>
      </c>
      <c r="AB18" s="575" t="n">
        <v>258</v>
      </c>
      <c r="AC18" s="575" t="n">
        <v>274</v>
      </c>
      <c r="AD18" s="575" t="n">
        <v>292</v>
      </c>
      <c r="AE18" s="575" t="n">
        <v>309</v>
      </c>
      <c r="AF18" s="575" t="n">
        <v>328</v>
      </c>
      <c r="AG18" s="575" t="n">
        <v>346</v>
      </c>
      <c r="AH18" s="575" t="n">
        <v>365</v>
      </c>
      <c r="AI18" s="575" t="n">
        <v>384</v>
      </c>
      <c r="AJ18" s="575" t="n">
        <v>404</v>
      </c>
      <c r="AK18" s="575" t="n">
        <v>423</v>
      </c>
      <c r="AL18" s="575" t="n">
        <v>444</v>
      </c>
      <c r="AM18" s="575" t="n">
        <v>464</v>
      </c>
      <c r="AN18" s="575" t="n">
        <v>484</v>
      </c>
      <c r="AO18" s="575" t="n">
        <v>506</v>
      </c>
      <c r="AP18" s="575" t="n">
        <v>527</v>
      </c>
      <c r="AQ18" s="575" t="n">
        <v>548</v>
      </c>
      <c r="AR18" s="575" t="n">
        <v>570</v>
      </c>
      <c r="AS18" s="575" t="n">
        <v>592</v>
      </c>
      <c r="AT18" s="575" t="n">
        <v>614</v>
      </c>
      <c r="AU18" s="575" t="n">
        <v>637</v>
      </c>
      <c r="AV18" s="575" t="n">
        <v>660</v>
      </c>
      <c r="AW18" s="575" t="n">
        <v>683</v>
      </c>
      <c r="AX18" s="575" t="n">
        <v>707</v>
      </c>
      <c r="AY18" s="575" t="n">
        <v>730</v>
      </c>
      <c r="AZ18" s="575" t="n">
        <v>754</v>
      </c>
      <c r="BA18" s="575" t="n">
        <v>778</v>
      </c>
      <c r="BB18" s="575" t="n">
        <v>807</v>
      </c>
      <c r="BC18" s="575" t="n">
        <v>835</v>
      </c>
      <c r="BD18" s="575" t="n">
        <v>864</v>
      </c>
      <c r="BE18" s="575" t="n">
        <v>893</v>
      </c>
      <c r="BF18" s="575" t="n">
        <v>922</v>
      </c>
      <c r="BG18" s="575" t="n">
        <v>953</v>
      </c>
      <c r="BH18" s="575" t="n">
        <v>983</v>
      </c>
      <c r="BI18" s="575" t="n">
        <v>1013</v>
      </c>
      <c r="BJ18" s="575" t="n">
        <v>1044</v>
      </c>
      <c r="BK18" s="575" t="n">
        <v>1075</v>
      </c>
      <c r="BL18" s="575" t="n">
        <v>1106</v>
      </c>
      <c r="BM18" s="575" t="n">
        <v>1138</v>
      </c>
      <c r="BN18" s="577">
        <f>Q18</f>
        <v>105.0</v>
      </c>
      <c r="BO18" s="575">
        <f>AC18</f>
        <v>274.0</v>
      </c>
      <c r="BP18" s="575">
        <f>AO18</f>
        <v>506.0</v>
      </c>
      <c r="BQ18" s="575">
        <f>BA18</f>
        <v>778.0</v>
      </c>
      <c r="BR18" s="575">
        <f>BM18</f>
        <v>1138.0</v>
      </c>
    </row>
    <row r="19">
      <c r="C19" s="578" t="inlineStr">
        <is>
          <t>新規</t>
        </is>
      </c>
      <c r="D19" s="129" t="n"/>
      <c r="E19" s="578" t="n"/>
      <c r="F19" s="114" t="n">
        <v>0</v>
      </c>
      <c r="G19" s="579" t="n">
        <v>1</v>
      </c>
      <c r="H19" s="579" t="n">
        <v>5</v>
      </c>
      <c r="I19" s="579" t="n">
        <v>5</v>
      </c>
      <c r="J19" s="579" t="n">
        <v>5</v>
      </c>
      <c r="K19" s="579">
        <f>H19+1</f>
        <v>6.0</v>
      </c>
      <c r="L19" s="579">
        <f>I19+1</f>
        <v>6.0</v>
      </c>
      <c r="M19" s="579">
        <f>J19+1</f>
        <v>6.0</v>
      </c>
      <c r="N19" s="579">
        <f>K19+1</f>
        <v>7.0</v>
      </c>
      <c r="O19" s="579">
        <f>L19+1</f>
        <v>7.0</v>
      </c>
      <c r="P19" s="579">
        <f>M19+1</f>
        <v>7.0</v>
      </c>
      <c r="Q19" s="579">
        <f>N19+1</f>
        <v>8.0</v>
      </c>
      <c r="R19" s="580">
        <f>O19+1</f>
        <v>8.0</v>
      </c>
      <c r="S19" s="579">
        <f>P19+1</f>
        <v>8.0</v>
      </c>
      <c r="T19" s="579">
        <f>Q19+1</f>
        <v>9.0</v>
      </c>
      <c r="U19" s="579">
        <f>R19+1</f>
        <v>9.0</v>
      </c>
      <c r="V19" s="579">
        <f>S19+1</f>
        <v>9.0</v>
      </c>
      <c r="W19" s="579">
        <f>T19+1</f>
        <v>10.0</v>
      </c>
      <c r="X19" s="579">
        <f>U19+1</f>
        <v>10.0</v>
      </c>
      <c r="Y19" s="579">
        <f>V19+1</f>
        <v>10.0</v>
      </c>
      <c r="Z19" s="579">
        <f>W19+1</f>
        <v>11.0</v>
      </c>
      <c r="AA19" s="579">
        <f>X19+1</f>
        <v>11.0</v>
      </c>
      <c r="AB19" s="579">
        <f>Y19+1</f>
        <v>11.0</v>
      </c>
      <c r="AC19" s="579">
        <f>Z19+1</f>
        <v>12.0</v>
      </c>
      <c r="AD19" s="579">
        <f>AA19+1</f>
        <v>12.0</v>
      </c>
      <c r="AE19" s="579">
        <f>AB19+1</f>
        <v>12.0</v>
      </c>
      <c r="AF19" s="579">
        <f>AC19+1</f>
        <v>13.0</v>
      </c>
      <c r="AG19" s="579">
        <f>AD19+1</f>
        <v>13.0</v>
      </c>
      <c r="AH19" s="579">
        <f>AE19+1</f>
        <v>13.0</v>
      </c>
      <c r="AI19" s="579">
        <f>AF19+1</f>
        <v>14.0</v>
      </c>
      <c r="AJ19" s="579">
        <f>AG19+1</f>
        <v>14.0</v>
      </c>
      <c r="AK19" s="579">
        <f>AH19+1</f>
        <v>14.0</v>
      </c>
      <c r="AL19" s="579">
        <f>AI19+1</f>
        <v>15.0</v>
      </c>
      <c r="AM19" s="579">
        <f>AJ19+1</f>
        <v>15.0</v>
      </c>
      <c r="AN19" s="579">
        <f>AK19+1</f>
        <v>15.0</v>
      </c>
      <c r="AO19" s="579">
        <f>AL19+1</f>
        <v>16.0</v>
      </c>
      <c r="AP19" s="579">
        <f>AM19+1</f>
        <v>16.0</v>
      </c>
      <c r="AQ19" s="579">
        <f>AN19+1</f>
        <v>16.0</v>
      </c>
      <c r="AR19" s="579">
        <f>AO19+1</f>
        <v>17.0</v>
      </c>
      <c r="AS19" s="579">
        <f>AP19+1</f>
        <v>17.0</v>
      </c>
      <c r="AT19" s="579">
        <f>AQ19+1</f>
        <v>17.0</v>
      </c>
      <c r="AU19" s="579">
        <f>AR19+1</f>
        <v>18.0</v>
      </c>
      <c r="AV19" s="579">
        <f>AS19+1</f>
        <v>18.0</v>
      </c>
      <c r="AW19" s="579">
        <f>AT19+1</f>
        <v>18.0</v>
      </c>
      <c r="AX19" s="579">
        <f>AU19+1</f>
        <v>19.0</v>
      </c>
      <c r="AY19" s="579">
        <f>AV19+1</f>
        <v>19.0</v>
      </c>
      <c r="AZ19" s="579">
        <f>AW19+1</f>
        <v>19.0</v>
      </c>
      <c r="BA19" s="579">
        <f>AX19+1</f>
        <v>20.0</v>
      </c>
      <c r="BB19" s="579">
        <f>AY19+1</f>
        <v>20.0</v>
      </c>
      <c r="BC19" s="579">
        <f>AZ19+1</f>
        <v>20.0</v>
      </c>
      <c r="BD19" s="579">
        <f>BA19+1</f>
        <v>21.0</v>
      </c>
      <c r="BE19" s="579">
        <f>BB19+1</f>
        <v>21.0</v>
      </c>
      <c r="BF19" s="579">
        <f>BC19+1</f>
        <v>21.0</v>
      </c>
      <c r="BG19" s="579">
        <f>BD19+1</f>
        <v>22.0</v>
      </c>
      <c r="BH19" s="579">
        <f>BE19+1</f>
        <v>22.0</v>
      </c>
      <c r="BI19" s="579">
        <f>BF19+1</f>
        <v>22.0</v>
      </c>
      <c r="BJ19" s="579">
        <f>BG19+1</f>
        <v>23.0</v>
      </c>
      <c r="BK19" s="579">
        <f>BH19+1</f>
        <v>23.0</v>
      </c>
      <c r="BL19" s="579">
        <f>BI19+1</f>
        <v>23.0</v>
      </c>
      <c r="BM19" s="579">
        <f>BJ19+1</f>
        <v>24.0</v>
      </c>
      <c r="BN19" s="581">
        <f>SUM(F19:Q19)</f>
        <v>63.0</v>
      </c>
      <c r="BO19" s="579">
        <f>SUM(R19:AC19)</f>
        <v>118.0</v>
      </c>
      <c r="BP19" s="579">
        <f>SUM(AD19:AO19)</f>
        <v>166.0</v>
      </c>
      <c r="BQ19" s="579">
        <f>SUM(AP19:BA19)</f>
        <v>214.0</v>
      </c>
      <c r="BR19" s="579">
        <f>SUM(BB19:BM19)</f>
        <v>262.0</v>
      </c>
    </row>
    <row r="20">
      <c r="C20" s="578" t="inlineStr">
        <is>
          <t>解約予想数</t>
        </is>
      </c>
      <c r="D20" s="129" t="inlineStr">
        <is>
          <t>解約予想数＝前月末契約社数×月次解約率（ストック型）</t>
        </is>
      </c>
      <c r="E20" s="578" t="n"/>
      <c r="F20" s="137" t="n">
        <v>0</v>
      </c>
      <c r="G20" s="137">
        <f>F25*G21</f>
        <v>0.0</v>
      </c>
      <c r="H20" s="137">
        <f>G25*H21</f>
        <v>0.0504</v>
      </c>
      <c r="I20" s="137">
        <f>H25*I21</f>
        <v>0.276192</v>
      </c>
      <c r="J20" s="137">
        <f>I25*J21</f>
        <v>0.49746816</v>
      </c>
      <c r="K20" s="137">
        <f>J25*K21</f>
        <v>0.6891187968</v>
      </c>
      <c r="L20" s="137">
        <f>K25*L21</f>
        <v>0.927336420864</v>
      </c>
      <c r="M20" s="137">
        <f>L25*M21</f>
        <v>1.16078969244672</v>
      </c>
      <c r="N20" s="137">
        <f>M25*N21</f>
        <v>1.38957389859779</v>
      </c>
      <c r="O20" s="137">
        <f>N25*O21</f>
        <v>1.66418242062583</v>
      </c>
      <c r="P20" s="137">
        <f>O25*P21</f>
        <v>1.90809877221331</v>
      </c>
      <c r="Q20" s="137">
        <f>P25*Q21</f>
        <v>2.14713679676905</v>
      </c>
      <c r="R20" s="138">
        <f>Q25*R21</f>
        <v>2.43179406083367</v>
      </c>
      <c r="S20" s="137">
        <f>R25*S21</f>
        <v>2.68555817961699</v>
      </c>
      <c r="T20" s="137">
        <f>S25*T21</f>
        <v>2.93424701602465</v>
      </c>
      <c r="U20" s="137">
        <f>T25*U21</f>
        <v>3.22836207570416</v>
      </c>
      <c r="V20" s="137">
        <f>U25*V21</f>
        <v>3.49139483419008</v>
      </c>
      <c r="W20" s="137">
        <f>V25*W21</f>
        <v>3.74916693750627</v>
      </c>
      <c r="X20" s="137">
        <f>W25*X21</f>
        <v>4.05218359875615</v>
      </c>
      <c r="Y20" s="137">
        <f>X25*Y21</f>
        <v>4.32393992678103</v>
      </c>
      <c r="Z20" s="137">
        <f>Y25*Z21</f>
        <v>4.59026112824541</v>
      </c>
      <c r="AA20" s="137">
        <f>Z25*AA21</f>
        <v>4.9016559056805</v>
      </c>
      <c r="AB20" s="137">
        <f>AA25*AB21</f>
        <v>5.18162278756689</v>
      </c>
      <c r="AC20" s="137">
        <f>AB25*AC21</f>
        <v>5.45599033181555</v>
      </c>
      <c r="AD20" s="137">
        <f>AC25*AD21</f>
        <v>5.03131170953183</v>
      </c>
      <c r="AE20" s="137">
        <f>AD25*AE21</f>
        <v>5.34016375461503</v>
      </c>
      <c r="AF20" s="137">
        <f>AE25*AF21</f>
        <v>5.62156088890926</v>
      </c>
      <c r="AG20" s="137">
        <f>AF25*AG21</f>
        <v>5.94213357335335</v>
      </c>
      <c r="AH20" s="137">
        <f>AG25*AH21</f>
        <v>6.23504623581967</v>
      </c>
      <c r="AI20" s="137">
        <f>AH25*AI21</f>
        <v>6.54488292669282</v>
      </c>
      <c r="AJ20" s="137">
        <f>AI25*AJ21</f>
        <v>6.8492974754757</v>
      </c>
      <c r="AK20" s="137">
        <f>AJ25*AK21</f>
        <v>7.17043476965487</v>
      </c>
      <c r="AL20" s="137">
        <f>AK25*AL21</f>
        <v>7.46390216118591</v>
      </c>
      <c r="AM20" s="137">
        <f>AL25*AM21</f>
        <v>7.79633387336516</v>
      </c>
      <c r="AN20" s="137">
        <f>AM25*AN21</f>
        <v>8.10089803058127</v>
      </c>
      <c r="AO20" s="137">
        <f>AN25*AO21</f>
        <v>8.4001323150461</v>
      </c>
      <c r="AP20" s="137">
        <f>AO25*AP21</f>
        <v>8.73822999953279</v>
      </c>
      <c r="AQ20" s="137">
        <f>AP25*AQ21</f>
        <v>9.04836097454097</v>
      </c>
      <c r="AR20" s="137">
        <f>AQ25*AR21</f>
        <v>9.3530646574865</v>
      </c>
      <c r="AS20" s="137">
        <f>AR25*AS21</f>
        <v>9.67448602598049</v>
      </c>
      <c r="AT20" s="137">
        <f>AS25*AT21</f>
        <v>9.99028252052583</v>
      </c>
      <c r="AU20" s="137">
        <f>AT25*AU21</f>
        <v>10.3005525764166</v>
      </c>
      <c r="AV20" s="137">
        <f>AU25*AV21</f>
        <v>10.6274429063293</v>
      </c>
      <c r="AW20" s="137">
        <f>AV25*AW21</f>
        <v>10.9486126554686</v>
      </c>
      <c r="AX20" s="137">
        <f>AW25*AX21</f>
        <v>11.2641619339979</v>
      </c>
      <c r="AY20" s="137">
        <f>AX25*AY21</f>
        <v>11.5962391001529</v>
      </c>
      <c r="AZ20" s="137">
        <f>AY25*AZ21</f>
        <v>11.9004549159002</v>
      </c>
      <c r="BA20" s="137">
        <f>AZ25*BA21</f>
        <v>12.221396954872</v>
      </c>
      <c r="BB20" s="137">
        <f>BA25*BB21</f>
        <v>10.7457621498529</v>
      </c>
      <c r="BC20" s="137">
        <f>BB25*BC21</f>
        <v>11.1326757176051</v>
      </c>
      <c r="BD20" s="137">
        <f>BC25*BD21</f>
        <v>11.494885581841</v>
      </c>
      <c r="BE20" s="137">
        <f>BD25*BE21</f>
        <v>11.8705622981134</v>
      </c>
      <c r="BF20" s="137">
        <f>BE25*BF21</f>
        <v>12.2406038636417</v>
      </c>
      <c r="BG20" s="137">
        <f>BF25*BG21</f>
        <v>12.6050948056871</v>
      </c>
      <c r="BH20" s="137">
        <f>BG25*BH21</f>
        <v>13.0019183836018</v>
      </c>
      <c r="BI20" s="137">
        <f>BH25*BI21</f>
        <v>13.3738896078478</v>
      </c>
      <c r="BJ20" s="137">
        <f>BI25*BJ21</f>
        <v>13.74028126373</v>
      </c>
      <c r="BK20" s="137">
        <f>BJ25*BK21</f>
        <v>14.1200770447741</v>
      </c>
      <c r="BL20" s="137">
        <f>BK25*BL21</f>
        <v>14.4941758891025</v>
      </c>
      <c r="BM20" s="137">
        <f>BL25*BM21</f>
        <v>14.8626632507659</v>
      </c>
      <c r="BN20" s="581">
        <f>SUM(F20:Q20)</f>
        <v>10.7102969583167</v>
      </c>
      <c r="BO20" s="137">
        <f>SUM(R20:AC20)</f>
        <v>47.0261767827213</v>
      </c>
      <c r="BP20" s="137">
        <f>SUM(AD20:AO20)</f>
        <v>80.496097714231</v>
      </c>
      <c r="BQ20" s="137">
        <f>SUM(AP20:BA20)</f>
        <v>125.663285221204</v>
      </c>
      <c r="BR20" s="137">
        <f>SUM(BB20:BM20)</f>
        <v>153.682589856563</v>
      </c>
    </row>
    <row r="21">
      <c r="C21" s="578" t="inlineStr">
        <is>
          <t>解約率</t>
        </is>
      </c>
      <c r="D21" s="129" t="inlineStr">
        <is>
          <t>F&amp;M オフィスステーション1.01%</t>
        </is>
      </c>
      <c r="E21" s="578" t="n"/>
      <c r="F21" s="139" t="n">
        <v>0.02</v>
      </c>
      <c r="G21" s="139" t="n">
        <v>0.02</v>
      </c>
      <c r="H21" s="139" t="n">
        <v>0.02</v>
      </c>
      <c r="I21" s="139" t="n">
        <v>0.02</v>
      </c>
      <c r="J21" s="139" t="n">
        <v>0.02</v>
      </c>
      <c r="K21" s="139" t="n">
        <v>0.02</v>
      </c>
      <c r="L21" s="139" t="n">
        <v>0.02</v>
      </c>
      <c r="M21" s="139" t="n">
        <v>0.02</v>
      </c>
      <c r="N21" s="139" t="n">
        <v>0.02</v>
      </c>
      <c r="O21" s="139" t="n">
        <v>0.02</v>
      </c>
      <c r="P21" s="139" t="n">
        <v>0.02</v>
      </c>
      <c r="Q21" s="139" t="n">
        <v>0.02</v>
      </c>
      <c r="R21" s="140" t="n">
        <v>0.02</v>
      </c>
      <c r="S21" s="139" t="n">
        <v>0.02</v>
      </c>
      <c r="T21" s="139" t="n">
        <v>0.02</v>
      </c>
      <c r="U21" s="139" t="n">
        <v>0.02</v>
      </c>
      <c r="V21" s="139" t="n">
        <v>0.02</v>
      </c>
      <c r="W21" s="139" t="n">
        <v>0.02</v>
      </c>
      <c r="X21" s="139" t="n">
        <v>0.02</v>
      </c>
      <c r="Y21" s="139" t="n">
        <v>0.02</v>
      </c>
      <c r="Z21" s="139" t="n">
        <v>0.02</v>
      </c>
      <c r="AA21" s="139" t="n">
        <v>0.02</v>
      </c>
      <c r="AB21" s="139" t="n">
        <v>0.02</v>
      </c>
      <c r="AC21" s="139" t="n">
        <v>0.02</v>
      </c>
      <c r="AD21" s="582" t="n">
        <v>0.0175</v>
      </c>
      <c r="AE21" s="582" t="n">
        <v>0.0175</v>
      </c>
      <c r="AF21" s="582" t="n">
        <v>0.0175</v>
      </c>
      <c r="AG21" s="582" t="n">
        <v>0.0175</v>
      </c>
      <c r="AH21" s="582" t="n">
        <v>0.0175</v>
      </c>
      <c r="AI21" s="582" t="n">
        <v>0.0175</v>
      </c>
      <c r="AJ21" s="582" t="n">
        <v>0.0175</v>
      </c>
      <c r="AK21" s="582" t="n">
        <v>0.0175</v>
      </c>
      <c r="AL21" s="582" t="n">
        <v>0.0175</v>
      </c>
      <c r="AM21" s="582" t="n">
        <v>0.0175</v>
      </c>
      <c r="AN21" s="582" t="n">
        <v>0.0175</v>
      </c>
      <c r="AO21" s="582" t="n">
        <v>0.0175</v>
      </c>
      <c r="AP21" s="582" t="n">
        <v>0.0175</v>
      </c>
      <c r="AQ21" s="582" t="n">
        <v>0.0175</v>
      </c>
      <c r="AR21" s="582" t="n">
        <v>0.0175</v>
      </c>
      <c r="AS21" s="582" t="n">
        <v>0.0175</v>
      </c>
      <c r="AT21" s="582" t="n">
        <v>0.0175</v>
      </c>
      <c r="AU21" s="582" t="n">
        <v>0.0175</v>
      </c>
      <c r="AV21" s="582" t="n">
        <v>0.0175</v>
      </c>
      <c r="AW21" s="582" t="n">
        <v>0.0175</v>
      </c>
      <c r="AX21" s="582" t="n">
        <v>0.0175</v>
      </c>
      <c r="AY21" s="582" t="n">
        <v>0.0175</v>
      </c>
      <c r="AZ21" s="582" t="n">
        <v>0.0175</v>
      </c>
      <c r="BA21" s="582" t="n">
        <v>0.0175</v>
      </c>
      <c r="BB21" s="139" t="n">
        <v>0.015</v>
      </c>
      <c r="BC21" s="139" t="n">
        <v>0.015</v>
      </c>
      <c r="BD21" s="139" t="n">
        <v>0.015</v>
      </c>
      <c r="BE21" s="139" t="n">
        <v>0.015</v>
      </c>
      <c r="BF21" s="139" t="n">
        <v>0.015</v>
      </c>
      <c r="BG21" s="139" t="n">
        <v>0.015</v>
      </c>
      <c r="BH21" s="139" t="n">
        <v>0.015</v>
      </c>
      <c r="BI21" s="139" t="n">
        <v>0.015</v>
      </c>
      <c r="BJ21" s="139" t="n">
        <v>0.015</v>
      </c>
      <c r="BK21" s="139" t="n">
        <v>0.015</v>
      </c>
      <c r="BL21" s="139" t="n">
        <v>0.015</v>
      </c>
      <c r="BM21" s="139" t="n">
        <v>0.015</v>
      </c>
      <c r="BN21" s="142">
        <f>AVERAGE(F21:Q21)</f>
        <v>0.02</v>
      </c>
      <c r="BO21" s="139">
        <f>AVERAGE(R21:AC21)</f>
        <v>0.02</v>
      </c>
      <c r="BP21" s="139">
        <f>AVERAGE(AD21:AO21)</f>
        <v>0.0175</v>
      </c>
      <c r="BQ21" s="139">
        <f>AVERAGE(AP21:BA21)</f>
        <v>0.0175</v>
      </c>
      <c r="BR21" s="139">
        <f>AVERAGE(BB21:BM21)</f>
        <v>0.015</v>
      </c>
    </row>
    <row r="22"/>
    <row r="23">
      <c r="C23" s="159" t="inlineStr">
        <is>
          <t>■ ストック計算（契約社数＝前月契約社数＋当月新規受注－当月解約）</t>
        </is>
      </c>
    </row>
    <row r="24">
      <c r="A24" s="147" t="n"/>
      <c r="B24" s="147" t="n"/>
      <c r="C24" s="114" t="inlineStr">
        <is>
          <t>新規受注数（当月）</t>
        </is>
      </c>
      <c r="D24" s="114" t="inlineStr">
        <is>
          <t>＝当月の累計獲得数(11行)－前月の累計獲得数。税理士獲得ロジック(×35等)は別途検討中のため、既存ファネルを流用</t>
        </is>
      </c>
      <c r="E24" s="114" t="n"/>
      <c r="F24" s="583">
        <f>F11</f>
        <v>0.0</v>
      </c>
      <c r="G24" s="583">
        <f>G11-F11</f>
        <v>2.52</v>
      </c>
      <c r="H24" s="583">
        <f>H11-G11</f>
        <v>11.34</v>
      </c>
      <c r="I24" s="583">
        <f>I11-H11</f>
        <v>11.34</v>
      </c>
      <c r="J24" s="583">
        <f>J11-I11</f>
        <v>10.08</v>
      </c>
      <c r="K24" s="583">
        <f>K11-J11</f>
        <v>12.6</v>
      </c>
      <c r="L24" s="583">
        <f>L11-K11</f>
        <v>12.6</v>
      </c>
      <c r="M24" s="583">
        <f>M11-L11</f>
        <v>12.6</v>
      </c>
      <c r="N24" s="583">
        <f>N11-M11</f>
        <v>15.12</v>
      </c>
      <c r="O24" s="583">
        <f>O11-N11</f>
        <v>13.86</v>
      </c>
      <c r="P24" s="583">
        <f>P11-O11</f>
        <v>13.86</v>
      </c>
      <c r="Q24" s="583">
        <f>Q11-P11</f>
        <v>16.38</v>
      </c>
      <c r="R24" s="584">
        <f>R11-Q11</f>
        <v>15.12</v>
      </c>
      <c r="S24" s="583">
        <f>S11-R11</f>
        <v>15.12</v>
      </c>
      <c r="T24" s="583">
        <f>T11-S11</f>
        <v>17.64</v>
      </c>
      <c r="U24" s="583">
        <f>U11-T11</f>
        <v>16.38</v>
      </c>
      <c r="V24" s="583">
        <f>V11-U11</f>
        <v>16.38</v>
      </c>
      <c r="W24" s="583">
        <f>W11-V11</f>
        <v>18.9</v>
      </c>
      <c r="X24" s="583">
        <f>X11-W11</f>
        <v>17.64</v>
      </c>
      <c r="Y24" s="583">
        <f>Y11-X11</f>
        <v>17.64</v>
      </c>
      <c r="Z24" s="583">
        <f>Z11-Y11</f>
        <v>20.16</v>
      </c>
      <c r="AA24" s="583">
        <f>AA11-Z11</f>
        <v>18.9</v>
      </c>
      <c r="AB24" s="583">
        <f>AB11-AA11</f>
        <v>18.9</v>
      </c>
      <c r="AC24" s="583">
        <f>AC11-AB11</f>
        <v>20.16</v>
      </c>
      <c r="AD24" s="583">
        <f>AD11-AC11</f>
        <v>22.68</v>
      </c>
      <c r="AE24" s="583">
        <f>AE11-AD11</f>
        <v>21.42</v>
      </c>
      <c r="AF24" s="583">
        <f>AF11-AE11</f>
        <v>23.94</v>
      </c>
      <c r="AG24" s="583">
        <f>AG11-AF11</f>
        <v>22.68</v>
      </c>
      <c r="AH24" s="583">
        <f>AH11-AG11</f>
        <v>23.94</v>
      </c>
      <c r="AI24" s="583">
        <f>AI11-AH11</f>
        <v>23.94</v>
      </c>
      <c r="AJ24" s="583">
        <f>AJ11-AI11</f>
        <v>25.2</v>
      </c>
      <c r="AK24" s="583">
        <f>AK11-AJ11</f>
        <v>23.9399999999999</v>
      </c>
      <c r="AL24" s="583">
        <f>AL11-AK11</f>
        <v>26.46</v>
      </c>
      <c r="AM24" s="583">
        <f>AM11-AL11</f>
        <v>25.2</v>
      </c>
      <c r="AN24" s="583">
        <f>AN11-AM11</f>
        <v>25.1999999999999</v>
      </c>
      <c r="AO24" s="583">
        <f>AO11-AN11</f>
        <v>27.72</v>
      </c>
      <c r="AP24" s="583">
        <f>AP11-AO11</f>
        <v>26.46</v>
      </c>
      <c r="AQ24" s="583">
        <f>AQ11-AP11</f>
        <v>26.4599999999999</v>
      </c>
      <c r="AR24" s="583">
        <f>AR11-AQ11</f>
        <v>27.72</v>
      </c>
      <c r="AS24" s="583">
        <f>AS11-AR11</f>
        <v>27.72</v>
      </c>
      <c r="AT24" s="583">
        <f>AT11-AS11</f>
        <v>27.7199999999999</v>
      </c>
      <c r="AU24" s="583">
        <f>AU11-AT11</f>
        <v>28.9800000000001</v>
      </c>
      <c r="AV24" s="583">
        <f>AV11-AU11</f>
        <v>28.98</v>
      </c>
      <c r="AW24" s="583">
        <f>AW11-AV11</f>
        <v>28.9799999999999</v>
      </c>
      <c r="AX24" s="583">
        <f>AX11-AW11</f>
        <v>30.2400000000001</v>
      </c>
      <c r="AY24" s="583">
        <f>AY11-AX11</f>
        <v>28.9799999999999</v>
      </c>
      <c r="AZ24" s="583">
        <f>AZ11-AY11</f>
        <v>30.2399999999999</v>
      </c>
      <c r="BA24" s="583">
        <f>BA11-AZ11</f>
        <v>30.2400000000001</v>
      </c>
      <c r="BB24" s="583">
        <f>BB11-BA11</f>
        <v>36.54</v>
      </c>
      <c r="BC24" s="583">
        <f>BC11-BB11</f>
        <v>35.28</v>
      </c>
      <c r="BD24" s="583">
        <f>BD11-BC11</f>
        <v>36.54</v>
      </c>
      <c r="BE24" s="583">
        <f>BE11-BD11</f>
        <v>36.54</v>
      </c>
      <c r="BF24" s="583">
        <f>BF11-BE11</f>
        <v>36.54</v>
      </c>
      <c r="BG24" s="583">
        <f>BG11-BF11</f>
        <v>39.0600000000002</v>
      </c>
      <c r="BH24" s="583">
        <f>BH11-BG11</f>
        <v>37.7999999999997</v>
      </c>
      <c r="BI24" s="583">
        <f>BI11-BH11</f>
        <v>37.8000000000002</v>
      </c>
      <c r="BJ24" s="583">
        <f>BJ11-BI11</f>
        <v>39.0600000000002</v>
      </c>
      <c r="BK24" s="583">
        <f>BK11-BJ11</f>
        <v>39.0599999999999</v>
      </c>
      <c r="BL24" s="583">
        <f>BL11-BK11</f>
        <v>39.0599999999999</v>
      </c>
      <c r="BM24" s="583">
        <f>BM11-BL11</f>
        <v>40.3199999999999</v>
      </c>
      <c r="BN24" s="585">
        <f>SUM(F24:Q24)</f>
        <v>132.3</v>
      </c>
      <c r="BO24" s="583">
        <f>SUM(R24:AC24)</f>
        <v>212.94</v>
      </c>
      <c r="BP24" s="583">
        <f>SUM(AD24:AO24)</f>
        <v>292.32</v>
      </c>
      <c r="BQ24" s="583">
        <f>SUM(AP24:BA24)</f>
        <v>342.72</v>
      </c>
      <c r="BR24" s="583">
        <f>SUM(BB24:BM24)</f>
        <v>453.6</v>
      </c>
    </row>
    <row r="25">
      <c r="A25" s="147" t="n"/>
      <c r="B25" s="147" t="n"/>
      <c r="C25" s="114" t="inlineStr">
        <is>
          <t>期末契約社数（ストック）</t>
        </is>
      </c>
      <c r="D25" s="114" t="inlineStr">
        <is>
          <t>＝前月末契約社数＋新規受注数－解約予想数。売上＝本行×単価</t>
        </is>
      </c>
      <c r="E25" s="114" t="n"/>
      <c r="F25" s="583">
        <f>F24-F20</f>
        <v>0.0</v>
      </c>
      <c r="G25" s="583">
        <f>F25+G24-G20</f>
        <v>2.52</v>
      </c>
      <c r="H25" s="583">
        <f>G25+H24-H20</f>
        <v>13.8096</v>
      </c>
      <c r="I25" s="583">
        <f>H25+I24-I20</f>
        <v>24.873408</v>
      </c>
      <c r="J25" s="583">
        <f>I25+J24-J20</f>
        <v>34.45593984</v>
      </c>
      <c r="K25" s="583">
        <f>J25+K24-K20</f>
        <v>46.3668210432</v>
      </c>
      <c r="L25" s="583">
        <f>K25+L24-L20</f>
        <v>58.039484622336</v>
      </c>
      <c r="M25" s="583">
        <f>L25+M24-M20</f>
        <v>69.4786949298893</v>
      </c>
      <c r="N25" s="583">
        <f>M25+N24-N20</f>
        <v>83.2091210312915</v>
      </c>
      <c r="O25" s="583">
        <f>N25+O24-O20</f>
        <v>95.4049386106656</v>
      </c>
      <c r="P25" s="583">
        <f>O25+P24-P20</f>
        <v>107.356839838452</v>
      </c>
      <c r="Q25" s="583">
        <f>P25+Q24-Q20</f>
        <v>121.589703041683</v>
      </c>
      <c r="R25" s="584">
        <f>Q25+R24-R20</f>
        <v>134.27790898085</v>
      </c>
      <c r="S25" s="583">
        <f>R25+S24-S20</f>
        <v>146.712350801233</v>
      </c>
      <c r="T25" s="583">
        <f>S25+T24-T20</f>
        <v>161.418103785208</v>
      </c>
      <c r="U25" s="583">
        <f>T25+U24-U20</f>
        <v>174.569741709504</v>
      </c>
      <c r="V25" s="583">
        <f>U25+V24-V20</f>
        <v>187.458346875314</v>
      </c>
      <c r="W25" s="583">
        <f>V25+W24-W20</f>
        <v>202.609179937807</v>
      </c>
      <c r="X25" s="583">
        <f>W25+X24-X20</f>
        <v>216.196996339051</v>
      </c>
      <c r="Y25" s="583">
        <f>X25+Y24-Y20</f>
        <v>229.51305641227</v>
      </c>
      <c r="Z25" s="583">
        <f>Y25+Z24-Z20</f>
        <v>245.082795284025</v>
      </c>
      <c r="AA25" s="583">
        <f>Z25+AA24-AA20</f>
        <v>259.081139378344</v>
      </c>
      <c r="AB25" s="583">
        <f>AA25+AB24-AB20</f>
        <v>272.799516590777</v>
      </c>
      <c r="AC25" s="583">
        <f>AB25+AC24-AC20</f>
        <v>287.503526258962</v>
      </c>
      <c r="AD25" s="583">
        <f>AC25+AD24-AD20</f>
        <v>305.15221454943</v>
      </c>
      <c r="AE25" s="583">
        <f>AD25+AE24-AE20</f>
        <v>321.232050794815</v>
      </c>
      <c r="AF25" s="583">
        <f>AE25+AF24-AF20</f>
        <v>339.550489905906</v>
      </c>
      <c r="AG25" s="583">
        <f>AF25+AG24-AG20</f>
        <v>356.288356332552</v>
      </c>
      <c r="AH25" s="583">
        <f>AG25+AH24-AH20</f>
        <v>373.993310096733</v>
      </c>
      <c r="AI25" s="583">
        <f>AH25+AI24-AI20</f>
        <v>391.38842717004</v>
      </c>
      <c r="AJ25" s="583">
        <f>AI25+AJ24-AJ20</f>
        <v>409.739129694564</v>
      </c>
      <c r="AK25" s="583">
        <f>AJ25+AK24-AK20</f>
        <v>426.508694924909</v>
      </c>
      <c r="AL25" s="583">
        <f>AK25+AL24-AL20</f>
        <v>445.504792763723</v>
      </c>
      <c r="AM25" s="583">
        <f>AL25+AM24-AM20</f>
        <v>462.908458890358</v>
      </c>
      <c r="AN25" s="583">
        <f>AM25+AN24-AN20</f>
        <v>480.007560859777</v>
      </c>
      <c r="AO25" s="583">
        <f>AN25+AO24-AO20</f>
        <v>499.327428544731</v>
      </c>
      <c r="AP25" s="583">
        <f>AO25+AP24-AP20</f>
        <v>517.049198545198</v>
      </c>
      <c r="AQ25" s="583">
        <f>AP25+AQ24-AQ20</f>
        <v>534.460837570657</v>
      </c>
      <c r="AR25" s="583">
        <f>AQ25+AR24-AR20</f>
        <v>552.827772913171</v>
      </c>
      <c r="AS25" s="583">
        <f>AR25+AS24-AS20</f>
        <v>570.87328688719</v>
      </c>
      <c r="AT25" s="583">
        <f>AS25+AT24-AT20</f>
        <v>588.603004366664</v>
      </c>
      <c r="AU25" s="583">
        <f>AT25+AU24-AU20</f>
        <v>607.282451790248</v>
      </c>
      <c r="AV25" s="583">
        <f>AU25+AV24-AV20</f>
        <v>625.635008883918</v>
      </c>
      <c r="AW25" s="583">
        <f>AV25+AW24-AW20</f>
        <v>643.66639622845</v>
      </c>
      <c r="AX25" s="583">
        <f>AW25+AX24-AX20</f>
        <v>662.642234294452</v>
      </c>
      <c r="AY25" s="583">
        <f>AX25+AY24-AY20</f>
        <v>680.025995194299</v>
      </c>
      <c r="AZ25" s="583">
        <f>AY25+AZ24-AZ20</f>
        <v>698.365540278399</v>
      </c>
      <c r="BA25" s="583">
        <f>AZ25+BA24-BA20</f>
        <v>716.384143323527</v>
      </c>
      <c r="BB25" s="583">
        <f>BA25+BB24-BB20</f>
        <v>742.178381173674</v>
      </c>
      <c r="BC25" s="583">
        <f>BB25+BC24-BC20</f>
        <v>766.325705456069</v>
      </c>
      <c r="BD25" s="583">
        <f>BC25+BD24-BD20</f>
        <v>791.370819874228</v>
      </c>
      <c r="BE25" s="583">
        <f>BD25+BE24-BE20</f>
        <v>816.040257576114</v>
      </c>
      <c r="BF25" s="583">
        <f>BE25+BF24-BF20</f>
        <v>840.339653712473</v>
      </c>
      <c r="BG25" s="583">
        <f>BF25+BG24-BG20</f>
        <v>866.794558906786</v>
      </c>
      <c r="BH25" s="583">
        <f>BG25+BH24-BH20</f>
        <v>891.592640523184</v>
      </c>
      <c r="BI25" s="583">
        <f>BH25+BI24-BI20</f>
        <v>916.018750915336</v>
      </c>
      <c r="BJ25" s="583">
        <f>BI25+BJ24-BJ20</f>
        <v>941.338469651606</v>
      </c>
      <c r="BK25" s="583">
        <f>BJ25+BK24-BK20</f>
        <v>966.278392606832</v>
      </c>
      <c r="BL25" s="583">
        <f>BK25+BL24-BL20</f>
        <v>990.844216717729</v>
      </c>
      <c r="BM25" s="583">
        <f>BL25+BM24-BM20</f>
        <v>1016.30155346696</v>
      </c>
      <c r="BN25" s="585">
        <f>Q25</f>
        <v>121.589703041683</v>
      </c>
      <c r="BO25" s="583">
        <f>AC25</f>
        <v>287.503526258962</v>
      </c>
      <c r="BP25" s="583">
        <f>AO25</f>
        <v>499.327428544731</v>
      </c>
      <c r="BQ25" s="583">
        <f>BA25</f>
        <v>716.384143323527</v>
      </c>
      <c r="BR25" s="583">
        <f>BM25</f>
        <v>1016.30155346696</v>
      </c>
    </row>
  </sheetData>
  <mergeCells count="1">
    <mergeCell ref="C5:E5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55"/>
  <sheetViews>
    <sheetView zoomScale="125" zoomScaleNormal="91" workbookViewId="0">
      <pane xSplit="1" topLeftCell="B1" activePane="topRight" state="frozen"/>
      <selection pane="topRight" activeCell="F16" sqref="F16"/>
    </sheetView>
  </sheetViews>
  <sheetFormatPr baseColWidth="10" defaultColWidth="7.5703125" defaultRowHeight="14"/>
  <cols>
    <col width="4" customWidth="1" style="76" min="1" max="2"/>
    <col width="22.28515625" bestFit="1" customWidth="1" style="76" min="3" max="3"/>
    <col hidden="1" outlineLevel="1" width="65.85546875" customWidth="1" style="76" min="4" max="4"/>
    <col collapsed="1" width="1.28515625" customWidth="1" style="76" min="5" max="5"/>
    <col outlineLevel="1" width="12.28515625" customWidth="1" style="76" min="6" max="6"/>
    <col outlineLevel="1" width="13.28515625" customWidth="1" style="76" min="7" max="18"/>
    <col outlineLevel="1" width="13.85546875" customWidth="1" style="76" min="19" max="19"/>
    <col outlineLevel="1" width="13.28515625" customWidth="1" style="76" min="20" max="21"/>
    <col outlineLevel="1" width="13.85546875" customWidth="1" style="76" min="22" max="22"/>
    <col outlineLevel="1" width="13.28515625" customWidth="1" style="76" min="23" max="24"/>
    <col outlineLevel="1" width="13" customWidth="1" style="76" min="25" max="25"/>
    <col outlineLevel="1" width="13.85546875" customWidth="1" style="76" min="26" max="27"/>
    <col outlineLevel="1" width="15.140625" customWidth="1" style="76" min="28" max="28"/>
    <col outlineLevel="1" width="13.85546875" customWidth="1" style="76" min="29" max="29"/>
    <col outlineLevel="1" width="15.140625" customWidth="1" style="76" min="30" max="30"/>
    <col outlineLevel="1" width="13.85546875" customWidth="1" style="76" min="31" max="32"/>
    <col outlineLevel="1" width="15.140625" customWidth="1" style="76" min="33" max="33"/>
    <col outlineLevel="1" width="13.85546875" customWidth="1" style="76" min="34" max="37"/>
    <col outlineLevel="1" width="15.140625" customWidth="1" style="76" min="38" max="43"/>
    <col outlineLevel="1" width="13.85546875" customWidth="1" style="76" min="44" max="44"/>
    <col outlineLevel="1" width="15.140625" customWidth="1" style="76" min="45" max="65"/>
    <col width="13.85546875" bestFit="1" customWidth="1" style="76" min="66" max="67"/>
    <col width="15.140625" bestFit="1" customWidth="1" style="76" min="68" max="70"/>
    <col width="7.5703125" customWidth="1" style="76" min="71" max="16384"/>
  </cols>
  <sheetData>
    <row r="1"/>
    <row r="2"/>
    <row r="3"/>
    <row r="4">
      <c r="C4" s="180" t="inlineStr">
        <is>
          <t>指標</t>
        </is>
      </c>
      <c r="D4" s="180" t="inlineStr">
        <is>
          <t>メモ</t>
        </is>
      </c>
      <c r="E4" s="180" t="n"/>
      <c r="F4" s="180" t="inlineStr">
        <is>
          <t>M1</t>
        </is>
      </c>
      <c r="G4" s="180" t="inlineStr">
        <is>
          <t>M2</t>
        </is>
      </c>
      <c r="H4" s="180" t="inlineStr">
        <is>
          <t>M3</t>
        </is>
      </c>
      <c r="I4" s="180" t="inlineStr">
        <is>
          <t>M4</t>
        </is>
      </c>
      <c r="J4" s="180" t="inlineStr">
        <is>
          <t>M5</t>
        </is>
      </c>
      <c r="K4" s="180" t="inlineStr">
        <is>
          <t>M6</t>
        </is>
      </c>
      <c r="L4" s="180" t="inlineStr">
        <is>
          <t>M7</t>
        </is>
      </c>
      <c r="M4" s="180" t="inlineStr">
        <is>
          <t>M8</t>
        </is>
      </c>
      <c r="N4" s="180" t="inlineStr">
        <is>
          <t>M9</t>
        </is>
      </c>
      <c r="O4" s="180" t="inlineStr">
        <is>
          <t>M10</t>
        </is>
      </c>
      <c r="P4" s="180" t="inlineStr">
        <is>
          <t>M11</t>
        </is>
      </c>
      <c r="Q4" s="180" t="inlineStr">
        <is>
          <t>M12</t>
        </is>
      </c>
      <c r="R4" s="180" t="inlineStr">
        <is>
          <t>M13</t>
        </is>
      </c>
      <c r="S4" s="180" t="inlineStr">
        <is>
          <t>M1４</t>
        </is>
      </c>
      <c r="T4" s="180" t="inlineStr">
        <is>
          <t>M15</t>
        </is>
      </c>
      <c r="U4" s="180" t="inlineStr">
        <is>
          <t>M16</t>
        </is>
      </c>
      <c r="V4" s="180" t="inlineStr">
        <is>
          <t>M17</t>
        </is>
      </c>
      <c r="W4" s="180" t="inlineStr">
        <is>
          <t>M18</t>
        </is>
      </c>
      <c r="X4" s="180" t="inlineStr">
        <is>
          <t>M19</t>
        </is>
      </c>
      <c r="Y4" s="180" t="inlineStr">
        <is>
          <t>M20</t>
        </is>
      </c>
      <c r="Z4" s="180" t="inlineStr">
        <is>
          <t>M21</t>
        </is>
      </c>
      <c r="AA4" s="180" t="inlineStr">
        <is>
          <t>M22</t>
        </is>
      </c>
      <c r="AB4" s="180" t="inlineStr">
        <is>
          <t>M23</t>
        </is>
      </c>
      <c r="AC4" s="180" t="inlineStr">
        <is>
          <t>M24</t>
        </is>
      </c>
      <c r="AD4" s="180" t="inlineStr">
        <is>
          <t>M25</t>
        </is>
      </c>
      <c r="AE4" s="180" t="inlineStr">
        <is>
          <t>M26</t>
        </is>
      </c>
      <c r="AF4" s="180" t="inlineStr">
        <is>
          <t>M27</t>
        </is>
      </c>
      <c r="AG4" s="180" t="inlineStr">
        <is>
          <t>M28</t>
        </is>
      </c>
      <c r="AH4" s="180" t="inlineStr">
        <is>
          <t>M29</t>
        </is>
      </c>
      <c r="AI4" s="180" t="inlineStr">
        <is>
          <t>M30</t>
        </is>
      </c>
      <c r="AJ4" s="180" t="inlineStr">
        <is>
          <t>M31</t>
        </is>
      </c>
      <c r="AK4" s="180" t="inlineStr">
        <is>
          <t>M32</t>
        </is>
      </c>
      <c r="AL4" s="180" t="inlineStr">
        <is>
          <t>M33</t>
        </is>
      </c>
      <c r="AM4" s="180" t="inlineStr">
        <is>
          <t>M34</t>
        </is>
      </c>
      <c r="AN4" s="180" t="inlineStr">
        <is>
          <t>M35</t>
        </is>
      </c>
      <c r="AO4" s="180" t="inlineStr">
        <is>
          <t>M36</t>
        </is>
      </c>
      <c r="AP4" s="180" t="inlineStr">
        <is>
          <t>M37</t>
        </is>
      </c>
      <c r="AQ4" s="180" t="inlineStr">
        <is>
          <t>M38</t>
        </is>
      </c>
      <c r="AR4" s="180" t="inlineStr">
        <is>
          <t>M39</t>
        </is>
      </c>
      <c r="AS4" s="180" t="inlineStr">
        <is>
          <t>M40</t>
        </is>
      </c>
      <c r="AT4" s="180" t="inlineStr">
        <is>
          <t>M41</t>
        </is>
      </c>
      <c r="AU4" s="180" t="inlineStr">
        <is>
          <t>M42</t>
        </is>
      </c>
      <c r="AV4" s="180" t="inlineStr">
        <is>
          <t>M43</t>
        </is>
      </c>
      <c r="AW4" s="180" t="inlineStr">
        <is>
          <t>M44</t>
        </is>
      </c>
      <c r="AX4" s="180" t="inlineStr">
        <is>
          <t>M45</t>
        </is>
      </c>
      <c r="AY4" s="180" t="inlineStr">
        <is>
          <t>M46</t>
        </is>
      </c>
      <c r="AZ4" s="180" t="inlineStr">
        <is>
          <t>M47</t>
        </is>
      </c>
      <c r="BA4" s="180" t="inlineStr">
        <is>
          <t>M48</t>
        </is>
      </c>
      <c r="BB4" s="180" t="inlineStr">
        <is>
          <t>M49</t>
        </is>
      </c>
      <c r="BC4" s="180" t="inlineStr">
        <is>
          <t>M50</t>
        </is>
      </c>
      <c r="BD4" s="180" t="inlineStr">
        <is>
          <t>M51</t>
        </is>
      </c>
      <c r="BE4" s="180" t="inlineStr">
        <is>
          <t>M52</t>
        </is>
      </c>
      <c r="BF4" s="180" t="inlineStr">
        <is>
          <t>M53</t>
        </is>
      </c>
      <c r="BG4" s="180" t="inlineStr">
        <is>
          <t>M54</t>
        </is>
      </c>
      <c r="BH4" s="180" t="inlineStr">
        <is>
          <t>M55</t>
        </is>
      </c>
      <c r="BI4" s="180" t="inlineStr">
        <is>
          <t>M56</t>
        </is>
      </c>
      <c r="BJ4" s="180" t="inlineStr">
        <is>
          <t>M57</t>
        </is>
      </c>
      <c r="BK4" s="180" t="inlineStr">
        <is>
          <t>M58</t>
        </is>
      </c>
      <c r="BL4" s="180" t="inlineStr">
        <is>
          <t>M59</t>
        </is>
      </c>
      <c r="BM4" s="180" t="inlineStr">
        <is>
          <t>M60</t>
        </is>
      </c>
      <c r="BN4" s="180" t="inlineStr">
        <is>
          <t>Y0</t>
        </is>
      </c>
      <c r="BO4" s="180" t="inlineStr">
        <is>
          <t>Y2</t>
        </is>
      </c>
      <c r="BP4" s="180" t="inlineStr">
        <is>
          <t>Y3</t>
        </is>
      </c>
      <c r="BQ4" s="180" t="inlineStr">
        <is>
          <t>Y4</t>
        </is>
      </c>
      <c r="BR4" s="180" t="inlineStr">
        <is>
          <t>Y5</t>
        </is>
      </c>
    </row>
    <row r="5">
      <c r="C5" s="76" t="inlineStr">
        <is>
          <t>■ 人員数（人）</t>
        </is>
      </c>
    </row>
    <row r="6">
      <c r="C6" s="76" t="inlineStr">
        <is>
          <t>役員（平澤・リョーマ・皐月）</t>
        </is>
      </c>
      <c r="D6" s="76" t="inlineStr">
        <is>
          <t>報酬は下の単価行。調達後に見直し</t>
        </is>
      </c>
      <c r="F6" s="181" t="n">
        <v>3</v>
      </c>
      <c r="G6" s="181" t="n">
        <v>3</v>
      </c>
      <c r="H6" s="181" t="n">
        <v>3</v>
      </c>
      <c r="I6" s="181" t="n">
        <v>3</v>
      </c>
      <c r="J6" s="181" t="n">
        <v>3</v>
      </c>
      <c r="K6" s="181" t="n">
        <v>3</v>
      </c>
      <c r="L6" s="181" t="n">
        <v>3</v>
      </c>
      <c r="M6" s="181" t="n">
        <v>3</v>
      </c>
      <c r="N6" s="181" t="n">
        <v>3</v>
      </c>
      <c r="O6" s="181" t="n">
        <v>3</v>
      </c>
      <c r="P6" s="181" t="n">
        <v>3</v>
      </c>
      <c r="Q6" s="181" t="n">
        <v>3</v>
      </c>
      <c r="R6" s="181" t="n">
        <v>3</v>
      </c>
      <c r="S6" s="181" t="n">
        <v>3</v>
      </c>
      <c r="T6" s="181" t="n">
        <v>3</v>
      </c>
      <c r="U6" s="181" t="n">
        <v>3</v>
      </c>
      <c r="V6" s="181" t="n">
        <v>3</v>
      </c>
      <c r="W6" s="181" t="n">
        <v>3</v>
      </c>
      <c r="X6" s="181" t="n">
        <v>3</v>
      </c>
      <c r="Y6" s="181" t="n">
        <v>3</v>
      </c>
      <c r="Z6" s="181" t="n">
        <v>3</v>
      </c>
      <c r="AA6" s="181" t="n">
        <v>3</v>
      </c>
      <c r="AB6" s="181" t="n">
        <v>3</v>
      </c>
      <c r="AC6" s="181" t="n">
        <v>3</v>
      </c>
      <c r="AD6" s="181" t="n">
        <v>3</v>
      </c>
      <c r="AE6" s="181" t="n">
        <v>3</v>
      </c>
      <c r="AF6" s="181" t="n">
        <v>3</v>
      </c>
      <c r="AG6" s="181" t="n">
        <v>3</v>
      </c>
      <c r="AH6" s="181" t="n">
        <v>3</v>
      </c>
      <c r="AI6" s="181" t="n">
        <v>3</v>
      </c>
      <c r="AJ6" s="181" t="n">
        <v>3</v>
      </c>
      <c r="AK6" s="181" t="n">
        <v>3</v>
      </c>
      <c r="AL6" s="181" t="n">
        <v>3</v>
      </c>
      <c r="AM6" s="181" t="n">
        <v>3</v>
      </c>
      <c r="AN6" s="181" t="n">
        <v>3</v>
      </c>
      <c r="AO6" s="181" t="n">
        <v>3</v>
      </c>
      <c r="AP6" s="181" t="n">
        <v>3</v>
      </c>
      <c r="AQ6" s="181" t="n">
        <v>3</v>
      </c>
      <c r="AR6" s="181" t="n">
        <v>3</v>
      </c>
      <c r="AS6" s="181" t="n">
        <v>3</v>
      </c>
      <c r="AT6" s="181" t="n">
        <v>3</v>
      </c>
      <c r="AU6" s="181" t="n">
        <v>3</v>
      </c>
      <c r="AV6" s="181" t="n">
        <v>3</v>
      </c>
      <c r="AW6" s="181" t="n">
        <v>3</v>
      </c>
      <c r="AX6" s="181" t="n">
        <v>3</v>
      </c>
      <c r="AY6" s="181" t="n">
        <v>3</v>
      </c>
      <c r="AZ6" s="181" t="n">
        <v>3</v>
      </c>
      <c r="BA6" s="181" t="n">
        <v>3</v>
      </c>
      <c r="BB6" s="181" t="n">
        <v>3</v>
      </c>
      <c r="BC6" s="181" t="n">
        <v>3</v>
      </c>
      <c r="BD6" s="181" t="n">
        <v>3</v>
      </c>
      <c r="BE6" s="181" t="n">
        <v>3</v>
      </c>
      <c r="BF6" s="181" t="n">
        <v>3</v>
      </c>
      <c r="BG6" s="181" t="n">
        <v>3</v>
      </c>
      <c r="BH6" s="181" t="n">
        <v>3</v>
      </c>
      <c r="BI6" s="181" t="n">
        <v>3</v>
      </c>
      <c r="BJ6" s="181" t="n">
        <v>3</v>
      </c>
      <c r="BK6" s="181" t="n">
        <v>3</v>
      </c>
      <c r="BL6" s="181" t="n">
        <v>3</v>
      </c>
      <c r="BM6" s="181" t="n">
        <v>3</v>
      </c>
      <c r="BN6" s="181">
        <f>Q6</f>
        <v>3.0</v>
      </c>
      <c r="BO6" s="181">
        <f>AC6</f>
        <v>3.0</v>
      </c>
      <c r="BP6" s="181">
        <f>AO6</f>
        <v>3.0</v>
      </c>
      <c r="BQ6" s="181">
        <f>BA6</f>
        <v>3.0</v>
      </c>
      <c r="BR6" s="181">
        <f>BM6</f>
        <v>3.0</v>
      </c>
    </row>
    <row r="7">
      <c r="C7" s="76" t="inlineStr">
        <is>
          <t>開発（皐月除く増員）</t>
        </is>
      </c>
      <c r="D7" s="76" t="inlineStr">
        <is>
          <t>Y2から毎年+1。推定</t>
        </is>
      </c>
      <c r="F7" s="181" t="n">
        <v>0</v>
      </c>
      <c r="G7" s="181" t="n">
        <v>0</v>
      </c>
      <c r="H7" s="181" t="n">
        <v>0</v>
      </c>
      <c r="I7" s="181" t="n">
        <v>0</v>
      </c>
      <c r="J7" s="181" t="n">
        <v>0</v>
      </c>
      <c r="K7" s="181" t="n">
        <v>0</v>
      </c>
      <c r="L7" s="181" t="n">
        <v>0</v>
      </c>
      <c r="M7" s="181" t="n">
        <v>0</v>
      </c>
      <c r="N7" s="181" t="n">
        <v>0</v>
      </c>
      <c r="O7" s="181" t="n">
        <v>0</v>
      </c>
      <c r="P7" s="181" t="n">
        <v>0</v>
      </c>
      <c r="Q7" s="181" t="n">
        <v>0</v>
      </c>
      <c r="R7" s="181" t="n">
        <v>1</v>
      </c>
      <c r="S7" s="181" t="n">
        <v>1</v>
      </c>
      <c r="T7" s="181" t="n">
        <v>1</v>
      </c>
      <c r="U7" s="181" t="n">
        <v>1</v>
      </c>
      <c r="V7" s="181" t="n">
        <v>1</v>
      </c>
      <c r="W7" s="181" t="n">
        <v>1</v>
      </c>
      <c r="X7" s="181" t="n">
        <v>1</v>
      </c>
      <c r="Y7" s="181" t="n">
        <v>1</v>
      </c>
      <c r="Z7" s="181" t="n">
        <v>1</v>
      </c>
      <c r="AA7" s="181" t="n">
        <v>1</v>
      </c>
      <c r="AB7" s="181" t="n">
        <v>1</v>
      </c>
      <c r="AC7" s="181" t="n">
        <v>1</v>
      </c>
      <c r="AD7" s="181" t="n">
        <v>2</v>
      </c>
      <c r="AE7" s="181" t="n">
        <v>2</v>
      </c>
      <c r="AF7" s="181" t="n">
        <v>2</v>
      </c>
      <c r="AG7" s="181" t="n">
        <v>2</v>
      </c>
      <c r="AH7" s="181" t="n">
        <v>2</v>
      </c>
      <c r="AI7" s="181" t="n">
        <v>2</v>
      </c>
      <c r="AJ7" s="181" t="n">
        <v>2</v>
      </c>
      <c r="AK7" s="181" t="n">
        <v>2</v>
      </c>
      <c r="AL7" s="181" t="n">
        <v>2</v>
      </c>
      <c r="AM7" s="181" t="n">
        <v>2</v>
      </c>
      <c r="AN7" s="181" t="n">
        <v>2</v>
      </c>
      <c r="AO7" s="181" t="n">
        <v>2</v>
      </c>
      <c r="AP7" s="181" t="n">
        <v>3</v>
      </c>
      <c r="AQ7" s="181" t="n">
        <v>3</v>
      </c>
      <c r="AR7" s="181" t="n">
        <v>3</v>
      </c>
      <c r="AS7" s="181" t="n">
        <v>3</v>
      </c>
      <c r="AT7" s="181" t="n">
        <v>3</v>
      </c>
      <c r="AU7" s="181" t="n">
        <v>3</v>
      </c>
      <c r="AV7" s="181" t="n">
        <v>3</v>
      </c>
      <c r="AW7" s="181" t="n">
        <v>3</v>
      </c>
      <c r="AX7" s="181" t="n">
        <v>3</v>
      </c>
      <c r="AY7" s="181" t="n">
        <v>3</v>
      </c>
      <c r="AZ7" s="181" t="n">
        <v>3</v>
      </c>
      <c r="BA7" s="181" t="n">
        <v>3</v>
      </c>
      <c r="BB7" s="181" t="n">
        <v>4</v>
      </c>
      <c r="BC7" s="181" t="n">
        <v>4</v>
      </c>
      <c r="BD7" s="181" t="n">
        <v>4</v>
      </c>
      <c r="BE7" s="181" t="n">
        <v>4</v>
      </c>
      <c r="BF7" s="181" t="n">
        <v>4</v>
      </c>
      <c r="BG7" s="181" t="n">
        <v>4</v>
      </c>
      <c r="BH7" s="181" t="n">
        <v>4</v>
      </c>
      <c r="BI7" s="181" t="n">
        <v>4</v>
      </c>
      <c r="BJ7" s="181" t="n">
        <v>4</v>
      </c>
      <c r="BK7" s="181" t="n">
        <v>4</v>
      </c>
      <c r="BL7" s="181" t="n">
        <v>4</v>
      </c>
      <c r="BM7" s="181" t="n">
        <v>4</v>
      </c>
      <c r="BN7" s="181">
        <f>Q7</f>
        <v>0.0</v>
      </c>
      <c r="BO7" s="181">
        <f>AC7</f>
        <v>1.0</v>
      </c>
      <c r="BP7" s="181">
        <f>AO7</f>
        <v>2.0</v>
      </c>
      <c r="BQ7" s="181">
        <f>BA7</f>
        <v>3.0</v>
      </c>
      <c r="BR7" s="181">
        <f>BM7</f>
        <v>4.0</v>
      </c>
    </row>
    <row r="8">
      <c r="C8" s="76" t="inlineStr">
        <is>
          <t>CS（税理士オンボ・サポート）</t>
        </is>
      </c>
      <c r="D8" s="76" t="inlineStr">
        <is>
          <t>1人あたり100事務所を担当（SMB SaaS標準）。M7から</t>
        </is>
      </c>
      <c r="F8" s="181" t="n">
        <v>0</v>
      </c>
      <c r="G8" s="181" t="n">
        <v>0</v>
      </c>
      <c r="H8" s="181" t="n">
        <v>0</v>
      </c>
      <c r="I8" s="181" t="n">
        <v>0</v>
      </c>
      <c r="J8" s="181" t="n">
        <v>0</v>
      </c>
      <c r="K8" s="181" t="n">
        <v>0</v>
      </c>
      <c r="L8" s="181">
        <f>ROUNDUP(SaaS!L17/100,0)</f>
        <v>1.0</v>
      </c>
      <c r="M8" s="181">
        <f>ROUNDUP(SaaS!M17/100,0)</f>
        <v>1.0</v>
      </c>
      <c r="N8" s="181">
        <f>ROUNDUP(SaaS!N17/100,0)</f>
        <v>1.0</v>
      </c>
      <c r="O8" s="181">
        <f>ROUNDUP(SaaS!O17/100,0)</f>
        <v>1.0</v>
      </c>
      <c r="P8" s="181">
        <f>ROUNDUP(SaaS!P17/100,0)</f>
        <v>1.0</v>
      </c>
      <c r="Q8" s="181">
        <f>ROUNDUP(SaaS!Q17/100,0)</f>
        <v>1.0</v>
      </c>
      <c r="R8" s="181">
        <f>ROUNDUP(SaaS!R17/100,0)</f>
        <v>1.0</v>
      </c>
      <c r="S8" s="181">
        <f>ROUNDUP(SaaS!S17/100,0)</f>
        <v>1.0</v>
      </c>
      <c r="T8" s="181">
        <f>ROUNDUP(SaaS!T17/100,0)</f>
        <v>1.0</v>
      </c>
      <c r="U8" s="181">
        <f>ROUNDUP(SaaS!U17/100,0)</f>
        <v>1.0</v>
      </c>
      <c r="V8" s="181">
        <f>ROUNDUP(SaaS!V17/100,0)</f>
        <v>1.0</v>
      </c>
      <c r="W8" s="181">
        <f>ROUNDUP(SaaS!W17/100,0)</f>
        <v>2.0</v>
      </c>
      <c r="X8" s="181">
        <f>ROUNDUP(SaaS!X17/100,0)</f>
        <v>2.0</v>
      </c>
      <c r="Y8" s="181">
        <f>ROUNDUP(SaaS!Y17/100,0)</f>
        <v>2.0</v>
      </c>
      <c r="Z8" s="181">
        <f>ROUNDUP(SaaS!Z17/100,0)</f>
        <v>2.0</v>
      </c>
      <c r="AA8" s="181">
        <f>ROUNDUP(SaaS!AA17/100,0)</f>
        <v>2.0</v>
      </c>
      <c r="AB8" s="181">
        <f>ROUNDUP(SaaS!AB17/100,0)</f>
        <v>2.0</v>
      </c>
      <c r="AC8" s="181">
        <f>ROUNDUP(SaaS!AC17/100,0)</f>
        <v>2.0</v>
      </c>
      <c r="AD8" s="181">
        <f>ROUNDUP(SaaS!AD17/100,0)</f>
        <v>2.0</v>
      </c>
      <c r="AE8" s="181">
        <f>ROUNDUP(SaaS!AE17/100,0)</f>
        <v>2.0</v>
      </c>
      <c r="AF8" s="181">
        <f>ROUNDUP(SaaS!AF17/100,0)</f>
        <v>2.0</v>
      </c>
      <c r="AG8" s="181">
        <f>ROUNDUP(SaaS!AG17/100,0)</f>
        <v>2.0</v>
      </c>
      <c r="AH8" s="181">
        <f>ROUNDUP(SaaS!AH17/100,0)</f>
        <v>3.0</v>
      </c>
      <c r="AI8" s="181">
        <f>ROUNDUP(SaaS!AI17/100,0)</f>
        <v>3.0</v>
      </c>
      <c r="AJ8" s="181">
        <f>ROUNDUP(SaaS!AJ17/100,0)</f>
        <v>3.0</v>
      </c>
      <c r="AK8" s="181">
        <f>ROUNDUP(SaaS!AK17/100,0)</f>
        <v>3.0</v>
      </c>
      <c r="AL8" s="181">
        <f>ROUNDUP(SaaS!AL17/100,0)</f>
        <v>3.0</v>
      </c>
      <c r="AM8" s="181">
        <f>ROUNDUP(SaaS!AM17/100,0)</f>
        <v>3.0</v>
      </c>
      <c r="AN8" s="181">
        <f>ROUNDUP(SaaS!AN17/100,0)</f>
        <v>3.0</v>
      </c>
      <c r="AO8" s="181">
        <f>ROUNDUP(SaaS!AO17/100,0)</f>
        <v>3.0</v>
      </c>
      <c r="AP8" s="181">
        <f>ROUNDUP(SaaS!AP17/100,0)</f>
        <v>3.0</v>
      </c>
      <c r="AQ8" s="181">
        <f>ROUNDUP(SaaS!AQ17/100,0)</f>
        <v>4.0</v>
      </c>
      <c r="AR8" s="181">
        <f>ROUNDUP(SaaS!AR17/100,0)</f>
        <v>4.0</v>
      </c>
      <c r="AS8" s="181">
        <f>ROUNDUP(SaaS!AS17/100,0)</f>
        <v>4.0</v>
      </c>
      <c r="AT8" s="181">
        <f>ROUNDUP(SaaS!AT17/100,0)</f>
        <v>4.0</v>
      </c>
      <c r="AU8" s="181">
        <f>ROUNDUP(SaaS!AU17/100,0)</f>
        <v>4.0</v>
      </c>
      <c r="AV8" s="181">
        <f>ROUNDUP(SaaS!AV17/100,0)</f>
        <v>4.0</v>
      </c>
      <c r="AW8" s="181">
        <f>ROUNDUP(SaaS!AW17/100,0)</f>
        <v>4.0</v>
      </c>
      <c r="AX8" s="181">
        <f>ROUNDUP(SaaS!AX17/100,0)</f>
        <v>4.0</v>
      </c>
      <c r="AY8" s="181">
        <f>ROUNDUP(SaaS!AY17/100,0)</f>
        <v>5.0</v>
      </c>
      <c r="AZ8" s="181">
        <f>ROUNDUP(SaaS!AZ17/100,0)</f>
        <v>5.0</v>
      </c>
      <c r="BA8" s="181">
        <f>ROUNDUP(SaaS!BA17/100,0)</f>
        <v>5.0</v>
      </c>
      <c r="BB8" s="181">
        <f>ROUNDUP(SaaS!BB17/100,0)</f>
        <v>5.0</v>
      </c>
      <c r="BC8" s="181">
        <f>ROUNDUP(SaaS!BC17/100,0)</f>
        <v>5.0</v>
      </c>
      <c r="BD8" s="181">
        <f>ROUNDUP(SaaS!BD17/100,0)</f>
        <v>5.0</v>
      </c>
      <c r="BE8" s="181">
        <f>ROUNDUP(SaaS!BE17/100,0)</f>
        <v>5.0</v>
      </c>
      <c r="BF8" s="181">
        <f>ROUNDUP(SaaS!BF17/100,0)</f>
        <v>6.0</v>
      </c>
      <c r="BG8" s="181">
        <f>ROUNDUP(SaaS!BG17/100,0)</f>
        <v>6.0</v>
      </c>
      <c r="BH8" s="181">
        <f>ROUNDUP(SaaS!BH17/100,0)</f>
        <v>6.0</v>
      </c>
      <c r="BI8" s="181">
        <f>ROUNDUP(SaaS!BI17/100,0)</f>
        <v>6.0</v>
      </c>
      <c r="BJ8" s="181">
        <f>ROUNDUP(SaaS!BJ17/100,0)</f>
        <v>6.0</v>
      </c>
      <c r="BK8" s="181">
        <f>ROUNDUP(SaaS!BK17/100,0)</f>
        <v>6.0</v>
      </c>
      <c r="BL8" s="181">
        <f>ROUNDUP(SaaS!BL17/100,0)</f>
        <v>7.0</v>
      </c>
      <c r="BM8" s="181">
        <f>ROUNDUP(SaaS!BM17/100,0)</f>
        <v>7.0</v>
      </c>
      <c r="BN8" s="181">
        <f>Q8</f>
        <v>1.0</v>
      </c>
      <c r="BO8" s="181">
        <f>AC8</f>
        <v>2.0</v>
      </c>
      <c r="BP8" s="181">
        <f>AO8</f>
        <v>3.0</v>
      </c>
      <c r="BQ8" s="181">
        <f>BA8</f>
        <v>5.0</v>
      </c>
      <c r="BR8" s="181">
        <f>BM8</f>
        <v>7.0</v>
      </c>
    </row>
    <row r="9">
      <c r="C9" s="76" t="inlineStr">
        <is>
          <t>営業</t>
        </is>
      </c>
      <c r="D9" s="76" t="inlineStr">
        <is>
          <t>1人あたり月8件成約で逆算。M10から</t>
        </is>
      </c>
      <c r="F9" s="181" t="n">
        <v>0</v>
      </c>
      <c r="G9" s="181" t="n">
        <v>0</v>
      </c>
      <c r="H9" s="181" t="n">
        <v>0</v>
      </c>
      <c r="I9" s="181" t="n">
        <v>0</v>
      </c>
      <c r="J9" s="181" t="n">
        <v>0</v>
      </c>
      <c r="K9" s="181" t="n">
        <v>0</v>
      </c>
      <c r="L9" s="181" t="n">
        <v>0</v>
      </c>
      <c r="M9" s="181" t="n">
        <v>0</v>
      </c>
      <c r="N9" s="181" t="n">
        <v>0</v>
      </c>
      <c r="O9" s="181">
        <f>ROUNDUP(SaaS!O18/8,0)</f>
        <v>1.0</v>
      </c>
      <c r="P9" s="181">
        <f>ROUNDUP(SaaS!P18/8,0)</f>
        <v>1.0</v>
      </c>
      <c r="Q9" s="181">
        <f>ROUNDUP(SaaS!Q18/8,0)</f>
        <v>1.0</v>
      </c>
      <c r="R9" s="181">
        <f>ROUNDUP(SaaS!R18/8,0)</f>
        <v>1.0</v>
      </c>
      <c r="S9" s="181">
        <f>ROUNDUP(SaaS!S18/8,0)</f>
        <v>1.0</v>
      </c>
      <c r="T9" s="181">
        <f>ROUNDUP(SaaS!T18/8,0)</f>
        <v>2.0</v>
      </c>
      <c r="U9" s="181">
        <f>ROUNDUP(SaaS!U18/8,0)</f>
        <v>2.0</v>
      </c>
      <c r="V9" s="181">
        <f>ROUNDUP(SaaS!V18/8,0)</f>
        <v>2.0</v>
      </c>
      <c r="W9" s="181">
        <f>ROUNDUP(SaaS!W18/8,0)</f>
        <v>2.0</v>
      </c>
      <c r="X9" s="181">
        <f>ROUNDUP(SaaS!X18/8,0)</f>
        <v>2.0</v>
      </c>
      <c r="Y9" s="181">
        <f>ROUNDUP(SaaS!Y18/8,0)</f>
        <v>2.0</v>
      </c>
      <c r="Z9" s="181">
        <f>ROUNDUP(SaaS!Z18/8,0)</f>
        <v>2.0</v>
      </c>
      <c r="AA9" s="181">
        <f>ROUNDUP(SaaS!AA18/8,0)</f>
        <v>2.0</v>
      </c>
      <c r="AB9" s="181">
        <f>ROUNDUP(SaaS!AB18/8,0)</f>
        <v>2.0</v>
      </c>
      <c r="AC9" s="181">
        <f>ROUNDUP(SaaS!AC18/8,0)</f>
        <v>2.0</v>
      </c>
      <c r="AD9" s="181">
        <f>ROUNDUP(SaaS!AD18/8,0)</f>
        <v>2.0</v>
      </c>
      <c r="AE9" s="181">
        <f>ROUNDUP(SaaS!AE18/8,0)</f>
        <v>2.0</v>
      </c>
      <c r="AF9" s="181">
        <f>ROUNDUP(SaaS!AF18/8,0)</f>
        <v>2.0</v>
      </c>
      <c r="AG9" s="181">
        <f>ROUNDUP(SaaS!AG18/8,0)</f>
        <v>2.0</v>
      </c>
      <c r="AH9" s="181">
        <f>ROUNDUP(SaaS!AH18/8,0)</f>
        <v>2.0</v>
      </c>
      <c r="AI9" s="181">
        <f>ROUNDUP(SaaS!AI18/8,0)</f>
        <v>2.0</v>
      </c>
      <c r="AJ9" s="181">
        <f>ROUNDUP(SaaS!AJ18/8,0)</f>
        <v>2.0</v>
      </c>
      <c r="AK9" s="181">
        <f>ROUNDUP(SaaS!AK18/8,0)</f>
        <v>2.0</v>
      </c>
      <c r="AL9" s="181">
        <f>ROUNDUP(SaaS!AL18/8,0)</f>
        <v>2.0</v>
      </c>
      <c r="AM9" s="181">
        <f>ROUNDUP(SaaS!AM18/8,0)</f>
        <v>2.0</v>
      </c>
      <c r="AN9" s="181">
        <f>ROUNDUP(SaaS!AN18/8,0)</f>
        <v>2.0</v>
      </c>
      <c r="AO9" s="181">
        <f>ROUNDUP(SaaS!AO18/8,0)</f>
        <v>2.0</v>
      </c>
      <c r="AP9" s="181">
        <f>ROUNDUP(SaaS!AP18/8,0)</f>
        <v>2.0</v>
      </c>
      <c r="AQ9" s="181">
        <f>ROUNDUP(SaaS!AQ18/8,0)</f>
        <v>2.0</v>
      </c>
      <c r="AR9" s="181">
        <f>ROUNDUP(SaaS!AR18/8,0)</f>
        <v>3.0</v>
      </c>
      <c r="AS9" s="181">
        <f>ROUNDUP(SaaS!AS18/8,0)</f>
        <v>3.0</v>
      </c>
      <c r="AT9" s="181">
        <f>ROUNDUP(SaaS!AT18/8,0)</f>
        <v>3.0</v>
      </c>
      <c r="AU9" s="181">
        <f>ROUNDUP(SaaS!AU18/8,0)</f>
        <v>3.0</v>
      </c>
      <c r="AV9" s="181">
        <f>ROUNDUP(SaaS!AV18/8,0)</f>
        <v>3.0</v>
      </c>
      <c r="AW9" s="181">
        <f>ROUNDUP(SaaS!AW18/8,0)</f>
        <v>3.0</v>
      </c>
      <c r="AX9" s="181">
        <f>ROUNDUP(SaaS!AX18/8,0)</f>
        <v>3.0</v>
      </c>
      <c r="AY9" s="181">
        <f>ROUNDUP(SaaS!AY18/8,0)</f>
        <v>3.0</v>
      </c>
      <c r="AZ9" s="181">
        <f>ROUNDUP(SaaS!AZ18/8,0)</f>
        <v>3.0</v>
      </c>
      <c r="BA9" s="181">
        <f>ROUNDUP(SaaS!BA18/8,0)</f>
        <v>3.0</v>
      </c>
      <c r="BB9" s="181">
        <f>ROUNDUP(SaaS!BB18/8,0)</f>
        <v>3.0</v>
      </c>
      <c r="BC9" s="181">
        <f>ROUNDUP(SaaS!BC18/8,0)</f>
        <v>3.0</v>
      </c>
      <c r="BD9" s="181">
        <f>ROUNDUP(SaaS!BD18/8,0)</f>
        <v>3.0</v>
      </c>
      <c r="BE9" s="181">
        <f>ROUNDUP(SaaS!BE18/8,0)</f>
        <v>3.0</v>
      </c>
      <c r="BF9" s="181">
        <f>ROUNDUP(SaaS!BF18/8,0)</f>
        <v>3.0</v>
      </c>
      <c r="BG9" s="181">
        <f>ROUNDUP(SaaS!BG18/8,0)</f>
        <v>3.0</v>
      </c>
      <c r="BH9" s="181">
        <f>ROUNDUP(SaaS!BH18/8,0)</f>
        <v>3.0</v>
      </c>
      <c r="BI9" s="181">
        <f>ROUNDUP(SaaS!BI18/8,0)</f>
        <v>3.0</v>
      </c>
      <c r="BJ9" s="181">
        <f>ROUNDUP(SaaS!BJ18/8,0)</f>
        <v>3.0</v>
      </c>
      <c r="BK9" s="181">
        <f>ROUNDUP(SaaS!BK18/8,0)</f>
        <v>3.0</v>
      </c>
      <c r="BL9" s="181">
        <f>ROUNDUP(SaaS!BL18/8,0)</f>
        <v>3.0</v>
      </c>
      <c r="BM9" s="181">
        <f>ROUNDUP(SaaS!BM18/8,0)</f>
        <v>3.0</v>
      </c>
      <c r="BN9" s="181">
        <f>Q9</f>
        <v>1.0</v>
      </c>
      <c r="BO9" s="181">
        <f>AC9</f>
        <v>2.0</v>
      </c>
      <c r="BP9" s="181">
        <f>AO9</f>
        <v>2.0</v>
      </c>
      <c r="BQ9" s="181">
        <f>BA9</f>
        <v>3.0</v>
      </c>
      <c r="BR9" s="181">
        <f>BM9</f>
        <v>3.0</v>
      </c>
    </row>
    <row r="10">
      <c r="A10" s="182" t="n"/>
      <c r="B10" s="182" t="n"/>
      <c r="C10" s="76" t="inlineStr">
        <is>
          <t>コンサルタント</t>
        </is>
      </c>
      <c r="D10" s="76" t="inlineStr">
        <is>
          <t>1人10案件（Takeru確認済）。1人目は役員が兼務するため-1</t>
        </is>
      </c>
      <c r="F10" s="181">
        <f>MAX(0,ROUNDUP('事業・組織再生コンサル'!F7/10,0)-1)</f>
        <v>0.0</v>
      </c>
      <c r="G10" s="181">
        <f>MAX(0,ROUNDUP('事業・組織再生コンサル'!G7/10,0)-1)</f>
        <v>0.0</v>
      </c>
      <c r="H10" s="181">
        <f>MAX(0,ROUNDUP('事業・組織再生コンサル'!H7/10,0)-1)</f>
        <v>0.0</v>
      </c>
      <c r="I10" s="181">
        <f>MAX(0,ROUNDUP('事業・組織再生コンサル'!I7/10,0)-1)</f>
        <v>0.0</v>
      </c>
      <c r="J10" s="181">
        <f>MAX(0,ROUNDUP('事業・組織再生コンサル'!J7/10,0)-1)</f>
        <v>0.0</v>
      </c>
      <c r="K10" s="181">
        <f>MAX(0,ROUNDUP('事業・組織再生コンサル'!K7/10,0)-1)</f>
        <v>0.0</v>
      </c>
      <c r="L10" s="181">
        <f>MAX(0,ROUNDUP('事業・組織再生コンサル'!L7/10,0)-1)</f>
        <v>0.0</v>
      </c>
      <c r="M10" s="181">
        <f>MAX(0,ROUNDUP('事業・組織再生コンサル'!M7/10,0)-1)</f>
        <v>0.0</v>
      </c>
      <c r="N10" s="181">
        <f>MAX(0,ROUNDUP('事業・組織再生コンサル'!N7/10,0)-1)</f>
        <v>0.0</v>
      </c>
      <c r="O10" s="181">
        <f>MAX(0,ROUNDUP('事業・組織再生コンサル'!O7/10,0)-1)</f>
        <v>0.0</v>
      </c>
      <c r="P10" s="181">
        <f>MAX(0,ROUNDUP('事業・組織再生コンサル'!P7/10,0)-1)</f>
        <v>0.0</v>
      </c>
      <c r="Q10" s="181">
        <f>MAX(0,ROUNDUP('事業・組織再生コンサル'!Q7/10,0)-1)</f>
        <v>0.0</v>
      </c>
      <c r="R10" s="181">
        <f>MAX(0,ROUNDUP('事業・組織再生コンサル'!R7/10,0)-1)</f>
        <v>0.0</v>
      </c>
      <c r="S10" s="181">
        <f>MAX(0,ROUNDUP('事業・組織再生コンサル'!S7/10,0)-1)</f>
        <v>0.0</v>
      </c>
      <c r="T10" s="181">
        <f>MAX(0,ROUNDUP('事業・組織再生コンサル'!T7/10,0)-1)</f>
        <v>0.0</v>
      </c>
      <c r="U10" s="181">
        <f>MAX(0,ROUNDUP('事業・組織再生コンサル'!U7/10,0)-1)</f>
        <v>0.0</v>
      </c>
      <c r="V10" s="181">
        <f>MAX(0,ROUNDUP('事業・組織再生コンサル'!V7/10,0)-1)</f>
        <v>0.0</v>
      </c>
      <c r="W10" s="181">
        <f>MAX(0,ROUNDUP('事業・組織再生コンサル'!W7/10,0)-1)</f>
        <v>0.0</v>
      </c>
      <c r="X10" s="181">
        <f>MAX(0,ROUNDUP('事業・組織再生コンサル'!X7/10,0)-1)</f>
        <v>1.0</v>
      </c>
      <c r="Y10" s="181">
        <f>MAX(0,ROUNDUP('事業・組織再生コンサル'!Y7/10,0)-1)</f>
        <v>1.0</v>
      </c>
      <c r="Z10" s="181">
        <f>MAX(0,ROUNDUP('事業・組織再生コンサル'!Z7/10,0)-1)</f>
        <v>1.0</v>
      </c>
      <c r="AA10" s="181">
        <f>MAX(0,ROUNDUP('事業・組織再生コンサル'!AA7/10,0)-1)</f>
        <v>1.0</v>
      </c>
      <c r="AB10" s="181">
        <f>MAX(0,ROUNDUP('事業・組織再生コンサル'!AB7/10,0)-1)</f>
        <v>1.0</v>
      </c>
      <c r="AC10" s="181">
        <f>MAX(0,ROUNDUP('事業・組織再生コンサル'!AC7/10,0)-1)</f>
        <v>1.0</v>
      </c>
      <c r="AD10" s="181">
        <f>MAX(0,ROUNDUP('事業・組織再生コンサル'!AD7/10,0)-1)</f>
        <v>1.0</v>
      </c>
      <c r="AE10" s="181">
        <f>MAX(0,ROUNDUP('事業・組織再生コンサル'!AE7/10,0)-1)</f>
        <v>1.0</v>
      </c>
      <c r="AF10" s="181">
        <f>MAX(0,ROUNDUP('事業・組織再生コンサル'!AF7/10,0)-1)</f>
        <v>1.0</v>
      </c>
      <c r="AG10" s="181">
        <f>MAX(0,ROUNDUP('事業・組織再生コンサル'!AG7/10,0)-1)</f>
        <v>1.0</v>
      </c>
      <c r="AH10" s="181">
        <f>MAX(0,ROUNDUP('事業・組織再生コンサル'!AH7/10,0)-1)</f>
        <v>1.0</v>
      </c>
      <c r="AI10" s="181">
        <f>MAX(0,ROUNDUP('事業・組織再生コンサル'!AI7/10,0)-1)</f>
        <v>1.0</v>
      </c>
      <c r="AJ10" s="181">
        <f>MAX(0,ROUNDUP('事業・組織再生コンサル'!AJ7/10,0)-1)</f>
        <v>1.0</v>
      </c>
      <c r="AK10" s="181">
        <f>MAX(0,ROUNDUP('事業・組織再生コンサル'!AK7/10,0)-1)</f>
        <v>2.0</v>
      </c>
      <c r="AL10" s="181">
        <f>MAX(0,ROUNDUP('事業・組織再生コンサル'!AL7/10,0)-1)</f>
        <v>2.0</v>
      </c>
      <c r="AM10" s="181">
        <f>MAX(0,ROUNDUP('事業・組織再生コンサル'!AM7/10,0)-1)</f>
        <v>2.0</v>
      </c>
      <c r="AN10" s="181">
        <f>MAX(0,ROUNDUP('事業・組織再生コンサル'!AN7/10,0)-1)</f>
        <v>2.0</v>
      </c>
      <c r="AO10" s="181">
        <f>MAX(0,ROUNDUP('事業・組織再生コンサル'!AO7/10,0)-1)</f>
        <v>2.0</v>
      </c>
      <c r="AP10" s="181">
        <f>MAX(0,ROUNDUP('事業・組織再生コンサル'!AP7/10,0)-1)</f>
        <v>2.0</v>
      </c>
      <c r="AQ10" s="181">
        <f>MAX(0,ROUNDUP('事業・組織再生コンサル'!AQ7/10,0)-1)</f>
        <v>2.0</v>
      </c>
      <c r="AR10" s="181">
        <f>MAX(0,ROUNDUP('事業・組織再生コンサル'!AR7/10,0)-1)</f>
        <v>2.0</v>
      </c>
      <c r="AS10" s="181">
        <f>MAX(0,ROUNDUP('事業・組織再生コンサル'!AS7/10,0)-1)</f>
        <v>2.0</v>
      </c>
      <c r="AT10" s="181">
        <f>MAX(0,ROUNDUP('事業・組織再生コンサル'!AT7/10,0)-1)</f>
        <v>2.0</v>
      </c>
      <c r="AU10" s="181">
        <f>MAX(0,ROUNDUP('事業・組織再生コンサル'!AU7/10,0)-1)</f>
        <v>2.0</v>
      </c>
      <c r="AV10" s="181">
        <f>MAX(0,ROUNDUP('事業・組織再生コンサル'!AV7/10,0)-1)</f>
        <v>2.0</v>
      </c>
      <c r="AW10" s="181">
        <f>MAX(0,ROUNDUP('事業・組織再生コンサル'!AW7/10,0)-1)</f>
        <v>3.0</v>
      </c>
      <c r="AX10" s="181">
        <f>MAX(0,ROUNDUP('事業・組織再生コンサル'!AX7/10,0)-1)</f>
        <v>3.0</v>
      </c>
      <c r="AY10" s="181">
        <f>MAX(0,ROUNDUP('事業・組織再生コンサル'!AY7/10,0)-1)</f>
        <v>3.0</v>
      </c>
      <c r="AZ10" s="181">
        <f>MAX(0,ROUNDUP('事業・組織再生コンサル'!AZ7/10,0)-1)</f>
        <v>3.0</v>
      </c>
      <c r="BA10" s="181">
        <f>MAX(0,ROUNDUP('事業・組織再生コンサル'!BA7/10,0)-1)</f>
        <v>3.0</v>
      </c>
      <c r="BB10" s="181">
        <f>MAX(0,ROUNDUP('事業・組織再生コンサル'!BB7/10,0)-1)</f>
        <v>3.0</v>
      </c>
      <c r="BC10" s="181">
        <f>MAX(0,ROUNDUP('事業・組織再生コンサル'!BC7/10,0)-1)</f>
        <v>3.0</v>
      </c>
      <c r="BD10" s="181">
        <f>MAX(0,ROUNDUP('事業・組織再生コンサル'!BD7/10,0)-1)</f>
        <v>3.0</v>
      </c>
      <c r="BE10" s="181">
        <f>MAX(0,ROUNDUP('事業・組織再生コンサル'!BE7/10,0)-1)</f>
        <v>3.0</v>
      </c>
      <c r="BF10" s="181">
        <f>MAX(0,ROUNDUP('事業・組織再生コンサル'!BF7/10,0)-1)</f>
        <v>3.0</v>
      </c>
      <c r="BG10" s="181">
        <f>MAX(0,ROUNDUP('事業・組織再生コンサル'!BG7/10,0)-1)</f>
        <v>3.0</v>
      </c>
      <c r="BH10" s="181">
        <f>MAX(0,ROUNDUP('事業・組織再生コンサル'!BH7/10,0)-1)</f>
        <v>4.0</v>
      </c>
      <c r="BI10" s="181">
        <f>MAX(0,ROUNDUP('事業・組織再生コンサル'!BI7/10,0)-1)</f>
        <v>4.0</v>
      </c>
      <c r="BJ10" s="181">
        <f>MAX(0,ROUNDUP('事業・組織再生コンサル'!BJ7/10,0)-1)</f>
        <v>4.0</v>
      </c>
      <c r="BK10" s="181">
        <f>MAX(0,ROUNDUP('事業・組織再生コンサル'!BK7/10,0)-1)</f>
        <v>4.0</v>
      </c>
      <c r="BL10" s="181">
        <f>MAX(0,ROUNDUP('事業・組織再生コンサル'!BL7/10,0)-1)</f>
        <v>4.0</v>
      </c>
      <c r="BM10" s="181">
        <f>MAX(0,ROUNDUP('事業・組織再生コンサル'!BM7/10,0)-1)</f>
        <v>4.0</v>
      </c>
      <c r="BN10" s="181">
        <f>Q10</f>
        <v>0.0</v>
      </c>
      <c r="BO10" s="181">
        <f>AC10</f>
        <v>1.0</v>
      </c>
      <c r="BP10" s="181">
        <f>AO10</f>
        <v>2.0</v>
      </c>
      <c r="BQ10" s="181">
        <f>BA10</f>
        <v>3.0</v>
      </c>
      <c r="BR10" s="181">
        <f>BM10</f>
        <v>4.0</v>
      </c>
    </row>
    <row r="11">
      <c r="C11" s="76" t="inlineStr">
        <is>
          <t>バックオフィス</t>
        </is>
      </c>
      <c r="D11" s="76" t="inlineStr">
        <is>
          <t>Y2に1人・Y4に2人。推定</t>
        </is>
      </c>
      <c r="F11" s="181" t="n">
        <v>0</v>
      </c>
      <c r="G11" s="181" t="n">
        <v>0</v>
      </c>
      <c r="H11" s="181" t="n">
        <v>0</v>
      </c>
      <c r="I11" s="181" t="n">
        <v>0</v>
      </c>
      <c r="J11" s="181" t="n">
        <v>0</v>
      </c>
      <c r="K11" s="181" t="n">
        <v>0</v>
      </c>
      <c r="L11" s="181" t="n">
        <v>0</v>
      </c>
      <c r="M11" s="181" t="n">
        <v>0</v>
      </c>
      <c r="N11" s="181" t="n">
        <v>0</v>
      </c>
      <c r="O11" s="181" t="n">
        <v>0</v>
      </c>
      <c r="P11" s="181" t="n">
        <v>0</v>
      </c>
      <c r="Q11" s="181" t="n">
        <v>0</v>
      </c>
      <c r="R11" s="181" t="n">
        <v>1</v>
      </c>
      <c r="S11" s="181" t="n">
        <v>1</v>
      </c>
      <c r="T11" s="181" t="n">
        <v>1</v>
      </c>
      <c r="U11" s="181" t="n">
        <v>1</v>
      </c>
      <c r="V11" s="181" t="n">
        <v>1</v>
      </c>
      <c r="W11" s="181" t="n">
        <v>1</v>
      </c>
      <c r="X11" s="181" t="n">
        <v>1</v>
      </c>
      <c r="Y11" s="181" t="n">
        <v>1</v>
      </c>
      <c r="Z11" s="181" t="n">
        <v>1</v>
      </c>
      <c r="AA11" s="181" t="n">
        <v>1</v>
      </c>
      <c r="AB11" s="181" t="n">
        <v>1</v>
      </c>
      <c r="AC11" s="181" t="n">
        <v>1</v>
      </c>
      <c r="AD11" s="181" t="n">
        <v>1</v>
      </c>
      <c r="AE11" s="181" t="n">
        <v>1</v>
      </c>
      <c r="AF11" s="181" t="n">
        <v>1</v>
      </c>
      <c r="AG11" s="181" t="n">
        <v>1</v>
      </c>
      <c r="AH11" s="181" t="n">
        <v>1</v>
      </c>
      <c r="AI11" s="181" t="n">
        <v>1</v>
      </c>
      <c r="AJ11" s="181" t="n">
        <v>1</v>
      </c>
      <c r="AK11" s="181" t="n">
        <v>1</v>
      </c>
      <c r="AL11" s="181" t="n">
        <v>1</v>
      </c>
      <c r="AM11" s="181" t="n">
        <v>1</v>
      </c>
      <c r="AN11" s="181" t="n">
        <v>1</v>
      </c>
      <c r="AO11" s="181" t="n">
        <v>1</v>
      </c>
      <c r="AP11" s="181" t="n">
        <v>2</v>
      </c>
      <c r="AQ11" s="181" t="n">
        <v>2</v>
      </c>
      <c r="AR11" s="181" t="n">
        <v>2</v>
      </c>
      <c r="AS11" s="181" t="n">
        <v>2</v>
      </c>
      <c r="AT11" s="181" t="n">
        <v>2</v>
      </c>
      <c r="AU11" s="181" t="n">
        <v>2</v>
      </c>
      <c r="AV11" s="181" t="n">
        <v>2</v>
      </c>
      <c r="AW11" s="181" t="n">
        <v>2</v>
      </c>
      <c r="AX11" s="181" t="n">
        <v>2</v>
      </c>
      <c r="AY11" s="181" t="n">
        <v>2</v>
      </c>
      <c r="AZ11" s="181" t="n">
        <v>2</v>
      </c>
      <c r="BA11" s="181" t="n">
        <v>2</v>
      </c>
      <c r="BB11" s="181" t="n">
        <v>2</v>
      </c>
      <c r="BC11" s="181" t="n">
        <v>2</v>
      </c>
      <c r="BD11" s="181" t="n">
        <v>2</v>
      </c>
      <c r="BE11" s="181" t="n">
        <v>2</v>
      </c>
      <c r="BF11" s="181" t="n">
        <v>2</v>
      </c>
      <c r="BG11" s="181" t="n">
        <v>2</v>
      </c>
      <c r="BH11" s="181" t="n">
        <v>2</v>
      </c>
      <c r="BI11" s="181" t="n">
        <v>2</v>
      </c>
      <c r="BJ11" s="181" t="n">
        <v>2</v>
      </c>
      <c r="BK11" s="181" t="n">
        <v>2</v>
      </c>
      <c r="BL11" s="181" t="n">
        <v>2</v>
      </c>
      <c r="BM11" s="181" t="n">
        <v>2</v>
      </c>
      <c r="BN11" s="181">
        <f>Q11</f>
        <v>0.0</v>
      </c>
      <c r="BO11" s="181">
        <f>AC11</f>
        <v>1.0</v>
      </c>
      <c r="BP11" s="181">
        <f>AO11</f>
        <v>1.0</v>
      </c>
      <c r="BQ11" s="181">
        <f>BA11</f>
        <v>2.0</v>
      </c>
      <c r="BR11" s="181">
        <f>BM11</f>
        <v>2.0</v>
      </c>
    </row>
    <row r="12">
      <c r="C12" s="76" t="inlineStr">
        <is>
          <t>人数合計</t>
        </is>
      </c>
      <c r="F12" s="181">
        <f>SUM(F6:F11)</f>
        <v>3.0</v>
      </c>
      <c r="G12" s="181">
        <f>SUM(G6:G11)</f>
        <v>3.0</v>
      </c>
      <c r="H12" s="181">
        <f>SUM(H6:H11)</f>
        <v>3.0</v>
      </c>
      <c r="I12" s="181">
        <f>SUM(I6:I11)</f>
        <v>3.0</v>
      </c>
      <c r="J12" s="181">
        <f>SUM(J6:J11)</f>
        <v>3.0</v>
      </c>
      <c r="K12" s="181">
        <f>SUM(K6:K11)</f>
        <v>3.0</v>
      </c>
      <c r="L12" s="181">
        <f>SUM(L6:L11)</f>
        <v>4.0</v>
      </c>
      <c r="M12" s="181">
        <f>SUM(M6:M11)</f>
        <v>4.0</v>
      </c>
      <c r="N12" s="181">
        <f>SUM(N6:N11)</f>
        <v>4.0</v>
      </c>
      <c r="O12" s="181">
        <f>SUM(O6:O11)</f>
        <v>5.0</v>
      </c>
      <c r="P12" s="181">
        <f>SUM(P6:P11)</f>
        <v>5.0</v>
      </c>
      <c r="Q12" s="181">
        <f>SUM(Q6:Q11)</f>
        <v>5.0</v>
      </c>
      <c r="R12" s="181">
        <f>SUM(R6:R11)</f>
        <v>7.0</v>
      </c>
      <c r="S12" s="181">
        <f>SUM(S6:S11)</f>
        <v>7.0</v>
      </c>
      <c r="T12" s="181">
        <f>SUM(T6:T11)</f>
        <v>8.0</v>
      </c>
      <c r="U12" s="181">
        <f>SUM(U6:U11)</f>
        <v>8.0</v>
      </c>
      <c r="V12" s="181">
        <f>SUM(V6:V11)</f>
        <v>8.0</v>
      </c>
      <c r="W12" s="181">
        <f>SUM(W6:W11)</f>
        <v>9.0</v>
      </c>
      <c r="X12" s="181">
        <f>SUM(X6:X11)</f>
        <v>10.0</v>
      </c>
      <c r="Y12" s="181">
        <f>SUM(Y6:Y11)</f>
        <v>10.0</v>
      </c>
      <c r="Z12" s="181">
        <f>SUM(Z6:Z11)</f>
        <v>10.0</v>
      </c>
      <c r="AA12" s="181">
        <f>SUM(AA6:AA11)</f>
        <v>10.0</v>
      </c>
      <c r="AB12" s="181">
        <f>SUM(AB6:AB11)</f>
        <v>10.0</v>
      </c>
      <c r="AC12" s="181">
        <f>SUM(AC6:AC11)</f>
        <v>10.0</v>
      </c>
      <c r="AD12" s="181">
        <f>SUM(AD6:AD11)</f>
        <v>11.0</v>
      </c>
      <c r="AE12" s="181">
        <f>SUM(AE6:AE11)</f>
        <v>11.0</v>
      </c>
      <c r="AF12" s="181">
        <f>SUM(AF6:AF11)</f>
        <v>11.0</v>
      </c>
      <c r="AG12" s="181">
        <f>SUM(AG6:AG11)</f>
        <v>11.0</v>
      </c>
      <c r="AH12" s="181">
        <f>SUM(AH6:AH11)</f>
        <v>12.0</v>
      </c>
      <c r="AI12" s="181">
        <f>SUM(AI6:AI11)</f>
        <v>12.0</v>
      </c>
      <c r="AJ12" s="181">
        <f>SUM(AJ6:AJ11)</f>
        <v>12.0</v>
      </c>
      <c r="AK12" s="181">
        <f>SUM(AK6:AK11)</f>
        <v>13.0</v>
      </c>
      <c r="AL12" s="181">
        <f>SUM(AL6:AL11)</f>
        <v>13.0</v>
      </c>
      <c r="AM12" s="181">
        <f>SUM(AM6:AM11)</f>
        <v>13.0</v>
      </c>
      <c r="AN12" s="181">
        <f>SUM(AN6:AN11)</f>
        <v>13.0</v>
      </c>
      <c r="AO12" s="181">
        <f>SUM(AO6:AO11)</f>
        <v>13.0</v>
      </c>
      <c r="AP12" s="181">
        <f>SUM(AP6:AP11)</f>
        <v>15.0</v>
      </c>
      <c r="AQ12" s="181">
        <f>SUM(AQ6:AQ11)</f>
        <v>16.0</v>
      </c>
      <c r="AR12" s="181">
        <f>SUM(AR6:AR11)</f>
        <v>17.0</v>
      </c>
      <c r="AS12" s="181">
        <f>SUM(AS6:AS11)</f>
        <v>17.0</v>
      </c>
      <c r="AT12" s="181">
        <f>SUM(AT6:AT11)</f>
        <v>17.0</v>
      </c>
      <c r="AU12" s="181">
        <f>SUM(AU6:AU11)</f>
        <v>17.0</v>
      </c>
      <c r="AV12" s="181">
        <f>SUM(AV6:AV11)</f>
        <v>17.0</v>
      </c>
      <c r="AW12" s="181">
        <f>SUM(AW6:AW11)</f>
        <v>18.0</v>
      </c>
      <c r="AX12" s="181">
        <f>SUM(AX6:AX11)</f>
        <v>18.0</v>
      </c>
      <c r="AY12" s="181">
        <f>SUM(AY6:AY11)</f>
        <v>19.0</v>
      </c>
      <c r="AZ12" s="181">
        <f>SUM(AZ6:AZ11)</f>
        <v>19.0</v>
      </c>
      <c r="BA12" s="181">
        <f>SUM(BA6:BA11)</f>
        <v>19.0</v>
      </c>
      <c r="BB12" s="181">
        <f>SUM(BB6:BB11)</f>
        <v>20.0</v>
      </c>
      <c r="BC12" s="181">
        <f>SUM(BC6:BC11)</f>
        <v>20.0</v>
      </c>
      <c r="BD12" s="181">
        <f>SUM(BD6:BD11)</f>
        <v>20.0</v>
      </c>
      <c r="BE12" s="181">
        <f>SUM(BE6:BE11)</f>
        <v>20.0</v>
      </c>
      <c r="BF12" s="181">
        <f>SUM(BF6:BF11)</f>
        <v>21.0</v>
      </c>
      <c r="BG12" s="181">
        <f>SUM(BG6:BG11)</f>
        <v>21.0</v>
      </c>
      <c r="BH12" s="181">
        <f>SUM(BH6:BH11)</f>
        <v>22.0</v>
      </c>
      <c r="BI12" s="181">
        <f>SUM(BI6:BI11)</f>
        <v>22.0</v>
      </c>
      <c r="BJ12" s="181">
        <f>SUM(BJ6:BJ11)</f>
        <v>22.0</v>
      </c>
      <c r="BK12" s="181">
        <f>SUM(BK6:BK11)</f>
        <v>22.0</v>
      </c>
      <c r="BL12" s="181">
        <f>SUM(BL6:BL11)</f>
        <v>23.0</v>
      </c>
      <c r="BM12" s="181">
        <f>SUM(BM6:BM11)</f>
        <v>23.0</v>
      </c>
      <c r="BN12" s="181">
        <f>Q12</f>
        <v>5.0</v>
      </c>
      <c r="BO12" s="181">
        <f>AC12</f>
        <v>10.0</v>
      </c>
      <c r="BP12" s="181">
        <f>AO12</f>
        <v>13.0</v>
      </c>
      <c r="BQ12" s="181">
        <f>BA12</f>
        <v>19.0</v>
      </c>
      <c r="BR12" s="181">
        <f>BM12</f>
        <v>23.0</v>
      </c>
    </row>
    <row r="13">
      <c r="F13" s="181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81" t="n"/>
      <c r="U13" s="181" t="n"/>
      <c r="V13" s="181" t="n"/>
      <c r="W13" s="181" t="n"/>
      <c r="X13" s="181" t="n"/>
      <c r="Y13" s="181" t="n"/>
      <c r="Z13" s="181" t="n"/>
      <c r="AA13" s="181" t="n"/>
      <c r="AB13" s="181" t="n"/>
      <c r="AC13" s="181" t="n"/>
      <c r="AD13" s="181" t="n"/>
      <c r="AE13" s="181" t="n"/>
      <c r="AF13" s="181" t="n"/>
      <c r="AG13" s="181" t="n"/>
      <c r="AH13" s="181" t="n"/>
      <c r="AI13" s="181" t="n"/>
      <c r="AJ13" s="181" t="n"/>
      <c r="AK13" s="181" t="n"/>
      <c r="AL13" s="181" t="n"/>
      <c r="AM13" s="181" t="n"/>
      <c r="AN13" s="181" t="n"/>
      <c r="AO13" s="181" t="n"/>
      <c r="AP13" s="181" t="n"/>
      <c r="AQ13" s="181" t="n"/>
      <c r="AR13" s="181" t="n"/>
      <c r="AS13" s="181" t="n"/>
      <c r="AT13" s="181" t="n"/>
      <c r="AU13" s="181" t="n"/>
      <c r="AV13" s="181" t="n"/>
      <c r="AW13" s="181" t="n"/>
      <c r="AX13" s="181" t="n"/>
      <c r="AY13" s="181" t="n"/>
      <c r="AZ13" s="181" t="n"/>
      <c r="BA13" s="181" t="n"/>
      <c r="BB13" s="181" t="n"/>
      <c r="BC13" s="181" t="n"/>
      <c r="BD13" s="181" t="n"/>
      <c r="BE13" s="181" t="n"/>
      <c r="BF13" s="181" t="n"/>
      <c r="BG13" s="181" t="n"/>
      <c r="BH13" s="181" t="n"/>
      <c r="BI13" s="181" t="n"/>
      <c r="BJ13" s="181" t="n"/>
      <c r="BK13" s="181" t="n"/>
      <c r="BL13" s="181" t="n"/>
      <c r="BM13" s="181" t="n"/>
      <c r="BN13" s="181" t="n"/>
      <c r="BO13" s="181" t="n"/>
      <c r="BP13" s="181" t="n"/>
      <c r="BQ13" s="181" t="n"/>
      <c r="BR13" s="181" t="n"/>
    </row>
    <row r="14">
      <c r="C14" s="76" t="inlineStr">
        <is>
          <t>■ 人件費（円/月）</t>
        </is>
      </c>
      <c r="F14" s="181" t="n"/>
      <c r="G14" s="181" t="n"/>
      <c r="H14" s="181" t="n"/>
      <c r="I14" s="181" t="n"/>
      <c r="J14" s="181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81" t="n"/>
      <c r="U14" s="181" t="n"/>
      <c r="V14" s="181" t="n"/>
      <c r="W14" s="181" t="n"/>
      <c r="X14" s="181" t="n"/>
      <c r="Y14" s="181" t="n"/>
      <c r="Z14" s="181" t="n"/>
      <c r="AA14" s="181" t="n"/>
      <c r="AB14" s="181" t="n"/>
      <c r="AC14" s="181" t="n"/>
      <c r="AD14" s="181" t="n"/>
      <c r="AE14" s="181" t="n"/>
      <c r="AF14" s="181" t="n"/>
      <c r="AG14" s="181" t="n"/>
      <c r="AH14" s="181" t="n"/>
      <c r="AI14" s="181" t="n"/>
      <c r="AJ14" s="181" t="n"/>
      <c r="AK14" s="181" t="n"/>
      <c r="AL14" s="181" t="n"/>
      <c r="AM14" s="181" t="n"/>
      <c r="AN14" s="181" t="n"/>
      <c r="AO14" s="181" t="n"/>
      <c r="AP14" s="181" t="n"/>
      <c r="AQ14" s="181" t="n"/>
      <c r="AR14" s="181" t="n"/>
      <c r="AS14" s="181" t="n"/>
      <c r="AT14" s="181" t="n"/>
      <c r="AU14" s="181" t="n"/>
      <c r="AV14" s="181" t="n"/>
      <c r="AW14" s="181" t="n"/>
      <c r="AX14" s="181" t="n"/>
      <c r="AY14" s="181" t="n"/>
      <c r="AZ14" s="181" t="n"/>
      <c r="BA14" s="181" t="n"/>
      <c r="BB14" s="181" t="n"/>
      <c r="BC14" s="181" t="n"/>
      <c r="BD14" s="181" t="n"/>
      <c r="BE14" s="181" t="n"/>
      <c r="BF14" s="181" t="n"/>
      <c r="BG14" s="181" t="n"/>
      <c r="BH14" s="181" t="n"/>
      <c r="BI14" s="181" t="n"/>
      <c r="BJ14" s="181" t="n"/>
      <c r="BK14" s="181" t="n"/>
      <c r="BL14" s="181" t="n"/>
      <c r="BM14" s="181" t="n"/>
      <c r="BN14" s="181" t="n"/>
      <c r="BO14" s="181" t="n"/>
      <c r="BP14" s="181" t="n"/>
      <c r="BQ14" s="181" t="n"/>
      <c r="BR14" s="181" t="n"/>
    </row>
    <row r="15">
      <c r="C15" s="76" t="inlineStr">
        <is>
          <t>役員報酬（3人計）</t>
        </is>
      </c>
      <c r="D15" s="76" t="inlineStr">
        <is>
          <t>平澤３０万・リョーマ３5万・皐月３５万。シード期の抑制水準（旧モデル踏襲）</t>
        </is>
      </c>
      <c r="F15" s="181" t="n">
        <v>1000000</v>
      </c>
      <c r="G15" s="181" t="n">
        <v>1000000</v>
      </c>
      <c r="H15" s="181" t="n">
        <v>1000000</v>
      </c>
      <c r="I15" s="181" t="n">
        <v>1000000</v>
      </c>
      <c r="J15" s="181" t="n">
        <v>1000000</v>
      </c>
      <c r="K15" s="181" t="n">
        <v>1000000</v>
      </c>
      <c r="L15" s="181" t="n">
        <v>1000000</v>
      </c>
      <c r="M15" s="181" t="n">
        <v>1000000</v>
      </c>
      <c r="N15" s="181" t="n">
        <v>1000000</v>
      </c>
      <c r="O15" s="181" t="n">
        <v>1000000</v>
      </c>
      <c r="P15" s="181" t="n">
        <v>1000000</v>
      </c>
      <c r="Q15" s="181" t="n">
        <v>1000000</v>
      </c>
      <c r="R15" s="181" t="n">
        <v>1000000</v>
      </c>
      <c r="S15" s="181" t="n">
        <v>1000000</v>
      </c>
      <c r="T15" s="181" t="n">
        <v>1000000</v>
      </c>
      <c r="U15" s="181" t="n">
        <v>1000000</v>
      </c>
      <c r="V15" s="181" t="n">
        <v>1000000</v>
      </c>
      <c r="W15" s="181" t="n">
        <v>1000000</v>
      </c>
      <c r="X15" s="181" t="n">
        <v>1000000</v>
      </c>
      <c r="Y15" s="181" t="n">
        <v>1000000</v>
      </c>
      <c r="Z15" s="181" t="n">
        <v>1000000</v>
      </c>
      <c r="AA15" s="181" t="n">
        <v>1000000</v>
      </c>
      <c r="AB15" s="181" t="n">
        <v>1000000</v>
      </c>
      <c r="AC15" s="181" t="n">
        <v>1000000</v>
      </c>
      <c r="AD15" s="181" t="n">
        <v>1000000</v>
      </c>
      <c r="AE15" s="181" t="n">
        <v>1000000</v>
      </c>
      <c r="AF15" s="181" t="n">
        <v>1000000</v>
      </c>
      <c r="AG15" s="181" t="n">
        <v>1000000</v>
      </c>
      <c r="AH15" s="181" t="n">
        <v>1000000</v>
      </c>
      <c r="AI15" s="181" t="n">
        <v>1000000</v>
      </c>
      <c r="AJ15" s="181" t="n">
        <v>1000000</v>
      </c>
      <c r="AK15" s="181" t="n">
        <v>1000000</v>
      </c>
      <c r="AL15" s="181" t="n">
        <v>1000000</v>
      </c>
      <c r="AM15" s="181" t="n">
        <v>1000000</v>
      </c>
      <c r="AN15" s="181" t="n">
        <v>1000000</v>
      </c>
      <c r="AO15" s="181" t="n">
        <v>1000000</v>
      </c>
      <c r="AP15" s="181" t="n">
        <v>1000000</v>
      </c>
      <c r="AQ15" s="181" t="n">
        <v>1000000</v>
      </c>
      <c r="AR15" s="181" t="n">
        <v>1000000</v>
      </c>
      <c r="AS15" s="181" t="n">
        <v>1000000</v>
      </c>
      <c r="AT15" s="181" t="n">
        <v>1000000</v>
      </c>
      <c r="AU15" s="181" t="n">
        <v>1000000</v>
      </c>
      <c r="AV15" s="181" t="n">
        <v>1000000</v>
      </c>
      <c r="AW15" s="181" t="n">
        <v>1000000</v>
      </c>
      <c r="AX15" s="181" t="n">
        <v>1000000</v>
      </c>
      <c r="AY15" s="181" t="n">
        <v>1000000</v>
      </c>
      <c r="AZ15" s="181" t="n">
        <v>1000000</v>
      </c>
      <c r="BA15" s="181" t="n">
        <v>1000000</v>
      </c>
      <c r="BB15" s="181" t="n">
        <v>1000000</v>
      </c>
      <c r="BC15" s="181" t="n">
        <v>1000000</v>
      </c>
      <c r="BD15" s="181" t="n">
        <v>1000000</v>
      </c>
      <c r="BE15" s="181" t="n">
        <v>1000000</v>
      </c>
      <c r="BF15" s="181" t="n">
        <v>1000000</v>
      </c>
      <c r="BG15" s="181" t="n">
        <v>1000000</v>
      </c>
      <c r="BH15" s="181" t="n">
        <v>1000000</v>
      </c>
      <c r="BI15" s="181" t="n">
        <v>1000000</v>
      </c>
      <c r="BJ15" s="181" t="n">
        <v>1000000</v>
      </c>
      <c r="BK15" s="181" t="n">
        <v>1000000</v>
      </c>
      <c r="BL15" s="181" t="n">
        <v>1000000</v>
      </c>
      <c r="BM15" s="181" t="n">
        <v>1000000</v>
      </c>
      <c r="BN15" s="181">
        <f>SUM(F15:Q15)</f>
        <v>12000000.0</v>
      </c>
      <c r="BO15" s="181">
        <f>SUM(R15:AC15)</f>
        <v>12000000.0</v>
      </c>
      <c r="BP15" s="181">
        <f>SUM(AD15:AO15)</f>
        <v>12000000.0</v>
      </c>
      <c r="BQ15" s="181">
        <f>SUM(AP15:BA15)</f>
        <v>12000000.0</v>
      </c>
      <c r="BR15" s="181">
        <f>SUM(BB15:BM15)</f>
        <v>12000000.0</v>
      </c>
    </row>
    <row r="16">
      <c r="C16" s="76" t="inlineStr">
        <is>
          <t>開発 単価</t>
        </is>
      </c>
      <c r="D16" s="76" t="inlineStr">
        <is>
          <t>推定</t>
        </is>
      </c>
      <c r="F16" s="181" t="n">
        <v>600000</v>
      </c>
      <c r="G16" s="181" t="n">
        <v>600000</v>
      </c>
      <c r="H16" s="181" t="n">
        <v>600000</v>
      </c>
      <c r="I16" s="181" t="n">
        <v>600000</v>
      </c>
      <c r="J16" s="181" t="n">
        <v>600000</v>
      </c>
      <c r="K16" s="181" t="n">
        <v>600000</v>
      </c>
      <c r="L16" s="181" t="n">
        <v>600000</v>
      </c>
      <c r="M16" s="181" t="n">
        <v>600000</v>
      </c>
      <c r="N16" s="181" t="n">
        <v>600000</v>
      </c>
      <c r="O16" s="181" t="n">
        <v>600000</v>
      </c>
      <c r="P16" s="181" t="n">
        <v>600000</v>
      </c>
      <c r="Q16" s="181" t="n">
        <v>600000</v>
      </c>
      <c r="R16" s="181" t="n">
        <v>600000</v>
      </c>
      <c r="S16" s="181" t="n">
        <v>600000</v>
      </c>
      <c r="T16" s="181" t="n">
        <v>600000</v>
      </c>
      <c r="U16" s="181" t="n">
        <v>600000</v>
      </c>
      <c r="V16" s="181" t="n">
        <v>600000</v>
      </c>
      <c r="W16" s="181" t="n">
        <v>600000</v>
      </c>
      <c r="X16" s="181" t="n">
        <v>600000</v>
      </c>
      <c r="Y16" s="181" t="n">
        <v>600000</v>
      </c>
      <c r="Z16" s="181" t="n">
        <v>600000</v>
      </c>
      <c r="AA16" s="181" t="n">
        <v>600000</v>
      </c>
      <c r="AB16" s="181" t="n">
        <v>600000</v>
      </c>
      <c r="AC16" s="181" t="n">
        <v>600000</v>
      </c>
      <c r="AD16" s="181" t="n">
        <v>600000</v>
      </c>
      <c r="AE16" s="181" t="n">
        <v>600000</v>
      </c>
      <c r="AF16" s="181" t="n">
        <v>600000</v>
      </c>
      <c r="AG16" s="181" t="n">
        <v>600000</v>
      </c>
      <c r="AH16" s="181" t="n">
        <v>600000</v>
      </c>
      <c r="AI16" s="181" t="n">
        <v>600000</v>
      </c>
      <c r="AJ16" s="181" t="n">
        <v>600000</v>
      </c>
      <c r="AK16" s="181" t="n">
        <v>600000</v>
      </c>
      <c r="AL16" s="181" t="n">
        <v>600000</v>
      </c>
      <c r="AM16" s="181" t="n">
        <v>600000</v>
      </c>
      <c r="AN16" s="181" t="n">
        <v>600000</v>
      </c>
      <c r="AO16" s="181" t="n">
        <v>600000</v>
      </c>
      <c r="AP16" s="181" t="n">
        <v>600000</v>
      </c>
      <c r="AQ16" s="181" t="n">
        <v>600000</v>
      </c>
      <c r="AR16" s="181" t="n">
        <v>600000</v>
      </c>
      <c r="AS16" s="181" t="n">
        <v>600000</v>
      </c>
      <c r="AT16" s="181" t="n">
        <v>600000</v>
      </c>
      <c r="AU16" s="181" t="n">
        <v>600000</v>
      </c>
      <c r="AV16" s="181" t="n">
        <v>600000</v>
      </c>
      <c r="AW16" s="181" t="n">
        <v>600000</v>
      </c>
      <c r="AX16" s="181" t="n">
        <v>600000</v>
      </c>
      <c r="AY16" s="181" t="n">
        <v>600000</v>
      </c>
      <c r="AZ16" s="181" t="n">
        <v>600000</v>
      </c>
      <c r="BA16" s="181" t="n">
        <v>600000</v>
      </c>
      <c r="BB16" s="181" t="n">
        <v>600000</v>
      </c>
      <c r="BC16" s="181" t="n">
        <v>600000</v>
      </c>
      <c r="BD16" s="181" t="n">
        <v>600000</v>
      </c>
      <c r="BE16" s="181" t="n">
        <v>600000</v>
      </c>
      <c r="BF16" s="181" t="n">
        <v>600000</v>
      </c>
      <c r="BG16" s="181" t="n">
        <v>600000</v>
      </c>
      <c r="BH16" s="181" t="n">
        <v>600000</v>
      </c>
      <c r="BI16" s="181" t="n">
        <v>600000</v>
      </c>
      <c r="BJ16" s="181" t="n">
        <v>600000</v>
      </c>
      <c r="BK16" s="181" t="n">
        <v>600000</v>
      </c>
      <c r="BL16" s="181" t="n">
        <v>600000</v>
      </c>
      <c r="BM16" s="181" t="n">
        <v>600000</v>
      </c>
      <c r="BN16" s="181">
        <f>SUM(F16:Q16)</f>
        <v>7200000.0</v>
      </c>
      <c r="BO16" s="181">
        <f>SUM(R16:AC16)</f>
        <v>7200000.0</v>
      </c>
      <c r="BP16" s="181">
        <f>SUM(AD16:AO16)</f>
        <v>7200000.0</v>
      </c>
      <c r="BQ16" s="181">
        <f>SUM(AP16:BA16)</f>
        <v>7200000.0</v>
      </c>
      <c r="BR16" s="181">
        <f>SUM(BB16:BM16)</f>
        <v>7200000.0</v>
      </c>
    </row>
    <row r="17">
      <c r="C17" s="76" t="inlineStr">
        <is>
          <t>CS 単価</t>
        </is>
      </c>
      <c r="D17" s="76" t="inlineStr">
        <is>
          <t>推定</t>
        </is>
      </c>
      <c r="F17" s="181" t="n">
        <v>350000</v>
      </c>
      <c r="G17" s="181" t="n">
        <v>350000</v>
      </c>
      <c r="H17" s="181" t="n">
        <v>350000</v>
      </c>
      <c r="I17" s="181" t="n">
        <v>350000</v>
      </c>
      <c r="J17" s="181" t="n">
        <v>350000</v>
      </c>
      <c r="K17" s="181" t="n">
        <v>350000</v>
      </c>
      <c r="L17" s="181" t="n">
        <v>350000</v>
      </c>
      <c r="M17" s="181" t="n">
        <v>350000</v>
      </c>
      <c r="N17" s="181" t="n">
        <v>350000</v>
      </c>
      <c r="O17" s="181" t="n">
        <v>350000</v>
      </c>
      <c r="P17" s="181" t="n">
        <v>350000</v>
      </c>
      <c r="Q17" s="181" t="n">
        <v>350000</v>
      </c>
      <c r="R17" s="181" t="n">
        <v>350000</v>
      </c>
      <c r="S17" s="181" t="n">
        <v>350000</v>
      </c>
      <c r="T17" s="181" t="n">
        <v>350000</v>
      </c>
      <c r="U17" s="181" t="n">
        <v>350000</v>
      </c>
      <c r="V17" s="181" t="n">
        <v>350000</v>
      </c>
      <c r="W17" s="181" t="n">
        <v>350000</v>
      </c>
      <c r="X17" s="181" t="n">
        <v>350000</v>
      </c>
      <c r="Y17" s="181" t="n">
        <v>350000</v>
      </c>
      <c r="Z17" s="181" t="n">
        <v>350000</v>
      </c>
      <c r="AA17" s="181" t="n">
        <v>350000</v>
      </c>
      <c r="AB17" s="181" t="n">
        <v>350000</v>
      </c>
      <c r="AC17" s="181" t="n">
        <v>350000</v>
      </c>
      <c r="AD17" s="181" t="n">
        <v>350000</v>
      </c>
      <c r="AE17" s="181" t="n">
        <v>350000</v>
      </c>
      <c r="AF17" s="181" t="n">
        <v>350000</v>
      </c>
      <c r="AG17" s="181" t="n">
        <v>350000</v>
      </c>
      <c r="AH17" s="181" t="n">
        <v>350000</v>
      </c>
      <c r="AI17" s="181" t="n">
        <v>350000</v>
      </c>
      <c r="AJ17" s="181" t="n">
        <v>350000</v>
      </c>
      <c r="AK17" s="181" t="n">
        <v>350000</v>
      </c>
      <c r="AL17" s="181" t="n">
        <v>350000</v>
      </c>
      <c r="AM17" s="181" t="n">
        <v>350000</v>
      </c>
      <c r="AN17" s="181" t="n">
        <v>350000</v>
      </c>
      <c r="AO17" s="181" t="n">
        <v>350000</v>
      </c>
      <c r="AP17" s="181" t="n">
        <v>350000</v>
      </c>
      <c r="AQ17" s="181" t="n">
        <v>350000</v>
      </c>
      <c r="AR17" s="181" t="n">
        <v>350000</v>
      </c>
      <c r="AS17" s="181" t="n">
        <v>350000</v>
      </c>
      <c r="AT17" s="181" t="n">
        <v>350000</v>
      </c>
      <c r="AU17" s="181" t="n">
        <v>350000</v>
      </c>
      <c r="AV17" s="181" t="n">
        <v>350000</v>
      </c>
      <c r="AW17" s="181" t="n">
        <v>350000</v>
      </c>
      <c r="AX17" s="181" t="n">
        <v>350000</v>
      </c>
      <c r="AY17" s="181" t="n">
        <v>350000</v>
      </c>
      <c r="AZ17" s="181" t="n">
        <v>350000</v>
      </c>
      <c r="BA17" s="181" t="n">
        <v>350000</v>
      </c>
      <c r="BB17" s="181" t="n">
        <v>350000</v>
      </c>
      <c r="BC17" s="181" t="n">
        <v>350000</v>
      </c>
      <c r="BD17" s="181" t="n">
        <v>350000</v>
      </c>
      <c r="BE17" s="181" t="n">
        <v>350000</v>
      </c>
      <c r="BF17" s="181" t="n">
        <v>350000</v>
      </c>
      <c r="BG17" s="181" t="n">
        <v>350000</v>
      </c>
      <c r="BH17" s="181" t="n">
        <v>350000</v>
      </c>
      <c r="BI17" s="181" t="n">
        <v>350000</v>
      </c>
      <c r="BJ17" s="181" t="n">
        <v>350000</v>
      </c>
      <c r="BK17" s="181" t="n">
        <v>350000</v>
      </c>
      <c r="BL17" s="181" t="n">
        <v>350000</v>
      </c>
      <c r="BM17" s="181" t="n">
        <v>350000</v>
      </c>
      <c r="BN17" s="181">
        <f>SUM(F17:Q17)</f>
        <v>4200000.0</v>
      </c>
      <c r="BO17" s="181">
        <f>SUM(R17:AC17)</f>
        <v>4200000.0</v>
      </c>
      <c r="BP17" s="181">
        <f>SUM(AD17:AO17)</f>
        <v>4200000.0</v>
      </c>
      <c r="BQ17" s="181">
        <f>SUM(AP17:BA17)</f>
        <v>4200000.0</v>
      </c>
      <c r="BR17" s="181">
        <f>SUM(BB17:BM17)</f>
        <v>4200000.0</v>
      </c>
    </row>
    <row r="18">
      <c r="C18" s="76" t="inlineStr">
        <is>
          <t>営業 単価</t>
        </is>
      </c>
      <c r="D18" s="76" t="inlineStr">
        <is>
          <t>推定</t>
        </is>
      </c>
      <c r="F18" s="181" t="n">
        <v>400000</v>
      </c>
      <c r="G18" s="181" t="n">
        <v>400000</v>
      </c>
      <c r="H18" s="181" t="n">
        <v>400000</v>
      </c>
      <c r="I18" s="181" t="n">
        <v>400000</v>
      </c>
      <c r="J18" s="181" t="n">
        <v>400000</v>
      </c>
      <c r="K18" s="181" t="n">
        <v>400000</v>
      </c>
      <c r="L18" s="181" t="n">
        <v>400000</v>
      </c>
      <c r="M18" s="181" t="n">
        <v>400000</v>
      </c>
      <c r="N18" s="181" t="n">
        <v>400000</v>
      </c>
      <c r="O18" s="181" t="n">
        <v>400000</v>
      </c>
      <c r="P18" s="181" t="n">
        <v>400000</v>
      </c>
      <c r="Q18" s="181" t="n">
        <v>400000</v>
      </c>
      <c r="R18" s="181" t="n">
        <v>400000</v>
      </c>
      <c r="S18" s="181" t="n">
        <v>400000</v>
      </c>
      <c r="T18" s="181" t="n">
        <v>400000</v>
      </c>
      <c r="U18" s="181" t="n">
        <v>400000</v>
      </c>
      <c r="V18" s="181" t="n">
        <v>400000</v>
      </c>
      <c r="W18" s="181" t="n">
        <v>400000</v>
      </c>
      <c r="X18" s="181" t="n">
        <v>400000</v>
      </c>
      <c r="Y18" s="181" t="n">
        <v>400000</v>
      </c>
      <c r="Z18" s="181" t="n">
        <v>400000</v>
      </c>
      <c r="AA18" s="181" t="n">
        <v>400000</v>
      </c>
      <c r="AB18" s="181" t="n">
        <v>400000</v>
      </c>
      <c r="AC18" s="181" t="n">
        <v>400000</v>
      </c>
      <c r="AD18" s="181" t="n">
        <v>400000</v>
      </c>
      <c r="AE18" s="181" t="n">
        <v>400000</v>
      </c>
      <c r="AF18" s="181" t="n">
        <v>400000</v>
      </c>
      <c r="AG18" s="181" t="n">
        <v>400000</v>
      </c>
      <c r="AH18" s="181" t="n">
        <v>400000</v>
      </c>
      <c r="AI18" s="181" t="n">
        <v>400000</v>
      </c>
      <c r="AJ18" s="181" t="n">
        <v>400000</v>
      </c>
      <c r="AK18" s="181" t="n">
        <v>400000</v>
      </c>
      <c r="AL18" s="181" t="n">
        <v>400000</v>
      </c>
      <c r="AM18" s="181" t="n">
        <v>400000</v>
      </c>
      <c r="AN18" s="181" t="n">
        <v>400000</v>
      </c>
      <c r="AO18" s="181" t="n">
        <v>400000</v>
      </c>
      <c r="AP18" s="181" t="n">
        <v>400000</v>
      </c>
      <c r="AQ18" s="181" t="n">
        <v>400000</v>
      </c>
      <c r="AR18" s="181" t="n">
        <v>400000</v>
      </c>
      <c r="AS18" s="181" t="n">
        <v>400000</v>
      </c>
      <c r="AT18" s="181" t="n">
        <v>400000</v>
      </c>
      <c r="AU18" s="181" t="n">
        <v>400000</v>
      </c>
      <c r="AV18" s="181" t="n">
        <v>400000</v>
      </c>
      <c r="AW18" s="181" t="n">
        <v>400000</v>
      </c>
      <c r="AX18" s="181" t="n">
        <v>400000</v>
      </c>
      <c r="AY18" s="181" t="n">
        <v>400000</v>
      </c>
      <c r="AZ18" s="181" t="n">
        <v>400000</v>
      </c>
      <c r="BA18" s="181" t="n">
        <v>400000</v>
      </c>
      <c r="BB18" s="181" t="n">
        <v>400000</v>
      </c>
      <c r="BC18" s="181" t="n">
        <v>400000</v>
      </c>
      <c r="BD18" s="181" t="n">
        <v>400000</v>
      </c>
      <c r="BE18" s="181" t="n">
        <v>400000</v>
      </c>
      <c r="BF18" s="181" t="n">
        <v>400000</v>
      </c>
      <c r="BG18" s="181" t="n">
        <v>400000</v>
      </c>
      <c r="BH18" s="181" t="n">
        <v>400000</v>
      </c>
      <c r="BI18" s="181" t="n">
        <v>400000</v>
      </c>
      <c r="BJ18" s="181" t="n">
        <v>400000</v>
      </c>
      <c r="BK18" s="181" t="n">
        <v>400000</v>
      </c>
      <c r="BL18" s="181" t="n">
        <v>400000</v>
      </c>
      <c r="BM18" s="181" t="n">
        <v>400000</v>
      </c>
      <c r="BN18" s="181">
        <f>SUM(F18:Q18)</f>
        <v>4800000.0</v>
      </c>
      <c r="BO18" s="181">
        <f>SUM(R18:AC18)</f>
        <v>4800000.0</v>
      </c>
      <c r="BP18" s="181">
        <f>SUM(AD18:AO18)</f>
        <v>4800000.0</v>
      </c>
      <c r="BQ18" s="181">
        <f>SUM(AP18:BA18)</f>
        <v>4800000.0</v>
      </c>
      <c r="BR18" s="181">
        <f>SUM(BB18:BM18)</f>
        <v>4800000.0</v>
      </c>
    </row>
    <row r="19">
      <c r="C19" s="76" t="inlineStr">
        <is>
          <t>コンサル 単価</t>
        </is>
      </c>
      <c r="D19" s="76" t="inlineStr">
        <is>
          <t>1人10案件=月商200万/人→採算十分</t>
        </is>
      </c>
      <c r="F19" s="181" t="n">
        <v>600000</v>
      </c>
      <c r="G19" s="181" t="n">
        <v>600000</v>
      </c>
      <c r="H19" s="181" t="n">
        <v>600000</v>
      </c>
      <c r="I19" s="181" t="n">
        <v>600000</v>
      </c>
      <c r="J19" s="181" t="n">
        <v>600000</v>
      </c>
      <c r="K19" s="181" t="n">
        <v>600000</v>
      </c>
      <c r="L19" s="181" t="n">
        <v>600000</v>
      </c>
      <c r="M19" s="181" t="n">
        <v>600000</v>
      </c>
      <c r="N19" s="181" t="n">
        <v>600000</v>
      </c>
      <c r="O19" s="181" t="n">
        <v>600000</v>
      </c>
      <c r="P19" s="181" t="n">
        <v>600000</v>
      </c>
      <c r="Q19" s="181" t="n">
        <v>600000</v>
      </c>
      <c r="R19" s="181" t="n">
        <v>600000</v>
      </c>
      <c r="S19" s="181" t="n">
        <v>600000</v>
      </c>
      <c r="T19" s="181" t="n">
        <v>600000</v>
      </c>
      <c r="U19" s="181" t="n">
        <v>600000</v>
      </c>
      <c r="V19" s="181" t="n">
        <v>600000</v>
      </c>
      <c r="W19" s="181" t="n">
        <v>600000</v>
      </c>
      <c r="X19" s="181" t="n">
        <v>600000</v>
      </c>
      <c r="Y19" s="181" t="n">
        <v>600000</v>
      </c>
      <c r="Z19" s="181" t="n">
        <v>600000</v>
      </c>
      <c r="AA19" s="181" t="n">
        <v>600000</v>
      </c>
      <c r="AB19" s="181" t="n">
        <v>600000</v>
      </c>
      <c r="AC19" s="181" t="n">
        <v>600000</v>
      </c>
      <c r="AD19" s="181" t="n">
        <v>600000</v>
      </c>
      <c r="AE19" s="181" t="n">
        <v>600000</v>
      </c>
      <c r="AF19" s="181" t="n">
        <v>600000</v>
      </c>
      <c r="AG19" s="181" t="n">
        <v>600000</v>
      </c>
      <c r="AH19" s="181" t="n">
        <v>600000</v>
      </c>
      <c r="AI19" s="181" t="n">
        <v>600000</v>
      </c>
      <c r="AJ19" s="181" t="n">
        <v>600000</v>
      </c>
      <c r="AK19" s="181" t="n">
        <v>600000</v>
      </c>
      <c r="AL19" s="181" t="n">
        <v>600000</v>
      </c>
      <c r="AM19" s="181" t="n">
        <v>600000</v>
      </c>
      <c r="AN19" s="181" t="n">
        <v>600000</v>
      </c>
      <c r="AO19" s="181" t="n">
        <v>600000</v>
      </c>
      <c r="AP19" s="181" t="n">
        <v>600000</v>
      </c>
      <c r="AQ19" s="181" t="n">
        <v>600000</v>
      </c>
      <c r="AR19" s="181" t="n">
        <v>600000</v>
      </c>
      <c r="AS19" s="181" t="n">
        <v>600000</v>
      </c>
      <c r="AT19" s="181" t="n">
        <v>600000</v>
      </c>
      <c r="AU19" s="181" t="n">
        <v>600000</v>
      </c>
      <c r="AV19" s="181" t="n">
        <v>600000</v>
      </c>
      <c r="AW19" s="181" t="n">
        <v>600000</v>
      </c>
      <c r="AX19" s="181" t="n">
        <v>600000</v>
      </c>
      <c r="AY19" s="181" t="n">
        <v>600000</v>
      </c>
      <c r="AZ19" s="181" t="n">
        <v>600000</v>
      </c>
      <c r="BA19" s="181" t="n">
        <v>600000</v>
      </c>
      <c r="BB19" s="181" t="n">
        <v>600000</v>
      </c>
      <c r="BC19" s="181" t="n">
        <v>600000</v>
      </c>
      <c r="BD19" s="181" t="n">
        <v>600000</v>
      </c>
      <c r="BE19" s="181" t="n">
        <v>600000</v>
      </c>
      <c r="BF19" s="181" t="n">
        <v>600000</v>
      </c>
      <c r="BG19" s="181" t="n">
        <v>600000</v>
      </c>
      <c r="BH19" s="181" t="n">
        <v>600000</v>
      </c>
      <c r="BI19" s="181" t="n">
        <v>600000</v>
      </c>
      <c r="BJ19" s="181" t="n">
        <v>600000</v>
      </c>
      <c r="BK19" s="181" t="n">
        <v>600000</v>
      </c>
      <c r="BL19" s="181" t="n">
        <v>600000</v>
      </c>
      <c r="BM19" s="181" t="n">
        <v>600000</v>
      </c>
      <c r="BN19" s="181">
        <f>SUM(F19:Q19)</f>
        <v>7200000.0</v>
      </c>
      <c r="BO19" s="181">
        <f>SUM(R19:AC19)</f>
        <v>7200000.0</v>
      </c>
      <c r="BP19" s="181">
        <f>SUM(AD19:AO19)</f>
        <v>7200000.0</v>
      </c>
      <c r="BQ19" s="181">
        <f>SUM(AP19:BA19)</f>
        <v>7200000.0</v>
      </c>
      <c r="BR19" s="181">
        <f>SUM(BB19:BM19)</f>
        <v>7200000.0</v>
      </c>
    </row>
    <row r="20">
      <c r="C20" s="76" t="inlineStr">
        <is>
          <t>バックオフィス 単価</t>
        </is>
      </c>
      <c r="D20" s="76" t="inlineStr">
        <is>
          <t>推定</t>
        </is>
      </c>
      <c r="F20" s="181" t="n">
        <v>300000</v>
      </c>
      <c r="G20" s="181" t="n">
        <v>300000</v>
      </c>
      <c r="H20" s="181" t="n">
        <v>300000</v>
      </c>
      <c r="I20" s="181" t="n">
        <v>300000</v>
      </c>
      <c r="J20" s="181" t="n">
        <v>300000</v>
      </c>
      <c r="K20" s="181" t="n">
        <v>300000</v>
      </c>
      <c r="L20" s="181" t="n">
        <v>300000</v>
      </c>
      <c r="M20" s="181" t="n">
        <v>300000</v>
      </c>
      <c r="N20" s="181" t="n">
        <v>300000</v>
      </c>
      <c r="O20" s="181" t="n">
        <v>300000</v>
      </c>
      <c r="P20" s="181" t="n">
        <v>300000</v>
      </c>
      <c r="Q20" s="181" t="n">
        <v>300000</v>
      </c>
      <c r="R20" s="181" t="n">
        <v>300000</v>
      </c>
      <c r="S20" s="181" t="n">
        <v>300000</v>
      </c>
      <c r="T20" s="181" t="n">
        <v>300000</v>
      </c>
      <c r="U20" s="181" t="n">
        <v>300000</v>
      </c>
      <c r="V20" s="181" t="n">
        <v>300000</v>
      </c>
      <c r="W20" s="181" t="n">
        <v>300000</v>
      </c>
      <c r="X20" s="181" t="n">
        <v>300000</v>
      </c>
      <c r="Y20" s="181" t="n">
        <v>300000</v>
      </c>
      <c r="Z20" s="181" t="n">
        <v>300000</v>
      </c>
      <c r="AA20" s="181" t="n">
        <v>300000</v>
      </c>
      <c r="AB20" s="181" t="n">
        <v>300000</v>
      </c>
      <c r="AC20" s="181" t="n">
        <v>300000</v>
      </c>
      <c r="AD20" s="181" t="n">
        <v>300000</v>
      </c>
      <c r="AE20" s="181" t="n">
        <v>300000</v>
      </c>
      <c r="AF20" s="181" t="n">
        <v>300000</v>
      </c>
      <c r="AG20" s="181" t="n">
        <v>300000</v>
      </c>
      <c r="AH20" s="181" t="n">
        <v>300000</v>
      </c>
      <c r="AI20" s="181" t="n">
        <v>300000</v>
      </c>
      <c r="AJ20" s="181" t="n">
        <v>300000</v>
      </c>
      <c r="AK20" s="181" t="n">
        <v>300000</v>
      </c>
      <c r="AL20" s="181" t="n">
        <v>300000</v>
      </c>
      <c r="AM20" s="181" t="n">
        <v>300000</v>
      </c>
      <c r="AN20" s="181" t="n">
        <v>300000</v>
      </c>
      <c r="AO20" s="181" t="n">
        <v>300000</v>
      </c>
      <c r="AP20" s="181" t="n">
        <v>300000</v>
      </c>
      <c r="AQ20" s="181" t="n">
        <v>300000</v>
      </c>
      <c r="AR20" s="181" t="n">
        <v>300000</v>
      </c>
      <c r="AS20" s="181" t="n">
        <v>300000</v>
      </c>
      <c r="AT20" s="181" t="n">
        <v>300000</v>
      </c>
      <c r="AU20" s="181" t="n">
        <v>300000</v>
      </c>
      <c r="AV20" s="181" t="n">
        <v>300000</v>
      </c>
      <c r="AW20" s="181" t="n">
        <v>300000</v>
      </c>
      <c r="AX20" s="181" t="n">
        <v>300000</v>
      </c>
      <c r="AY20" s="181" t="n">
        <v>300000</v>
      </c>
      <c r="AZ20" s="181" t="n">
        <v>300000</v>
      </c>
      <c r="BA20" s="181" t="n">
        <v>300000</v>
      </c>
      <c r="BB20" s="181" t="n">
        <v>300000</v>
      </c>
      <c r="BC20" s="181" t="n">
        <v>300000</v>
      </c>
      <c r="BD20" s="181" t="n">
        <v>300000</v>
      </c>
      <c r="BE20" s="181" t="n">
        <v>300000</v>
      </c>
      <c r="BF20" s="181" t="n">
        <v>300000</v>
      </c>
      <c r="BG20" s="181" t="n">
        <v>300000</v>
      </c>
      <c r="BH20" s="181" t="n">
        <v>300000</v>
      </c>
      <c r="BI20" s="181" t="n">
        <v>300000</v>
      </c>
      <c r="BJ20" s="181" t="n">
        <v>300000</v>
      </c>
      <c r="BK20" s="181" t="n">
        <v>300000</v>
      </c>
      <c r="BL20" s="181" t="n">
        <v>300000</v>
      </c>
      <c r="BM20" s="181" t="n">
        <v>300000</v>
      </c>
      <c r="BN20" s="181">
        <f>SUM(F20:Q20)</f>
        <v>3600000.0</v>
      </c>
      <c r="BO20" s="181">
        <f>SUM(R20:AC20)</f>
        <v>3600000.0</v>
      </c>
      <c r="BP20" s="181">
        <f>SUM(AD20:AO20)</f>
        <v>3600000.0</v>
      </c>
      <c r="BQ20" s="181">
        <f>SUM(AP20:BA20)</f>
        <v>3600000.0</v>
      </c>
      <c r="BR20" s="181">
        <f>SUM(BB20:BM20)</f>
        <v>3600000.0</v>
      </c>
    </row>
    <row r="21">
      <c r="C21" s="76" t="inlineStr">
        <is>
          <t>法定福利・諸手当係数</t>
        </is>
      </c>
      <c r="D21" s="76" t="inlineStr">
        <is>
          <t>社保等15%</t>
        </is>
      </c>
      <c r="F21" s="76" t="n">
        <v>1.15</v>
      </c>
      <c r="G21" s="76" t="n">
        <v>1.15</v>
      </c>
      <c r="H21" s="76" t="n">
        <v>1.15</v>
      </c>
      <c r="I21" s="76" t="n">
        <v>1.15</v>
      </c>
      <c r="J21" s="76" t="n">
        <v>1.15</v>
      </c>
      <c r="K21" s="76" t="n">
        <v>1.15</v>
      </c>
      <c r="L21" s="76" t="n">
        <v>1.15</v>
      </c>
      <c r="M21" s="76" t="n">
        <v>1.15</v>
      </c>
      <c r="N21" s="76" t="n">
        <v>1.15</v>
      </c>
      <c r="O21" s="76" t="n">
        <v>1.15</v>
      </c>
      <c r="P21" s="76" t="n">
        <v>1.15</v>
      </c>
      <c r="Q21" s="76" t="n">
        <v>1.15</v>
      </c>
      <c r="R21" s="76" t="n">
        <v>1.15</v>
      </c>
      <c r="S21" s="76" t="n">
        <v>1.15</v>
      </c>
      <c r="T21" s="76" t="n">
        <v>1.15</v>
      </c>
      <c r="U21" s="76" t="n">
        <v>1.15</v>
      </c>
      <c r="V21" s="76" t="n">
        <v>1.15</v>
      </c>
      <c r="W21" s="76" t="n">
        <v>1.15</v>
      </c>
      <c r="X21" s="76" t="n">
        <v>1.15</v>
      </c>
      <c r="Y21" s="76" t="n">
        <v>1.15</v>
      </c>
      <c r="Z21" s="76" t="n">
        <v>1.15</v>
      </c>
      <c r="AA21" s="76" t="n">
        <v>1.15</v>
      </c>
      <c r="AB21" s="76" t="n">
        <v>1.15</v>
      </c>
      <c r="AC21" s="76" t="n">
        <v>1.15</v>
      </c>
      <c r="AD21" s="76" t="n">
        <v>1.15</v>
      </c>
      <c r="AE21" s="76" t="n">
        <v>1.15</v>
      </c>
      <c r="AF21" s="76" t="n">
        <v>1.15</v>
      </c>
      <c r="AG21" s="76" t="n">
        <v>1.15</v>
      </c>
      <c r="AH21" s="76" t="n">
        <v>1.15</v>
      </c>
      <c r="AI21" s="76" t="n">
        <v>1.15</v>
      </c>
      <c r="AJ21" s="76" t="n">
        <v>1.15</v>
      </c>
      <c r="AK21" s="76" t="n">
        <v>1.15</v>
      </c>
      <c r="AL21" s="76" t="n">
        <v>1.15</v>
      </c>
      <c r="AM21" s="76" t="n">
        <v>1.15</v>
      </c>
      <c r="AN21" s="76" t="n">
        <v>1.15</v>
      </c>
      <c r="AO21" s="76" t="n">
        <v>1.15</v>
      </c>
      <c r="AP21" s="76" t="n">
        <v>1.15</v>
      </c>
      <c r="AQ21" s="76" t="n">
        <v>1.15</v>
      </c>
      <c r="AR21" s="76" t="n">
        <v>1.15</v>
      </c>
      <c r="AS21" s="76" t="n">
        <v>1.15</v>
      </c>
      <c r="AT21" s="76" t="n">
        <v>1.15</v>
      </c>
      <c r="AU21" s="76" t="n">
        <v>1.15</v>
      </c>
      <c r="AV21" s="76" t="n">
        <v>1.15</v>
      </c>
      <c r="AW21" s="76" t="n">
        <v>1.15</v>
      </c>
      <c r="AX21" s="76" t="n">
        <v>1.15</v>
      </c>
      <c r="AY21" s="76" t="n">
        <v>1.15</v>
      </c>
      <c r="AZ21" s="76" t="n">
        <v>1.15</v>
      </c>
      <c r="BA21" s="76" t="n">
        <v>1.15</v>
      </c>
      <c r="BB21" s="76" t="n">
        <v>1.15</v>
      </c>
      <c r="BC21" s="76" t="n">
        <v>1.15</v>
      </c>
      <c r="BD21" s="76" t="n">
        <v>1.15</v>
      </c>
      <c r="BE21" s="76" t="n">
        <v>1.15</v>
      </c>
      <c r="BF21" s="76" t="n">
        <v>1.15</v>
      </c>
      <c r="BG21" s="76" t="n">
        <v>1.15</v>
      </c>
      <c r="BH21" s="76" t="n">
        <v>1.15</v>
      </c>
      <c r="BI21" s="76" t="n">
        <v>1.15</v>
      </c>
      <c r="BJ21" s="76" t="n">
        <v>1.15</v>
      </c>
      <c r="BK21" s="76" t="n">
        <v>1.15</v>
      </c>
      <c r="BL21" s="76" t="n">
        <v>1.15</v>
      </c>
      <c r="BM21" s="76" t="n">
        <v>1.15</v>
      </c>
      <c r="BN21" s="181">
        <f>SUM(F21:Q21)</f>
        <v>13.8</v>
      </c>
      <c r="BO21" s="181">
        <f>SUM(R21:AC21)</f>
        <v>13.8</v>
      </c>
      <c r="BP21" s="181">
        <f>SUM(AD21:AO21)</f>
        <v>13.8</v>
      </c>
      <c r="BQ21" s="181">
        <f>SUM(AP21:BA21)</f>
        <v>13.8</v>
      </c>
      <c r="BR21" s="181">
        <f>SUM(BB21:BM21)</f>
        <v>13.8</v>
      </c>
    </row>
    <row r="22">
      <c r="C22" s="76" t="inlineStr">
        <is>
          <t>人件費合計</t>
        </is>
      </c>
      <c r="F22" s="181">
        <f>(F15+F7*F16+F8*F17+F9*F18+F10*F19+F11*F20)*F21</f>
        <v>1150000.0</v>
      </c>
      <c r="G22" s="181">
        <f>(G15+G7*G16+G8*G17+G9*G18+G10*G19+G11*G20)*G21</f>
        <v>1150000.0</v>
      </c>
      <c r="H22" s="181">
        <f>(H15+H7*H16+H8*H17+H9*H18+H10*H19+H11*H20)*H21</f>
        <v>1150000.0</v>
      </c>
      <c r="I22" s="181">
        <f>(I15+I7*I16+I8*I17+I9*I18+I10*I19+I11*I20)*I21</f>
        <v>1150000.0</v>
      </c>
      <c r="J22" s="181">
        <f>(J15+J7*J16+J8*J17+J9*J18+J10*J19+J11*J20)*J21</f>
        <v>1150000.0</v>
      </c>
      <c r="K22" s="181">
        <f>(K15+K7*K16+K8*K17+K9*K18+K10*K19+K11*K20)*K21</f>
        <v>1150000.0</v>
      </c>
      <c r="L22" s="181">
        <f>(L15+L7*L16+L8*L17+L9*L18+L10*L19+L11*L20)*L21</f>
        <v>1552500.0</v>
      </c>
      <c r="M22" s="181">
        <f>(M15+M7*M16+M8*M17+M9*M18+M10*M19+M11*M20)*M21</f>
        <v>1552500.0</v>
      </c>
      <c r="N22" s="181">
        <f>(N15+N7*N16+N8*N17+N9*N18+N10*N19+N11*N20)*N21</f>
        <v>1552500.0</v>
      </c>
      <c r="O22" s="181">
        <f>(O15+O7*O16+O8*O17+O9*O18+O10*O19+O11*O20)*O21</f>
        <v>2012500.0</v>
      </c>
      <c r="P22" s="181">
        <f>(P15+P7*P16+P8*P17+P9*P18+P10*P19+P11*P20)*P21</f>
        <v>2012500.0</v>
      </c>
      <c r="Q22" s="181">
        <f>(Q15+Q7*Q16+Q8*Q17+Q9*Q18+Q10*Q19+Q11*Q20)*Q21</f>
        <v>2012500.0</v>
      </c>
      <c r="R22" s="181">
        <f>(R15+R7*R16+R8*R17+R9*R18+R10*R19+R11*R20)*R21</f>
        <v>3047500.0</v>
      </c>
      <c r="S22" s="181">
        <f>(S15+S7*S16+S8*S17+S9*S18+S10*S19+S11*S20)*S21</f>
        <v>3047500.0</v>
      </c>
      <c r="T22" s="181">
        <f>(T15+T7*T16+T8*T17+T9*T18+T10*T19+T11*T20)*T21</f>
        <v>3507500.0</v>
      </c>
      <c r="U22" s="181">
        <f>(U15+U7*U16+U8*U17+U9*U18+U10*U19+U11*U20)*U21</f>
        <v>3507500.0</v>
      </c>
      <c r="V22" s="181">
        <f>(V15+V7*V16+V8*V17+V9*V18+V10*V19+V11*V20)*V21</f>
        <v>3507500.0</v>
      </c>
      <c r="W22" s="181">
        <f>(W15+W7*W16+W8*W17+W9*W18+W10*W19+W11*W20)*W21</f>
        <v>3910000.0</v>
      </c>
      <c r="X22" s="181">
        <f>(X15+X7*X16+X8*X17+X9*X18+X10*X19+X11*X20)*X21</f>
        <v>4600000.0</v>
      </c>
      <c r="Y22" s="181">
        <f>(Y15+Y7*Y16+Y8*Y17+Y9*Y18+Y10*Y19+Y11*Y20)*Y21</f>
        <v>4600000.0</v>
      </c>
      <c r="Z22" s="181">
        <f>(Z15+Z7*Z16+Z8*Z17+Z9*Z18+Z10*Z19+Z11*Z20)*Z21</f>
        <v>4600000.0</v>
      </c>
      <c r="AA22" s="181">
        <f>(AA15+AA7*AA16+AA8*AA17+AA9*AA18+AA10*AA19+AA11*AA20)*AA21</f>
        <v>4600000.0</v>
      </c>
      <c r="AB22" s="181">
        <f>(AB15+AB7*AB16+AB8*AB17+AB9*AB18+AB10*AB19+AB11*AB20)*AB21</f>
        <v>4600000.0</v>
      </c>
      <c r="AC22" s="181">
        <f>(AC15+AC7*AC16+AC8*AC17+AC9*AC18+AC10*AC19+AC11*AC20)*AC21</f>
        <v>4600000.0</v>
      </c>
      <c r="AD22" s="181">
        <f>(AD15+AD7*AD16+AD8*AD17+AD9*AD18+AD10*AD19+AD11*AD20)*AD21</f>
        <v>5290000.0</v>
      </c>
      <c r="AE22" s="181">
        <f>(AE15+AE7*AE16+AE8*AE17+AE9*AE18+AE10*AE19+AE11*AE20)*AE21</f>
        <v>5290000.0</v>
      </c>
      <c r="AF22" s="181">
        <f>(AF15+AF7*AF16+AF8*AF17+AF9*AF18+AF10*AF19+AF11*AF20)*AF21</f>
        <v>5290000.0</v>
      </c>
      <c r="AG22" s="181">
        <f>(AG15+AG7*AG16+AG8*AG17+AG9*AG18+AG10*AG19+AG11*AG20)*AG21</f>
        <v>5290000.0</v>
      </c>
      <c r="AH22" s="181">
        <f>(AH15+AH7*AH16+AH8*AH17+AH9*AH18+AH10*AH19+AH11*AH20)*AH21</f>
        <v>5692500.0</v>
      </c>
      <c r="AI22" s="181">
        <f>(AI15+AI7*AI16+AI8*AI17+AI9*AI18+AI10*AI19+AI11*AI20)*AI21</f>
        <v>5692500.0</v>
      </c>
      <c r="AJ22" s="181">
        <f>(AJ15+AJ7*AJ16+AJ8*AJ17+AJ9*AJ18+AJ10*AJ19+AJ11*AJ20)*AJ21</f>
        <v>5692500.0</v>
      </c>
      <c r="AK22" s="181">
        <f>(AK15+AK7*AK16+AK8*AK17+AK9*AK18+AK10*AK19+AK11*AK20)*AK21</f>
        <v>6382500.0</v>
      </c>
      <c r="AL22" s="181">
        <f>(AL15+AL7*AL16+AL8*AL17+AL9*AL18+AL10*AL19+AL11*AL20)*AL21</f>
        <v>6382500.0</v>
      </c>
      <c r="AM22" s="181">
        <f>(AM15+AM7*AM16+AM8*AM17+AM9*AM18+AM10*AM19+AM11*AM20)*AM21</f>
        <v>6382500.0</v>
      </c>
      <c r="AN22" s="181">
        <f>(AN15+AN7*AN16+AN8*AN17+AN9*AN18+AN10*AN19+AN11*AN20)*AN21</f>
        <v>6382500.0</v>
      </c>
      <c r="AO22" s="181">
        <f>(AO15+AO7*AO16+AO8*AO17+AO9*AO18+AO10*AO19+AO11*AO20)*AO21</f>
        <v>6382500.0</v>
      </c>
      <c r="AP22" s="181">
        <f>(AP15+AP7*AP16+AP8*AP17+AP9*AP18+AP10*AP19+AP11*AP20)*AP21</f>
        <v>7417500.0</v>
      </c>
      <c r="AQ22" s="181">
        <f>(AQ15+AQ7*AQ16+AQ8*AQ17+AQ9*AQ18+AQ10*AQ19+AQ11*AQ20)*AQ21</f>
        <v>7820000.0</v>
      </c>
      <c r="AR22" s="181">
        <f>(AR15+AR7*AR16+AR8*AR17+AR9*AR18+AR10*AR19+AR11*AR20)*AR21</f>
        <v>8280000.0</v>
      </c>
      <c r="AS22" s="181">
        <f>(AS15+AS7*AS16+AS8*AS17+AS9*AS18+AS10*AS19+AS11*AS20)*AS21</f>
        <v>8280000.0</v>
      </c>
      <c r="AT22" s="181">
        <f>(AT15+AT7*AT16+AT8*AT17+AT9*AT18+AT10*AT19+AT11*AT20)*AT21</f>
        <v>8280000.0</v>
      </c>
      <c r="AU22" s="181">
        <f>(AU15+AU7*AU16+AU8*AU17+AU9*AU18+AU10*AU19+AU11*AU20)*AU21</f>
        <v>8280000.0</v>
      </c>
      <c r="AV22" s="181">
        <f>(AV15+AV7*AV16+AV8*AV17+AV9*AV18+AV10*AV19+AV11*AV20)*AV21</f>
        <v>8280000.0</v>
      </c>
      <c r="AW22" s="181">
        <f>(AW15+AW7*AW16+AW8*AW17+AW9*AW18+AW10*AW19+AW11*AW20)*AW21</f>
        <v>8970000.0</v>
      </c>
      <c r="AX22" s="181">
        <f>(AX15+AX7*AX16+AX8*AX17+AX9*AX18+AX10*AX19+AX11*AX20)*AX21</f>
        <v>8970000.0</v>
      </c>
      <c r="AY22" s="181">
        <f>(AY15+AY7*AY16+AY8*AY17+AY9*AY18+AY10*AY19+AY11*AY20)*AY21</f>
        <v>9372500.0</v>
      </c>
      <c r="AZ22" s="181">
        <f>(AZ15+AZ7*AZ16+AZ8*AZ17+AZ9*AZ18+AZ10*AZ19+AZ11*AZ20)*AZ21</f>
        <v>9372500.0</v>
      </c>
      <c r="BA22" s="181">
        <f>(BA15+BA7*BA16+BA8*BA17+BA9*BA18+BA10*BA19+BA11*BA20)*BA21</f>
        <v>9372500.0</v>
      </c>
      <c r="BB22" s="181">
        <f>(BB15+BB7*BB16+BB8*BB17+BB9*BB18+BB10*BB19+BB11*BB20)*BB21</f>
        <v>10062500.0</v>
      </c>
      <c r="BC22" s="181">
        <f>(BC15+BC7*BC16+BC8*BC17+BC9*BC18+BC10*BC19+BC11*BC20)*BC21</f>
        <v>10062500.0</v>
      </c>
      <c r="BD22" s="181">
        <f>(BD15+BD7*BD16+BD8*BD17+BD9*BD18+BD10*BD19+BD11*BD20)*BD21</f>
        <v>10062500.0</v>
      </c>
      <c r="BE22" s="181">
        <f>(BE15+BE7*BE16+BE8*BE17+BE9*BE18+BE10*BE19+BE11*BE20)*BE21</f>
        <v>10062500.0</v>
      </c>
      <c r="BF22" s="181">
        <f>(BF15+BF7*BF16+BF8*BF17+BF9*BF18+BF10*BF19+BF11*BF20)*BF21</f>
        <v>10465000.0</v>
      </c>
      <c r="BG22" s="181">
        <f>(BG15+BG7*BG16+BG8*BG17+BG9*BG18+BG10*BG19+BG11*BG20)*BG21</f>
        <v>10465000.0</v>
      </c>
      <c r="BH22" s="181">
        <f>(BH15+BH7*BH16+BH8*BH17+BH9*BH18+BH10*BH19+BH11*BH20)*BH21</f>
        <v>11155000.0</v>
      </c>
      <c r="BI22" s="181">
        <f>(BI15+BI7*BI16+BI8*BI17+BI9*BI18+BI10*BI19+BI11*BI20)*BI21</f>
        <v>11155000.0</v>
      </c>
      <c r="BJ22" s="181">
        <f>(BJ15+BJ7*BJ16+BJ8*BJ17+BJ9*BJ18+BJ10*BJ19+BJ11*BJ20)*BJ21</f>
        <v>11155000.0</v>
      </c>
      <c r="BK22" s="181">
        <f>(BK15+BK7*BK16+BK8*BK17+BK9*BK18+BK10*BK19+BK11*BK20)*BK21</f>
        <v>11155000.0</v>
      </c>
      <c r="BL22" s="181">
        <f>(BL15+BL7*BL16+BL8*BL17+BL9*BL18+BL10*BL19+BL11*BL20)*BL21</f>
        <v>11557500.0</v>
      </c>
      <c r="BM22" s="181">
        <f>(BM15+BM7*BM16+BM8*BM17+BM9*BM18+BM10*BM19+BM11*BM20)*BM21</f>
        <v>11557500.0</v>
      </c>
      <c r="BN22" s="181">
        <f>SUM(F22:Q22)</f>
        <v>17595000.0</v>
      </c>
      <c r="BO22" s="181">
        <f>SUM(R22:AC22)</f>
        <v>48127500.0</v>
      </c>
      <c r="BP22" s="181">
        <f>SUM(AD22:AO22)</f>
        <v>70150000.0</v>
      </c>
      <c r="BQ22" s="181">
        <f>SUM(AP22:BA22)</f>
        <v>102695000.0</v>
      </c>
      <c r="BR22" s="181">
        <f>SUM(BB22:BM22)</f>
        <v>128915000.0</v>
      </c>
    </row>
    <row r="23"/>
    <row r="24">
      <c r="C24" s="76" t="inlineStr">
        <is>
          <t>■ 売上原価（変動費）</t>
        </is>
      </c>
    </row>
    <row r="25">
      <c r="C25" s="76" t="inlineStr">
        <is>
          <t>AIレポート原価（円/社・月）</t>
        </is>
      </c>
      <c r="D25" s="76" t="inlineStr">
        <is>
          <t>分析1回16kトークン級・月1回。推定</t>
        </is>
      </c>
      <c r="F25" s="181" t="n">
        <v>150</v>
      </c>
      <c r="G25" s="181" t="n">
        <v>150</v>
      </c>
      <c r="H25" s="181" t="n">
        <v>150</v>
      </c>
      <c r="I25" s="181" t="n">
        <v>150</v>
      </c>
      <c r="J25" s="181" t="n">
        <v>150</v>
      </c>
      <c r="K25" s="181" t="n">
        <v>150</v>
      </c>
      <c r="L25" s="181" t="n">
        <v>150</v>
      </c>
      <c r="M25" s="181" t="n">
        <v>150</v>
      </c>
      <c r="N25" s="181" t="n">
        <v>150</v>
      </c>
      <c r="O25" s="181" t="n">
        <v>150</v>
      </c>
      <c r="P25" s="181" t="n">
        <v>150</v>
      </c>
      <c r="Q25" s="181" t="n">
        <v>150</v>
      </c>
      <c r="R25" s="181" t="n">
        <v>150</v>
      </c>
      <c r="S25" s="181" t="n">
        <v>150</v>
      </c>
      <c r="T25" s="181" t="n">
        <v>150</v>
      </c>
      <c r="U25" s="181" t="n">
        <v>150</v>
      </c>
      <c r="V25" s="181" t="n">
        <v>150</v>
      </c>
      <c r="W25" s="181" t="n">
        <v>150</v>
      </c>
      <c r="X25" s="181" t="n">
        <v>150</v>
      </c>
      <c r="Y25" s="181" t="n">
        <v>150</v>
      </c>
      <c r="Z25" s="181" t="n">
        <v>150</v>
      </c>
      <c r="AA25" s="181" t="n">
        <v>150</v>
      </c>
      <c r="AB25" s="181" t="n">
        <v>150</v>
      </c>
      <c r="AC25" s="181" t="n">
        <v>150</v>
      </c>
      <c r="AD25" s="181" t="n">
        <v>150</v>
      </c>
      <c r="AE25" s="181" t="n">
        <v>150</v>
      </c>
      <c r="AF25" s="181" t="n">
        <v>150</v>
      </c>
      <c r="AG25" s="181" t="n">
        <v>150</v>
      </c>
      <c r="AH25" s="181" t="n">
        <v>150</v>
      </c>
      <c r="AI25" s="181" t="n">
        <v>150</v>
      </c>
      <c r="AJ25" s="181" t="n">
        <v>150</v>
      </c>
      <c r="AK25" s="181" t="n">
        <v>150</v>
      </c>
      <c r="AL25" s="181" t="n">
        <v>150</v>
      </c>
      <c r="AM25" s="181" t="n">
        <v>150</v>
      </c>
      <c r="AN25" s="181" t="n">
        <v>150</v>
      </c>
      <c r="AO25" s="181" t="n">
        <v>150</v>
      </c>
      <c r="AP25" s="181" t="n">
        <v>150</v>
      </c>
      <c r="AQ25" s="181" t="n">
        <v>150</v>
      </c>
      <c r="AR25" s="181" t="n">
        <v>150</v>
      </c>
      <c r="AS25" s="181" t="n">
        <v>150</v>
      </c>
      <c r="AT25" s="181" t="n">
        <v>150</v>
      </c>
      <c r="AU25" s="181" t="n">
        <v>150</v>
      </c>
      <c r="AV25" s="181" t="n">
        <v>150</v>
      </c>
      <c r="AW25" s="181" t="n">
        <v>150</v>
      </c>
      <c r="AX25" s="181" t="n">
        <v>150</v>
      </c>
      <c r="AY25" s="181" t="n">
        <v>150</v>
      </c>
      <c r="AZ25" s="181" t="n">
        <v>150</v>
      </c>
      <c r="BA25" s="181" t="n">
        <v>150</v>
      </c>
      <c r="BB25" s="181" t="n">
        <v>150</v>
      </c>
      <c r="BC25" s="181" t="n">
        <v>150</v>
      </c>
      <c r="BD25" s="181" t="n">
        <v>150</v>
      </c>
      <c r="BE25" s="181" t="n">
        <v>150</v>
      </c>
      <c r="BF25" s="181" t="n">
        <v>150</v>
      </c>
      <c r="BG25" s="181" t="n">
        <v>150</v>
      </c>
      <c r="BH25" s="181" t="n">
        <v>150</v>
      </c>
      <c r="BI25" s="181" t="n">
        <v>150</v>
      </c>
      <c r="BJ25" s="181" t="n">
        <v>150</v>
      </c>
      <c r="BK25" s="181" t="n">
        <v>150</v>
      </c>
      <c r="BL25" s="181" t="n">
        <v>150</v>
      </c>
      <c r="BM25" s="181" t="n">
        <v>150</v>
      </c>
      <c r="BN25" s="181" t="n"/>
      <c r="BO25" s="181" t="n"/>
      <c r="BP25" s="181" t="n"/>
      <c r="BQ25" s="181" t="n"/>
      <c r="BR25" s="181" t="n"/>
    </row>
    <row r="26">
      <c r="C26" s="76" t="inlineStr">
        <is>
          <t>稼働顧問先数</t>
        </is>
      </c>
      <c r="D26" s="76" t="inlineStr">
        <is>
          <t>契約事務所×20社×稼働率60%（20社/事務所はbixid実測）</t>
        </is>
      </c>
      <c r="F26" s="181">
        <f>SaaS!F17*20*0.6</f>
        <v>0.0</v>
      </c>
      <c r="G26" s="181">
        <f>SaaS!G17*20*0.6</f>
        <v>12.0</v>
      </c>
      <c r="H26" s="181">
        <f>SaaS!H17*20*0.6</f>
        <v>71.76</v>
      </c>
      <c r="I26" s="181">
        <f>SaaS!I17*20*0.6</f>
        <v>130.3248</v>
      </c>
      <c r="J26" s="181">
        <f>SaaS!J17*20*0.6</f>
        <v>187.718304</v>
      </c>
      <c r="K26" s="181">
        <f>SaaS!K17*20*0.6</f>
        <v>255.96393792</v>
      </c>
      <c r="L26" s="181">
        <f>SaaS!L17*20*0.6</f>
        <v>322.8446591616</v>
      </c>
      <c r="M26" s="181">
        <f>SaaS!M17*20*0.6</f>
        <v>388.387765978368</v>
      </c>
      <c r="N26" s="181">
        <f>SaaS!N17*20*0.6</f>
        <v>464.620010658801</v>
      </c>
      <c r="O26" s="181">
        <f>SaaS!O17*20*0.6</f>
        <v>539.327610445625</v>
      </c>
      <c r="P26" s="181">
        <f>SaaS!P17*20*0.6</f>
        <v>612.541058236712</v>
      </c>
      <c r="Q26" s="181">
        <f>SaaS!Q17*20*0.6</f>
        <v>696.290237071978</v>
      </c>
      <c r="R26" s="181">
        <f>SaaS!R17*20*0.6</f>
        <v>778.364432330538</v>
      </c>
      <c r="S26" s="181">
        <f>SaaS!S17*20*0.6</f>
        <v>858.797143683928</v>
      </c>
      <c r="T26" s="181">
        <f>SaaS!T17*20*0.6</f>
        <v>949.621200810249</v>
      </c>
      <c r="U26" s="181">
        <f>SaaS!U17*20*0.6</f>
        <v>1038.62877679404</v>
      </c>
      <c r="V26" s="181">
        <f>SaaS!V17*20*0.6</f>
        <v>1125.85620125816</v>
      </c>
      <c r="W26" s="181">
        <f>SaaS!W17*20*0.6</f>
        <v>1223.339077233</v>
      </c>
      <c r="X26" s="181">
        <f>SaaS!X17*20*0.6</f>
        <v>1318.87229568834</v>
      </c>
      <c r="Y26" s="181">
        <f>SaaS!Y17*20*0.6</f>
        <v>1412.49484977457</v>
      </c>
      <c r="Z26" s="181">
        <f>SaaS!Z17*20*0.6</f>
        <v>1516.24495277908</v>
      </c>
      <c r="AA26" s="181">
        <f>SaaS!AA17*20*0.6</f>
        <v>1617.9200537235</v>
      </c>
      <c r="AB26" s="181">
        <f>SaaS!AB17*20*0.6</f>
        <v>1717.56165264903</v>
      </c>
      <c r="AC26" s="181">
        <f>SaaS!AC17*20*0.6</f>
        <v>1827.21041959605</v>
      </c>
      <c r="AD26" s="181">
        <f>SaaS!AD17*20*0.6</f>
        <v>1943.80226330211</v>
      </c>
      <c r="AE26" s="181">
        <f>SaaS!AE17*20*0.6</f>
        <v>2058.64522935258</v>
      </c>
      <c r="AF26" s="181">
        <f>SaaS!AF17*20*0.6</f>
        <v>2183.76555091229</v>
      </c>
      <c r="AG26" s="181">
        <f>SaaS!AG17*20*0.6</f>
        <v>2307.0090676486</v>
      </c>
      <c r="AH26" s="181">
        <f>SaaS!AH17*20*0.6</f>
        <v>2428.40393163387</v>
      </c>
      <c r="AI26" s="181">
        <f>SaaS!AI17*20*0.6</f>
        <v>2559.97787265937</v>
      </c>
      <c r="AJ26" s="181">
        <f>SaaS!AJ17*20*0.6</f>
        <v>2689.57820456948</v>
      </c>
      <c r="AK26" s="181">
        <f>SaaS!AK17*20*0.6</f>
        <v>2817.23453150093</v>
      </c>
      <c r="AL26" s="181">
        <f>SaaS!AL17*20*0.6</f>
        <v>2954.97601352842</v>
      </c>
      <c r="AM26" s="181">
        <f>SaaS!AM17*20*0.6</f>
        <v>3090.65137332549</v>
      </c>
      <c r="AN26" s="181">
        <f>SaaS!AN17*20*0.6</f>
        <v>3224.29160272561</v>
      </c>
      <c r="AO26" s="181">
        <f>SaaS!AO17*20*0.6</f>
        <v>3367.92722868473</v>
      </c>
      <c r="AP26" s="181">
        <f>SaaS!AP17*20*0.6</f>
        <v>3509.40832025446</v>
      </c>
      <c r="AQ26" s="181">
        <f>SaaS!AQ17*20*0.6</f>
        <v>3648.76719545064</v>
      </c>
      <c r="AR26" s="181">
        <f>SaaS!AR17*20*0.6</f>
        <v>3798.03568751888</v>
      </c>
      <c r="AS26" s="181">
        <f>SaaS!AS17*20*0.6</f>
        <v>3945.0651522061</v>
      </c>
      <c r="AT26" s="181">
        <f>SaaS!AT17*20*0.6</f>
        <v>4089.889174923</v>
      </c>
      <c r="AU26" s="181">
        <f>SaaS!AU17*20*0.6</f>
        <v>4244.54083729916</v>
      </c>
      <c r="AV26" s="181">
        <f>SaaS!AV17*20*0.6</f>
        <v>4396.87272473967</v>
      </c>
      <c r="AW26" s="181">
        <f>SaaS!AW17*20*0.6</f>
        <v>4546.91963386858</v>
      </c>
      <c r="AX26" s="181">
        <f>SaaS!AX17*20*0.6</f>
        <v>4706.71583936055</v>
      </c>
      <c r="AY26" s="181">
        <f>SaaS!AY17*20*0.6</f>
        <v>4864.11510177014</v>
      </c>
      <c r="AZ26" s="181">
        <f>SaaS!AZ17*20*0.6</f>
        <v>5019.15337524359</v>
      </c>
      <c r="BA26" s="181">
        <f>SaaS!BA17*20*0.6</f>
        <v>5183.86607461493</v>
      </c>
      <c r="BB26" s="181">
        <f>SaaS!BB17*20*0.6</f>
        <v>5372.02741386878</v>
      </c>
      <c r="BC26" s="181">
        <f>SaaS!BC17*20*0.6</f>
        <v>5558.3071397301</v>
      </c>
      <c r="BD26" s="181">
        <f>SaaS!BD17*20*0.6</f>
        <v>5754.7240683328</v>
      </c>
      <c r="BE26" s="181">
        <f>SaaS!BE17*20*0.6</f>
        <v>5949.17682764947</v>
      </c>
      <c r="BF26" s="181">
        <f>SaaS!BF17*20*0.6</f>
        <v>6141.68505937297</v>
      </c>
      <c r="BG26" s="181">
        <f>SaaS!BG17*20*0.6</f>
        <v>6344.26820877924</v>
      </c>
      <c r="BH26" s="181">
        <f>SaaS!BH17*20*0.6</f>
        <v>6544.82552669145</v>
      </c>
      <c r="BI26" s="181">
        <f>SaaS!BI17*20*0.6</f>
        <v>6743.37727142454</v>
      </c>
      <c r="BJ26" s="181">
        <f>SaaS!BJ17*20*0.6</f>
        <v>6951.94349871029</v>
      </c>
      <c r="BK26" s="181">
        <f>SaaS!BK17*20*0.6</f>
        <v>7158.42406372319</v>
      </c>
      <c r="BL26" s="181">
        <f>SaaS!BL17*20*0.6</f>
        <v>7362.83982308596</v>
      </c>
      <c r="BM26" s="181">
        <f>SaaS!BM17*20*0.6</f>
        <v>7577.2114248551</v>
      </c>
      <c r="BN26" s="181" t="n"/>
      <c r="BO26" s="181" t="n"/>
      <c r="BP26" s="181" t="n"/>
      <c r="BQ26" s="181" t="n"/>
      <c r="BR26" s="181" t="n"/>
    </row>
    <row r="27">
      <c r="C27" s="76" t="inlineStr">
        <is>
          <t>AI API費</t>
        </is>
      </c>
      <c r="F27" s="181">
        <f>F25*F26</f>
        <v>0.0</v>
      </c>
      <c r="G27" s="181">
        <f>G25*G26</f>
        <v>1800.0</v>
      </c>
      <c r="H27" s="181">
        <f>H25*H26</f>
        <v>10764.0</v>
      </c>
      <c r="I27" s="181">
        <f>I25*I26</f>
        <v>19548.72</v>
      </c>
      <c r="J27" s="181">
        <f>J25*J26</f>
        <v>28157.7456</v>
      </c>
      <c r="K27" s="181">
        <f>K25*K26</f>
        <v>38394.590688</v>
      </c>
      <c r="L27" s="181">
        <f>L25*L26</f>
        <v>48426.69887424</v>
      </c>
      <c r="M27" s="181">
        <f>M25*M26</f>
        <v>58258.1648967552</v>
      </c>
      <c r="N27" s="181">
        <f>N25*N26</f>
        <v>69693.0015988201</v>
      </c>
      <c r="O27" s="181">
        <f>O25*O26</f>
        <v>80899.1415668437</v>
      </c>
      <c r="P27" s="181">
        <f>P25*P26</f>
        <v>91881.1587355068</v>
      </c>
      <c r="Q27" s="181">
        <f>Q25*Q26</f>
        <v>104443.535560797</v>
      </c>
      <c r="R27" s="181">
        <f>R25*R26</f>
        <v>116754.664849581</v>
      </c>
      <c r="S27" s="181">
        <f>S25*S26</f>
        <v>128819.571552589</v>
      </c>
      <c r="T27" s="181">
        <f>T25*T26</f>
        <v>142443.180121537</v>
      </c>
      <c r="U27" s="181">
        <f>U25*U26</f>
        <v>155794.316519107</v>
      </c>
      <c r="V27" s="181">
        <f>V25*V26</f>
        <v>168878.430188724</v>
      </c>
      <c r="W27" s="181">
        <f>W25*W26</f>
        <v>183500.86158495</v>
      </c>
      <c r="X27" s="181">
        <f>X25*X26</f>
        <v>197830.844353251</v>
      </c>
      <c r="Y27" s="181">
        <f>Y25*Y26</f>
        <v>211874.227466186</v>
      </c>
      <c r="Z27" s="181">
        <f>Z25*Z26</f>
        <v>227436.742916862</v>
      </c>
      <c r="AA27" s="181">
        <f>AA25*AA26</f>
        <v>242688.008058525</v>
      </c>
      <c r="AB27" s="181">
        <f>AB25*AB26</f>
        <v>257634.247897354</v>
      </c>
      <c r="AC27" s="181">
        <f>AC25*AC26</f>
        <v>274081.562939407</v>
      </c>
      <c r="AD27" s="181">
        <f>AD25*AD26</f>
        <v>291570.339495316</v>
      </c>
      <c r="AE27" s="181">
        <f>AE25*AE26</f>
        <v>308796.784402886</v>
      </c>
      <c r="AF27" s="181">
        <f>AF25*AF26</f>
        <v>327564.832636843</v>
      </c>
      <c r="AG27" s="181">
        <f>AG25*AG26</f>
        <v>346051.360147291</v>
      </c>
      <c r="AH27" s="181">
        <f>AH25*AH26</f>
        <v>364260.589745081</v>
      </c>
      <c r="AI27" s="181">
        <f>AI25*AI26</f>
        <v>383996.680898905</v>
      </c>
      <c r="AJ27" s="181">
        <f>AJ25*AJ26</f>
        <v>403436.730685421</v>
      </c>
      <c r="AK27" s="181">
        <f>AK25*AK26</f>
        <v>422585.17972514</v>
      </c>
      <c r="AL27" s="181">
        <f>AL25*AL26</f>
        <v>443246.402029263</v>
      </c>
      <c r="AM27" s="181">
        <f>AM25*AM26</f>
        <v>463597.705998824</v>
      </c>
      <c r="AN27" s="181">
        <f>AN25*AN26</f>
        <v>483643.740408842</v>
      </c>
      <c r="AO27" s="181">
        <f>AO25*AO26</f>
        <v>505189.084302709</v>
      </c>
      <c r="AP27" s="181">
        <f>AP25*AP26</f>
        <v>526411.248038168</v>
      </c>
      <c r="AQ27" s="181">
        <f>AQ25*AQ26</f>
        <v>547315.079317596</v>
      </c>
      <c r="AR27" s="181">
        <f>AR25*AR26</f>
        <v>569705.353127832</v>
      </c>
      <c r="AS27" s="181">
        <f>AS25*AS26</f>
        <v>591759.772830914</v>
      </c>
      <c r="AT27" s="181">
        <f>AT25*AT26</f>
        <v>613483.376238451</v>
      </c>
      <c r="AU27" s="181">
        <f>AU25*AU26</f>
        <v>636681.125594874</v>
      </c>
      <c r="AV27" s="181">
        <f>AV25*AV26</f>
        <v>659530.908710951</v>
      </c>
      <c r="AW27" s="181">
        <f>AW25*AW26</f>
        <v>682037.945080286</v>
      </c>
      <c r="AX27" s="181">
        <f>AX25*AX26</f>
        <v>706007.375904082</v>
      </c>
      <c r="AY27" s="181">
        <f>AY25*AY26</f>
        <v>729617.265265521</v>
      </c>
      <c r="AZ27" s="181">
        <f>AZ25*AZ26</f>
        <v>752873.006286538</v>
      </c>
      <c r="BA27" s="181">
        <f>BA25*BA26</f>
        <v>777579.91119224</v>
      </c>
      <c r="BB27" s="181">
        <f>BB25*BB26</f>
        <v>805804.112080318</v>
      </c>
      <c r="BC27" s="181">
        <f>BC25*BC26</f>
        <v>833746.070959515</v>
      </c>
      <c r="BD27" s="181">
        <f>BD25*BD26</f>
        <v>863208.610249919</v>
      </c>
      <c r="BE27" s="181">
        <f>BE25*BE26</f>
        <v>892376.52414742</v>
      </c>
      <c r="BF27" s="181">
        <f>BF25*BF26</f>
        <v>921252.758905946</v>
      </c>
      <c r="BG27" s="181">
        <f>BG25*BG26</f>
        <v>951640.231316886</v>
      </c>
      <c r="BH27" s="181">
        <f>BH25*BH26</f>
        <v>981723.829003718</v>
      </c>
      <c r="BI27" s="181">
        <f>BI25*BI26</f>
        <v>1011506.59071368</v>
      </c>
      <c r="BJ27" s="181">
        <f>BJ25*BJ26</f>
        <v>1042791.52480654</v>
      </c>
      <c r="BK27" s="181">
        <f>BK25*BK26</f>
        <v>1073763.60955848</v>
      </c>
      <c r="BL27" s="181">
        <f>BL25*BL26</f>
        <v>1104425.97346289</v>
      </c>
      <c r="BM27" s="181">
        <f>BM25*BM26</f>
        <v>1136581.71372826</v>
      </c>
      <c r="BN27" s="181">
        <f>SUM(F27:Q27)</f>
        <v>552266.757520962</v>
      </c>
      <c r="BO27" s="181">
        <f>SUM(R27:AC27)</f>
        <v>2307736.65844807</v>
      </c>
      <c r="BP27" s="181">
        <f>SUM(AD27:AO27)</f>
        <v>4743939.43047652</v>
      </c>
      <c r="BQ27" s="181">
        <f>SUM(AP27:BA27)</f>
        <v>7793002.36758745</v>
      </c>
      <c r="BR27" s="181">
        <f>SUM(BB27:BM27)</f>
        <v>11618821.5489336</v>
      </c>
    </row>
    <row r="28">
      <c r="C28" s="76" t="inlineStr">
        <is>
          <t>サーバー・DB費</t>
        </is>
      </c>
      <c r="D28" s="76" t="inlineStr">
        <is>
          <t>Railway/Supabase→スケールで段階増。推定</t>
        </is>
      </c>
      <c r="F28" s="181" t="n">
        <v>50000</v>
      </c>
      <c r="G28" s="181" t="n">
        <v>50000</v>
      </c>
      <c r="H28" s="181" t="n">
        <v>50000</v>
      </c>
      <c r="I28" s="181" t="n">
        <v>50000</v>
      </c>
      <c r="J28" s="181" t="n">
        <v>50000</v>
      </c>
      <c r="K28" s="181" t="n">
        <v>50000</v>
      </c>
      <c r="L28" s="181" t="n">
        <v>50000</v>
      </c>
      <c r="M28" s="181" t="n">
        <v>50000</v>
      </c>
      <c r="N28" s="181" t="n">
        <v>50000</v>
      </c>
      <c r="O28" s="181" t="n">
        <v>50000</v>
      </c>
      <c r="P28" s="181" t="n">
        <v>50000</v>
      </c>
      <c r="Q28" s="181" t="n">
        <v>50000</v>
      </c>
      <c r="R28" s="181" t="n">
        <v>150000</v>
      </c>
      <c r="S28" s="181" t="n">
        <v>150000</v>
      </c>
      <c r="T28" s="181" t="n">
        <v>150000</v>
      </c>
      <c r="U28" s="181" t="n">
        <v>150000</v>
      </c>
      <c r="V28" s="181" t="n">
        <v>150000</v>
      </c>
      <c r="W28" s="181" t="n">
        <v>150000</v>
      </c>
      <c r="X28" s="181" t="n">
        <v>150000</v>
      </c>
      <c r="Y28" s="181" t="n">
        <v>150000</v>
      </c>
      <c r="Z28" s="181" t="n">
        <v>150000</v>
      </c>
      <c r="AA28" s="181" t="n">
        <v>150000</v>
      </c>
      <c r="AB28" s="181" t="n">
        <v>150000</v>
      </c>
      <c r="AC28" s="181" t="n">
        <v>150000</v>
      </c>
      <c r="AD28" s="181" t="n">
        <v>300000</v>
      </c>
      <c r="AE28" s="181" t="n">
        <v>300000</v>
      </c>
      <c r="AF28" s="181" t="n">
        <v>300000</v>
      </c>
      <c r="AG28" s="181" t="n">
        <v>300000</v>
      </c>
      <c r="AH28" s="181" t="n">
        <v>300000</v>
      </c>
      <c r="AI28" s="181" t="n">
        <v>300000</v>
      </c>
      <c r="AJ28" s="181" t="n">
        <v>300000</v>
      </c>
      <c r="AK28" s="181" t="n">
        <v>300000</v>
      </c>
      <c r="AL28" s="181" t="n">
        <v>300000</v>
      </c>
      <c r="AM28" s="181" t="n">
        <v>300000</v>
      </c>
      <c r="AN28" s="181" t="n">
        <v>300000</v>
      </c>
      <c r="AO28" s="181" t="n">
        <v>300000</v>
      </c>
      <c r="AP28" s="181" t="n">
        <v>500000</v>
      </c>
      <c r="AQ28" s="181" t="n">
        <v>500000</v>
      </c>
      <c r="AR28" s="181" t="n">
        <v>500000</v>
      </c>
      <c r="AS28" s="181" t="n">
        <v>500000</v>
      </c>
      <c r="AT28" s="181" t="n">
        <v>500000</v>
      </c>
      <c r="AU28" s="181" t="n">
        <v>500000</v>
      </c>
      <c r="AV28" s="181" t="n">
        <v>500000</v>
      </c>
      <c r="AW28" s="181" t="n">
        <v>500000</v>
      </c>
      <c r="AX28" s="181" t="n">
        <v>500000</v>
      </c>
      <c r="AY28" s="181" t="n">
        <v>500000</v>
      </c>
      <c r="AZ28" s="181" t="n">
        <v>500000</v>
      </c>
      <c r="BA28" s="181" t="n">
        <v>500000</v>
      </c>
      <c r="BB28" s="181" t="n">
        <v>800000</v>
      </c>
      <c r="BC28" s="181" t="n">
        <v>800000</v>
      </c>
      <c r="BD28" s="181" t="n">
        <v>800000</v>
      </c>
      <c r="BE28" s="181" t="n">
        <v>800000</v>
      </c>
      <c r="BF28" s="181" t="n">
        <v>800000</v>
      </c>
      <c r="BG28" s="181" t="n">
        <v>800000</v>
      </c>
      <c r="BH28" s="181" t="n">
        <v>800000</v>
      </c>
      <c r="BI28" s="181" t="n">
        <v>800000</v>
      </c>
      <c r="BJ28" s="181" t="n">
        <v>800000</v>
      </c>
      <c r="BK28" s="181" t="n">
        <v>800000</v>
      </c>
      <c r="BL28" s="181" t="n">
        <v>800000</v>
      </c>
      <c r="BM28" s="181" t="n">
        <v>800000</v>
      </c>
      <c r="BN28" s="181">
        <f>SUM(F28:Q28)</f>
        <v>600000.0</v>
      </c>
      <c r="BO28" s="181">
        <f>SUM(R28:AC28)</f>
        <v>1800000.0</v>
      </c>
      <c r="BP28" s="181">
        <f>SUM(AD28:AO28)</f>
        <v>3600000.0</v>
      </c>
      <c r="BQ28" s="181">
        <f>SUM(AP28:BA28)</f>
        <v>6000000.0</v>
      </c>
      <c r="BR28" s="181">
        <f>SUM(BB28:BM28)</f>
        <v>9600000.0</v>
      </c>
    </row>
    <row r="29">
      <c r="C29" s="76" t="inlineStr">
        <is>
          <t>決済手数料</t>
        </is>
      </c>
      <c r="D29" s="76" t="inlineStr">
        <is>
          <t>Stripe 3.6%×SaaS売上</t>
        </is>
      </c>
      <c r="F29" s="181">
        <f>SaaS!F5*0.036</f>
        <v>0.0</v>
      </c>
      <c r="G29" s="181">
        <f>SaaS!G5*0.036</f>
        <v>1543.5412611211</v>
      </c>
      <c r="H29" s="181">
        <f>SaaS!H5*0.036</f>
        <v>9230.37674150421</v>
      </c>
      <c r="I29" s="181">
        <f>SaaS!I5*0.036</f>
        <v>16763.4755122796</v>
      </c>
      <c r="J29" s="181">
        <f>SaaS!J5*0.036</f>
        <v>24145.9123076396</v>
      </c>
      <c r="K29" s="181">
        <f>SaaS!K5*0.036</f>
        <v>32924.2416282134</v>
      </c>
      <c r="L29" s="181">
        <f>SaaS!L5*0.036</f>
        <v>41527.0043623758</v>
      </c>
      <c r="M29" s="181">
        <f>SaaS!M5*0.036</f>
        <v>49957.7118418549</v>
      </c>
      <c r="N29" s="181">
        <f>SaaS!N5*0.036</f>
        <v>59763.3464328655</v>
      </c>
      <c r="O29" s="181">
        <f>SaaS!O5*0.036</f>
        <v>69372.8683320559</v>
      </c>
      <c r="P29" s="181">
        <f>SaaS!P5*0.036</f>
        <v>78790.1997932625</v>
      </c>
      <c r="Q29" s="181">
        <f>SaaS!Q5*0.036</f>
        <v>89562.7258863661</v>
      </c>
      <c r="R29" s="181">
        <f>SaaS!R5*0.036</f>
        <v>100119.801457608</v>
      </c>
      <c r="S29" s="181">
        <f>SaaS!S5*0.036</f>
        <v>110465.735517424</v>
      </c>
      <c r="T29" s="181">
        <f>SaaS!T5*0.036</f>
        <v>122148.292157166</v>
      </c>
      <c r="U29" s="181">
        <f>SaaS!U5*0.036</f>
        <v>133597.197664112</v>
      </c>
      <c r="V29" s="181">
        <f>SaaS!V5*0.036</f>
        <v>144817.12506092</v>
      </c>
      <c r="W29" s="181">
        <f>SaaS!W5*0.036</f>
        <v>157356.195170913</v>
      </c>
      <c r="X29" s="181">
        <f>SaaS!X5*0.036</f>
        <v>169644.483878706</v>
      </c>
      <c r="Y29" s="181">
        <f>SaaS!Y5*0.036</f>
        <v>181687.006812342</v>
      </c>
      <c r="Z29" s="181">
        <f>SaaS!Z5*0.036</f>
        <v>195032.220548428</v>
      </c>
      <c r="AA29" s="181">
        <f>SaaS!AA5*0.036</f>
        <v>208110.530009791</v>
      </c>
      <c r="AB29" s="181">
        <f>SaaS!AB5*0.036</f>
        <v>220927.273281928</v>
      </c>
      <c r="AC29" s="181">
        <f>SaaS!AC5*0.036</f>
        <v>235031.222949742</v>
      </c>
      <c r="AD29" s="181">
        <f>SaaS!AD5*0.036</f>
        <v>250028.249738949</v>
      </c>
      <c r="AE29" s="181">
        <f>SaaS!AE5*0.036</f>
        <v>264800.321126319</v>
      </c>
      <c r="AF29" s="181">
        <f>SaaS!AF5*0.036</f>
        <v>280894.352703998</v>
      </c>
      <c r="AG29" s="181">
        <f>SaaS!AG5*0.036</f>
        <v>296746.973808012</v>
      </c>
      <c r="AH29" s="181">
        <f>SaaS!AH5*0.036</f>
        <v>312361.805595467</v>
      </c>
      <c r="AI29" s="181">
        <f>SaaS!AI5*0.036</f>
        <v>329285.95616723</v>
      </c>
      <c r="AJ29" s="181">
        <f>SaaS!AJ5*0.036</f>
        <v>345956.244480417</v>
      </c>
      <c r="AK29" s="181">
        <f>SaaS!AK5*0.036</f>
        <v>362376.478468906</v>
      </c>
      <c r="AL29" s="181">
        <f>SaaS!AL5*0.036</f>
        <v>380093.950208689</v>
      </c>
      <c r="AM29" s="181">
        <f>SaaS!AM5*0.036</f>
        <v>397545.659872375</v>
      </c>
      <c r="AN29" s="181">
        <f>SaaS!AN5*0.036</f>
        <v>414735.593891106</v>
      </c>
      <c r="AO29" s="181">
        <f>SaaS!AO5*0.036</f>
        <v>433211.220160677</v>
      </c>
      <c r="AP29" s="181">
        <f>SaaS!AP5*0.036</f>
        <v>451409.712036205</v>
      </c>
      <c r="AQ29" s="181">
        <f>SaaS!AQ5*0.036</f>
        <v>469335.2265336</v>
      </c>
      <c r="AR29" s="181">
        <f>SaaS!AR5*0.036</f>
        <v>488535.399574654</v>
      </c>
      <c r="AS29" s="181">
        <f>SaaS!AS5*0.036</f>
        <v>507447.570020093</v>
      </c>
      <c r="AT29" s="181">
        <f>SaaS!AT5*0.036</f>
        <v>526076.057908851</v>
      </c>
      <c r="AU29" s="181">
        <f>SaaS!AU5*0.036</f>
        <v>545968.659740398</v>
      </c>
      <c r="AV29" s="181">
        <f>SaaS!AV5*0.036</f>
        <v>565562.872544472</v>
      </c>
      <c r="AW29" s="181">
        <f>SaaS!AW5*0.036</f>
        <v>584863.172156484</v>
      </c>
      <c r="AX29" s="181">
        <f>SaaS!AX5*0.036</f>
        <v>605417.508535438</v>
      </c>
      <c r="AY29" s="181">
        <f>SaaS!AY5*0.036</f>
        <v>625663.529868708</v>
      </c>
      <c r="AZ29" s="181">
        <f>SaaS!AZ5*0.036</f>
        <v>645605.860881978</v>
      </c>
      <c r="BA29" s="181">
        <f>SaaS!BA5*0.036</f>
        <v>666792.59819117</v>
      </c>
      <c r="BB29" s="181">
        <f>SaaS!BB5*0.036</f>
        <v>690995.497431681</v>
      </c>
      <c r="BC29" s="181">
        <f>SaaS!BC5*0.036</f>
        <v>714956.367679786</v>
      </c>
      <c r="BD29" s="181">
        <f>SaaS!BD5*0.036</f>
        <v>740221.170486531</v>
      </c>
      <c r="BE29" s="181">
        <f>SaaS!BE5*0.036</f>
        <v>765233.325265209</v>
      </c>
      <c r="BF29" s="181">
        <f>SaaS!BF5*0.036</f>
        <v>789995.3584961</v>
      </c>
      <c r="BG29" s="181">
        <f>SaaS!BG5*0.036</f>
        <v>816053.312655804</v>
      </c>
      <c r="BH29" s="181">
        <f>SaaS!BH5*0.036</f>
        <v>841850.68727391</v>
      </c>
      <c r="BI29" s="181">
        <f>SaaS!BI5*0.036</f>
        <v>867390.088145835</v>
      </c>
      <c r="BJ29" s="181">
        <f>SaaS!BJ5*0.036</f>
        <v>894217.636270162</v>
      </c>
      <c r="BK29" s="181">
        <f>SaaS!BK5*0.036</f>
        <v>920776.908913246</v>
      </c>
      <c r="BL29" s="181">
        <f>SaaS!BL5*0.036</f>
        <v>947070.588829899</v>
      </c>
      <c r="BM29" s="181">
        <f>SaaS!BM5*0.036</f>
        <v>974644.873208506</v>
      </c>
      <c r="BN29" s="181">
        <f>SUM(F29:Q29)</f>
        <v>473581.404099539</v>
      </c>
      <c r="BO29" s="181">
        <f>SUM(R29:AC29)</f>
        <v>1978937.08450908</v>
      </c>
      <c r="BP29" s="181">
        <f>SUM(AD29:AO29)</f>
        <v>4068036.80622215</v>
      </c>
      <c r="BQ29" s="181">
        <f>SUM(AP29:BA29)</f>
        <v>6682678.16799205</v>
      </c>
      <c r="BR29" s="181">
        <f>SUM(BB29:BM29)</f>
        <v>9963405.81465667</v>
      </c>
    </row>
    <row r="30">
      <c r="C30" s="76" t="inlineStr">
        <is>
          <t>コンサル直接経費</t>
        </is>
      </c>
      <c r="D30" s="76" t="inlineStr">
        <is>
          <t>交通費・資料等 コンサル売上の5%。推定</t>
        </is>
      </c>
      <c r="F30" s="181" t="n">
        <v>0</v>
      </c>
      <c r="G30" s="181" t="n">
        <v>0</v>
      </c>
      <c r="H30" s="181" t="n">
        <v>0</v>
      </c>
      <c r="I30" s="181" t="n">
        <v>0</v>
      </c>
      <c r="J30" s="181" t="n">
        <v>2252.25</v>
      </c>
      <c r="K30" s="181" t="n">
        <v>13400.8875</v>
      </c>
      <c r="L30" s="181" t="n">
        <v>23992.09312500001</v>
      </c>
      <c r="M30" s="181" t="n">
        <v>34053.73846875001</v>
      </c>
      <c r="N30" s="181" t="n">
        <v>45864.55154531251</v>
      </c>
      <c r="O30" s="181" t="n">
        <v>57084.8239680469</v>
      </c>
      <c r="P30" s="181" t="n">
        <v>67744.08276964455</v>
      </c>
      <c r="Q30" s="181" t="n">
        <v>80122.62863116233</v>
      </c>
      <c r="R30" s="181" t="n">
        <v>91882.2471996042</v>
      </c>
      <c r="S30" s="181" t="n">
        <v>103053.884839624</v>
      </c>
      <c r="T30" s="181" t="n">
        <v>115919.1905976428</v>
      </c>
      <c r="U30" s="181" t="n">
        <v>128141.2310677607</v>
      </c>
      <c r="V30" s="181" t="n">
        <v>139752.1695143726</v>
      </c>
      <c r="W30" s="181" t="n">
        <v>153034.811038654</v>
      </c>
      <c r="X30" s="181" t="n">
        <v>165653.3204867213</v>
      </c>
      <c r="Y30" s="181" t="n">
        <v>177640.9044623852</v>
      </c>
      <c r="Z30" s="181" t="n">
        <v>191281.359239266</v>
      </c>
      <c r="AA30" s="181" t="n">
        <v>204239.7912773027</v>
      </c>
      <c r="AB30" s="181" t="n">
        <v>216550.3017134375</v>
      </c>
      <c r="AC30" s="181" t="n">
        <v>230497.5366277657</v>
      </c>
      <c r="AD30" s="181" t="n">
        <v>243747.4097963774</v>
      </c>
      <c r="AE30" s="181" t="n">
        <v>256334.7893065586</v>
      </c>
      <c r="AF30" s="181" t="n">
        <v>270545.0498412306</v>
      </c>
      <c r="AG30" s="181" t="n">
        <v>284044.7973491691</v>
      </c>
      <c r="AH30" s="181" t="n">
        <v>296869.5574817107</v>
      </c>
      <c r="AI30" s="181" t="n">
        <v>311305.3296076251</v>
      </c>
      <c r="AJ30" s="181" t="n">
        <v>325019.3131272439</v>
      </c>
      <c r="AK30" s="181" t="n">
        <v>338047.5974708817</v>
      </c>
      <c r="AL30" s="181" t="n">
        <v>352676.7175973376</v>
      </c>
      <c r="AM30" s="181" t="n">
        <v>366574.3817174707</v>
      </c>
      <c r="AN30" s="181" t="n">
        <v>379777.1626315972</v>
      </c>
      <c r="AO30" s="181" t="n">
        <v>394572.0545000173</v>
      </c>
      <c r="AP30" s="181" t="n">
        <v>408627.2017750165</v>
      </c>
      <c r="AQ30" s="181" t="n">
        <v>421979.5916862657</v>
      </c>
      <c r="AR30" s="181" t="n">
        <v>436916.6121019524</v>
      </c>
      <c r="AS30" s="181" t="n">
        <v>451106.7814968548</v>
      </c>
      <c r="AT30" s="181" t="n">
        <v>464587.4424220121</v>
      </c>
      <c r="AU30" s="181" t="n">
        <v>479646.3203009114</v>
      </c>
      <c r="AV30" s="181" t="n">
        <v>493952.2542858659</v>
      </c>
      <c r="AW30" s="181" t="n">
        <v>507542.8915715725</v>
      </c>
      <c r="AX30" s="181" t="n">
        <v>522706.2469929939</v>
      </c>
      <c r="AY30" s="181" t="n">
        <v>537111.4346433443</v>
      </c>
      <c r="AZ30" s="181" t="n">
        <v>550796.3629111771</v>
      </c>
      <c r="BA30" s="181" t="n">
        <v>566049.2947656182</v>
      </c>
      <c r="BB30" s="181" t="n">
        <v>580539.5800273372</v>
      </c>
      <c r="BC30" s="181" t="n">
        <v>594305.3510259703</v>
      </c>
      <c r="BD30" s="181" t="n">
        <v>609635.0834746718</v>
      </c>
      <c r="BE30" s="181" t="n">
        <v>624198.3293009384</v>
      </c>
      <c r="BF30" s="181" t="n">
        <v>638033.4128358915</v>
      </c>
      <c r="BG30" s="181" t="n">
        <v>653428.9921940969</v>
      </c>
      <c r="BH30" s="181" t="n">
        <v>668054.7925843921</v>
      </c>
      <c r="BI30" s="181" t="n">
        <v>681949.3029551725</v>
      </c>
      <c r="BJ30" s="181" t="n">
        <v>697401.3378074139</v>
      </c>
      <c r="BK30" s="181" t="n">
        <v>712080.7709170431</v>
      </c>
      <c r="BL30" s="181" t="n">
        <v>726026.232371191</v>
      </c>
      <c r="BM30" s="181" t="n">
        <v>741526.6707526315</v>
      </c>
      <c r="BN30" s="181">
        <f>SUM(F30:Q30)</f>
        <v>324515.056007916</v>
      </c>
      <c r="BO30" s="181">
        <f>SUM(R30:AC30)</f>
        <v>1917646.74806454</v>
      </c>
      <c r="BP30" s="181">
        <f>SUM(AD30:AO30)</f>
        <v>3819514.16042722</v>
      </c>
      <c r="BQ30" s="181">
        <f>SUM(AP30:BA30)</f>
        <v>5841022.43495359</v>
      </c>
      <c r="BR30" s="181">
        <f>SUM(BB30:BM30)</f>
        <v>7927179.85624675</v>
      </c>
    </row>
    <row r="31">
      <c r="C31" s="76" t="inlineStr">
        <is>
          <t>COGS合計</t>
        </is>
      </c>
      <c r="F31" s="181">
        <f>SUM(F27:F30)</f>
        <v>50000.0</v>
      </c>
      <c r="G31" s="181">
        <f>SUM(G27:G30)</f>
        <v>53343.5412611211</v>
      </c>
      <c r="H31" s="181">
        <f>SUM(H27:H30)</f>
        <v>69994.3767415042</v>
      </c>
      <c r="I31" s="181">
        <f>SUM(I27:I30)</f>
        <v>86312.1955122796</v>
      </c>
      <c r="J31" s="181">
        <f>SUM(J27:J30)</f>
        <v>104555.90790764</v>
      </c>
      <c r="K31" s="181">
        <f>SUM(K27:K30)</f>
        <v>134719.719816213</v>
      </c>
      <c r="L31" s="181">
        <f>SUM(L27:L30)</f>
        <v>163945.796361616</v>
      </c>
      <c r="M31" s="181">
        <f>SUM(M27:M30)</f>
        <v>192269.61520736</v>
      </c>
      <c r="N31" s="181">
        <f>SUM(N27:N30)</f>
        <v>225320.899576998</v>
      </c>
      <c r="O31" s="181">
        <f>SUM(O27:O30)</f>
        <v>257356.833866947</v>
      </c>
      <c r="P31" s="181">
        <f>SUM(P27:P30)</f>
        <v>288415.441298414</v>
      </c>
      <c r="Q31" s="181">
        <f>SUM(Q27:Q30)</f>
        <v>324128.890078325</v>
      </c>
      <c r="R31" s="181">
        <f>SUM(R27:R30)</f>
        <v>458756.713506793</v>
      </c>
      <c r="S31" s="181">
        <f>SUM(S27:S30)</f>
        <v>492339.191909638</v>
      </c>
      <c r="T31" s="181">
        <f>SUM(T27:T30)</f>
        <v>530510.662876346</v>
      </c>
      <c r="U31" s="181">
        <f>SUM(U27:U30)</f>
        <v>567532.74525098</v>
      </c>
      <c r="V31" s="181">
        <f>SUM(V27:V30)</f>
        <v>603447.724764017</v>
      </c>
      <c r="W31" s="181">
        <f>SUM(W27:W30)</f>
        <v>643891.867794517</v>
      </c>
      <c r="X31" s="181">
        <f>SUM(X27:X30)</f>
        <v>683128.648718678</v>
      </c>
      <c r="Y31" s="181">
        <f>SUM(Y27:Y30)</f>
        <v>721202.138740914</v>
      </c>
      <c r="Z31" s="181">
        <f>SUM(Z27:Z30)</f>
        <v>763750.322704556</v>
      </c>
      <c r="AA31" s="181">
        <f>SUM(AA27:AA30)</f>
        <v>805038.329345619</v>
      </c>
      <c r="AB31" s="181">
        <f>SUM(AB27:AB30)</f>
        <v>845111.82289272</v>
      </c>
      <c r="AC31" s="181">
        <f>SUM(AC27:AC30)</f>
        <v>889610.322516915</v>
      </c>
      <c r="AD31" s="181">
        <f>SUM(AD27:AD30)</f>
        <v>1085345.99903064</v>
      </c>
      <c r="AE31" s="181">
        <f>SUM(AE27:AE30)</f>
        <v>1129931.89483576</v>
      </c>
      <c r="AF31" s="181">
        <f>SUM(AF27:AF30)</f>
        <v>1179004.23518207</v>
      </c>
      <c r="AG31" s="181">
        <f>SUM(AG27:AG30)</f>
        <v>1226843.13130447</v>
      </c>
      <c r="AH31" s="181">
        <f>SUM(AH27:AH30)</f>
        <v>1273491.95282226</v>
      </c>
      <c r="AI31" s="181">
        <f>SUM(AI27:AI30)</f>
        <v>1324587.96667376</v>
      </c>
      <c r="AJ31" s="181">
        <f>SUM(AJ27:AJ30)</f>
        <v>1374412.28829308</v>
      </c>
      <c r="AK31" s="181">
        <f>SUM(AK27:AK30)</f>
        <v>1423009.25566493</v>
      </c>
      <c r="AL31" s="181">
        <f>SUM(AL27:AL30)</f>
        <v>1476017.06983529</v>
      </c>
      <c r="AM31" s="181">
        <f>SUM(AM27:AM30)</f>
        <v>1527717.74758867</v>
      </c>
      <c r="AN31" s="181">
        <f>SUM(AN27:AN30)</f>
        <v>1578156.49693155</v>
      </c>
      <c r="AO31" s="181">
        <f>SUM(AO27:AO30)</f>
        <v>1632972.3589634</v>
      </c>
      <c r="AP31" s="181">
        <f>SUM(AP27:AP30)</f>
        <v>1886448.16184939</v>
      </c>
      <c r="AQ31" s="181">
        <f>SUM(AQ27:AQ30)</f>
        <v>1938629.89753746</v>
      </c>
      <c r="AR31" s="181">
        <f>SUM(AR27:AR30)</f>
        <v>1995157.36480444</v>
      </c>
      <c r="AS31" s="181">
        <f>SUM(AS27:AS30)</f>
        <v>2050314.12434786</v>
      </c>
      <c r="AT31" s="181">
        <f>SUM(AT27:AT30)</f>
        <v>2104146.87656931</v>
      </c>
      <c r="AU31" s="181">
        <f>SUM(AU27:AU30)</f>
        <v>2162296.10563618</v>
      </c>
      <c r="AV31" s="181">
        <f>SUM(AV27:AV30)</f>
        <v>2219046.03554129</v>
      </c>
      <c r="AW31" s="181">
        <f>SUM(AW27:AW30)</f>
        <v>2274444.00880834</v>
      </c>
      <c r="AX31" s="181">
        <f>SUM(AX27:AX30)</f>
        <v>2334131.13143251</v>
      </c>
      <c r="AY31" s="181">
        <f>SUM(AY27:AY30)</f>
        <v>2392392.22977757</v>
      </c>
      <c r="AZ31" s="181">
        <f>SUM(AZ27:AZ30)</f>
        <v>2449275.23007969</v>
      </c>
      <c r="BA31" s="181">
        <f>SUM(BA27:BA30)</f>
        <v>2510421.80414903</v>
      </c>
      <c r="BB31" s="181">
        <f>SUM(BB27:BB30)</f>
        <v>2877339.18953934</v>
      </c>
      <c r="BC31" s="181">
        <f>SUM(BC27:BC30)</f>
        <v>2943007.78966527</v>
      </c>
      <c r="BD31" s="181">
        <f>SUM(BD27:BD30)</f>
        <v>3013064.86421112</v>
      </c>
      <c r="BE31" s="181">
        <f>SUM(BE27:BE30)</f>
        <v>3081808.17871357</v>
      </c>
      <c r="BF31" s="181">
        <f>SUM(BF27:BF30)</f>
        <v>3149281.53023794</v>
      </c>
      <c r="BG31" s="181">
        <f>SUM(BG27:BG30)</f>
        <v>3221122.53616679</v>
      </c>
      <c r="BH31" s="181">
        <f>SUM(BH27:BH30)</f>
        <v>3291629.30886202</v>
      </c>
      <c r="BI31" s="181">
        <f>SUM(BI27:BI30)</f>
        <v>3360845.98181469</v>
      </c>
      <c r="BJ31" s="181">
        <f>SUM(BJ27:BJ30)</f>
        <v>3434410.49888412</v>
      </c>
      <c r="BK31" s="181">
        <f>SUM(BK27:BK30)</f>
        <v>3506621.28938877</v>
      </c>
      <c r="BL31" s="181">
        <f>SUM(BL27:BL30)</f>
        <v>3577522.79466398</v>
      </c>
      <c r="BM31" s="181">
        <f>SUM(BM27:BM30)</f>
        <v>3652753.2576894</v>
      </c>
      <c r="BN31" s="181">
        <f>SUM(F31:Q31)</f>
        <v>1950363.21762842</v>
      </c>
      <c r="BO31" s="181">
        <f>SUM(R31:AC31)</f>
        <v>8004320.49102169</v>
      </c>
      <c r="BP31" s="181">
        <f>SUM(AD31:AO31)</f>
        <v>16231490.3971259</v>
      </c>
      <c r="BQ31" s="181">
        <f>SUM(AP31:BA31)</f>
        <v>26316702.9705331</v>
      </c>
      <c r="BR31" s="181">
        <f>SUM(BB31:BM31)</f>
        <v>39109407.219837</v>
      </c>
    </row>
    <row r="32">
      <c r="F32" s="181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81" t="n"/>
      <c r="U32" s="181" t="n"/>
      <c r="V32" s="181" t="n"/>
      <c r="W32" s="181" t="n"/>
      <c r="X32" s="181" t="n"/>
      <c r="Y32" s="181" t="n"/>
      <c r="Z32" s="181" t="n"/>
      <c r="AA32" s="181" t="n"/>
      <c r="AB32" s="181" t="n"/>
      <c r="AC32" s="181" t="n"/>
      <c r="AD32" s="181" t="n"/>
      <c r="AE32" s="181" t="n"/>
      <c r="AF32" s="181" t="n"/>
      <c r="AG32" s="181" t="n"/>
      <c r="AH32" s="181" t="n"/>
      <c r="AI32" s="181" t="n"/>
      <c r="AJ32" s="181" t="n"/>
      <c r="AK32" s="181" t="n"/>
      <c r="AL32" s="181" t="n"/>
      <c r="AM32" s="181" t="n"/>
      <c r="AN32" s="181" t="n"/>
      <c r="AO32" s="181" t="n"/>
      <c r="AP32" s="181" t="n"/>
      <c r="AQ32" s="181" t="n"/>
      <c r="AR32" s="181" t="n"/>
      <c r="AS32" s="181" t="n"/>
      <c r="AT32" s="181" t="n"/>
      <c r="AU32" s="181" t="n"/>
      <c r="AV32" s="181" t="n"/>
      <c r="AW32" s="181" t="n"/>
      <c r="AX32" s="181" t="n"/>
      <c r="AY32" s="181" t="n"/>
      <c r="AZ32" s="181" t="n"/>
      <c r="BA32" s="181" t="n"/>
      <c r="BB32" s="181" t="n"/>
      <c r="BC32" s="181" t="n"/>
      <c r="BD32" s="181" t="n"/>
      <c r="BE32" s="181" t="n"/>
      <c r="BF32" s="181" t="n"/>
      <c r="BG32" s="181" t="n"/>
      <c r="BH32" s="181" t="n"/>
      <c r="BI32" s="181" t="n"/>
      <c r="BJ32" s="181" t="n"/>
      <c r="BK32" s="181" t="n"/>
      <c r="BL32" s="181" t="n"/>
      <c r="BM32" s="181" t="n"/>
      <c r="BN32" s="181" t="n"/>
      <c r="BO32" s="181" t="n"/>
      <c r="BP32" s="181" t="n"/>
      <c r="BQ32" s="181" t="n"/>
      <c r="BR32" s="181" t="n"/>
    </row>
    <row r="33">
      <c r="C33" s="76" t="inlineStr">
        <is>
          <t>■ マーケ・獲得費</t>
        </is>
      </c>
      <c r="F33" s="181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81" t="n"/>
      <c r="U33" s="181" t="n"/>
      <c r="V33" s="181" t="n"/>
      <c r="W33" s="181" t="n"/>
      <c r="X33" s="181" t="n"/>
      <c r="Y33" s="181" t="n"/>
      <c r="Z33" s="181" t="n"/>
      <c r="AA33" s="181" t="n"/>
      <c r="AB33" s="181" t="n"/>
      <c r="AC33" s="181" t="n"/>
      <c r="AD33" s="181" t="n"/>
      <c r="AE33" s="181" t="n"/>
      <c r="AF33" s="181" t="n"/>
      <c r="AG33" s="181" t="n"/>
      <c r="AH33" s="181" t="n"/>
      <c r="AI33" s="181" t="n"/>
      <c r="AJ33" s="181" t="n"/>
      <c r="AK33" s="181" t="n"/>
      <c r="AL33" s="181" t="n"/>
      <c r="AM33" s="181" t="n"/>
      <c r="AN33" s="181" t="n"/>
      <c r="AO33" s="181" t="n"/>
      <c r="AP33" s="181" t="n"/>
      <c r="AQ33" s="181" t="n"/>
      <c r="AR33" s="181" t="n"/>
      <c r="AS33" s="181" t="n"/>
      <c r="AT33" s="181" t="n"/>
      <c r="AU33" s="181" t="n"/>
      <c r="AV33" s="181" t="n"/>
      <c r="AW33" s="181" t="n"/>
      <c r="AX33" s="181" t="n"/>
      <c r="AY33" s="181" t="n"/>
      <c r="AZ33" s="181" t="n"/>
      <c r="BA33" s="181" t="n"/>
      <c r="BB33" s="181" t="n"/>
      <c r="BC33" s="181" t="n"/>
      <c r="BD33" s="181" t="n"/>
      <c r="BE33" s="181" t="n"/>
      <c r="BF33" s="181" t="n"/>
      <c r="BG33" s="181" t="n"/>
      <c r="BH33" s="181" t="n"/>
      <c r="BI33" s="181" t="n"/>
      <c r="BJ33" s="181" t="n"/>
      <c r="BK33" s="181" t="n"/>
      <c r="BL33" s="181" t="n"/>
      <c r="BM33" s="181" t="n"/>
      <c r="BN33" s="181" t="n"/>
      <c r="BO33" s="181" t="n"/>
      <c r="BP33" s="181" t="n"/>
      <c r="BQ33" s="181" t="n"/>
      <c r="BR33" s="181" t="n"/>
    </row>
    <row r="34">
      <c r="C34" s="76" t="inlineStr">
        <is>
          <t>ブレンドCAC（円/件）</t>
        </is>
      </c>
      <c r="D34" s="76" t="inlineStr">
        <is>
          <t>紹介3万/ウェビナー6万/パートナー5万/金融機関2万の加重。設計値＝POCで実測予定</t>
        </is>
      </c>
      <c r="F34" s="181" t="n">
        <v>55000</v>
      </c>
      <c r="G34" s="181" t="n">
        <v>55000</v>
      </c>
      <c r="H34" s="181" t="n">
        <v>55000</v>
      </c>
      <c r="I34" s="181" t="n">
        <v>55000</v>
      </c>
      <c r="J34" s="181" t="n">
        <v>55000</v>
      </c>
      <c r="K34" s="181" t="n">
        <v>55000</v>
      </c>
      <c r="L34" s="181" t="n">
        <v>55000</v>
      </c>
      <c r="M34" s="181" t="n">
        <v>55000</v>
      </c>
      <c r="N34" s="181" t="n">
        <v>55000</v>
      </c>
      <c r="O34" s="181" t="n">
        <v>55000</v>
      </c>
      <c r="P34" s="181" t="n">
        <v>55000</v>
      </c>
      <c r="Q34" s="181" t="n">
        <v>55000</v>
      </c>
      <c r="R34" s="181" t="n">
        <v>55000</v>
      </c>
      <c r="S34" s="181" t="n">
        <v>55000</v>
      </c>
      <c r="T34" s="181" t="n">
        <v>55000</v>
      </c>
      <c r="U34" s="181" t="n">
        <v>55000</v>
      </c>
      <c r="V34" s="181" t="n">
        <v>55000</v>
      </c>
      <c r="W34" s="181" t="n">
        <v>55000</v>
      </c>
      <c r="X34" s="181" t="n">
        <v>55000</v>
      </c>
      <c r="Y34" s="181" t="n">
        <v>55000</v>
      </c>
      <c r="Z34" s="181" t="n">
        <v>55000</v>
      </c>
      <c r="AA34" s="181" t="n">
        <v>55000</v>
      </c>
      <c r="AB34" s="181" t="n">
        <v>55000</v>
      </c>
      <c r="AC34" s="181" t="n">
        <v>55000</v>
      </c>
      <c r="AD34" s="181" t="n">
        <v>55000</v>
      </c>
      <c r="AE34" s="181" t="n">
        <v>55000</v>
      </c>
      <c r="AF34" s="181" t="n">
        <v>55000</v>
      </c>
      <c r="AG34" s="181" t="n">
        <v>55000</v>
      </c>
      <c r="AH34" s="181" t="n">
        <v>55000</v>
      </c>
      <c r="AI34" s="181" t="n">
        <v>55000</v>
      </c>
      <c r="AJ34" s="181" t="n">
        <v>55000</v>
      </c>
      <c r="AK34" s="181" t="n">
        <v>55000</v>
      </c>
      <c r="AL34" s="181" t="n">
        <v>55000</v>
      </c>
      <c r="AM34" s="181" t="n">
        <v>55000</v>
      </c>
      <c r="AN34" s="181" t="n">
        <v>55000</v>
      </c>
      <c r="AO34" s="181" t="n">
        <v>55000</v>
      </c>
      <c r="AP34" s="181" t="n">
        <v>55000</v>
      </c>
      <c r="AQ34" s="181" t="n">
        <v>55000</v>
      </c>
      <c r="AR34" s="181" t="n">
        <v>55000</v>
      </c>
      <c r="AS34" s="181" t="n">
        <v>55000</v>
      </c>
      <c r="AT34" s="181" t="n">
        <v>55000</v>
      </c>
      <c r="AU34" s="181" t="n">
        <v>55000</v>
      </c>
      <c r="AV34" s="181" t="n">
        <v>55000</v>
      </c>
      <c r="AW34" s="181" t="n">
        <v>55000</v>
      </c>
      <c r="AX34" s="181" t="n">
        <v>55000</v>
      </c>
      <c r="AY34" s="181" t="n">
        <v>55000</v>
      </c>
      <c r="AZ34" s="181" t="n">
        <v>55000</v>
      </c>
      <c r="BA34" s="181" t="n">
        <v>55000</v>
      </c>
      <c r="BB34" s="181" t="n">
        <v>55000</v>
      </c>
      <c r="BC34" s="181" t="n">
        <v>55000</v>
      </c>
      <c r="BD34" s="181" t="n">
        <v>55000</v>
      </c>
      <c r="BE34" s="181" t="n">
        <v>55000</v>
      </c>
      <c r="BF34" s="181" t="n">
        <v>55000</v>
      </c>
      <c r="BG34" s="181" t="n">
        <v>55000</v>
      </c>
      <c r="BH34" s="181" t="n">
        <v>55000</v>
      </c>
      <c r="BI34" s="181" t="n">
        <v>55000</v>
      </c>
      <c r="BJ34" s="181" t="n">
        <v>55000</v>
      </c>
      <c r="BK34" s="181" t="n">
        <v>55000</v>
      </c>
      <c r="BL34" s="181" t="n">
        <v>55000</v>
      </c>
      <c r="BM34" s="181" t="n">
        <v>55000</v>
      </c>
      <c r="BN34" s="181" t="n"/>
      <c r="BO34" s="181" t="n"/>
      <c r="BP34" s="181" t="n"/>
      <c r="BQ34" s="181" t="n"/>
      <c r="BR34" s="181" t="n"/>
    </row>
    <row r="35">
      <c r="C35" s="76" t="inlineStr">
        <is>
          <t>獲得費</t>
        </is>
      </c>
      <c r="D35" s="76" t="inlineStr">
        <is>
          <t>＝CAC×当月新規獲得</t>
        </is>
      </c>
      <c r="F35" s="181">
        <f>F34*SaaS!F18</f>
        <v>0.0</v>
      </c>
      <c r="G35" s="181">
        <f>G34*SaaS!G18</f>
        <v>55000.0</v>
      </c>
      <c r="H35" s="181">
        <f>H34*SaaS!H18</f>
        <v>275000.0</v>
      </c>
      <c r="I35" s="181">
        <f>I34*SaaS!I18</f>
        <v>275000.0</v>
      </c>
      <c r="J35" s="181">
        <f>J34*SaaS!J18</f>
        <v>275000.0</v>
      </c>
      <c r="K35" s="181">
        <f>K34*SaaS!K18</f>
        <v>330000.0</v>
      </c>
      <c r="L35" s="181">
        <f>L34*SaaS!L18</f>
        <v>330000.0</v>
      </c>
      <c r="M35" s="181">
        <f>M34*SaaS!M18</f>
        <v>330000.0</v>
      </c>
      <c r="N35" s="181">
        <f>N34*SaaS!N18</f>
        <v>385000.0</v>
      </c>
      <c r="O35" s="181">
        <f>O34*SaaS!O18</f>
        <v>385000.0</v>
      </c>
      <c r="P35" s="181">
        <f>P34*SaaS!P18</f>
        <v>385000.0</v>
      </c>
      <c r="Q35" s="181">
        <f>Q34*SaaS!Q18</f>
        <v>440000.0</v>
      </c>
      <c r="R35" s="181">
        <f>R34*SaaS!R18</f>
        <v>440000.0</v>
      </c>
      <c r="S35" s="181">
        <f>S34*SaaS!S18</f>
        <v>440000.0</v>
      </c>
      <c r="T35" s="181">
        <f>T34*SaaS!T18</f>
        <v>495000.0</v>
      </c>
      <c r="U35" s="181">
        <f>U34*SaaS!U18</f>
        <v>495000.0</v>
      </c>
      <c r="V35" s="181">
        <f>V34*SaaS!V18</f>
        <v>495000.0</v>
      </c>
      <c r="W35" s="181">
        <f>W34*SaaS!W18</f>
        <v>550000.0</v>
      </c>
      <c r="X35" s="181">
        <f>X34*SaaS!X18</f>
        <v>550000.0</v>
      </c>
      <c r="Y35" s="181">
        <f>Y34*SaaS!Y18</f>
        <v>550000.0</v>
      </c>
      <c r="Z35" s="181">
        <f>Z34*SaaS!Z18</f>
        <v>605000.0</v>
      </c>
      <c r="AA35" s="181">
        <f>AA34*SaaS!AA18</f>
        <v>605000.0</v>
      </c>
      <c r="AB35" s="181">
        <f>AB34*SaaS!AB18</f>
        <v>605000.0</v>
      </c>
      <c r="AC35" s="181">
        <f>AC34*SaaS!AC18</f>
        <v>660000.0</v>
      </c>
      <c r="AD35" s="181">
        <f>AD34*SaaS!AD18</f>
        <v>660000.0</v>
      </c>
      <c r="AE35" s="181">
        <f>AE34*SaaS!AE18</f>
        <v>660000.0</v>
      </c>
      <c r="AF35" s="181">
        <f>AF34*SaaS!AF18</f>
        <v>715000.0</v>
      </c>
      <c r="AG35" s="181">
        <f>AG34*SaaS!AG18</f>
        <v>715000.0</v>
      </c>
      <c r="AH35" s="181">
        <f>AH34*SaaS!AH18</f>
        <v>715000.0</v>
      </c>
      <c r="AI35" s="181">
        <f>AI34*SaaS!AI18</f>
        <v>770000.0</v>
      </c>
      <c r="AJ35" s="181">
        <f>AJ34*SaaS!AJ18</f>
        <v>770000.0</v>
      </c>
      <c r="AK35" s="181">
        <f>AK34*SaaS!AK18</f>
        <v>770000.0</v>
      </c>
      <c r="AL35" s="181">
        <f>AL34*SaaS!AL18</f>
        <v>825000.0</v>
      </c>
      <c r="AM35" s="181">
        <f>AM34*SaaS!AM18</f>
        <v>825000.0</v>
      </c>
      <c r="AN35" s="181">
        <f>AN34*SaaS!AN18</f>
        <v>825000.0</v>
      </c>
      <c r="AO35" s="181">
        <f>AO34*SaaS!AO18</f>
        <v>880000.0</v>
      </c>
      <c r="AP35" s="181">
        <f>AP34*SaaS!AP18</f>
        <v>880000.0</v>
      </c>
      <c r="AQ35" s="181">
        <f>AQ34*SaaS!AQ18</f>
        <v>880000.0</v>
      </c>
      <c r="AR35" s="181">
        <f>AR34*SaaS!AR18</f>
        <v>935000.0</v>
      </c>
      <c r="AS35" s="181">
        <f>AS34*SaaS!AS18</f>
        <v>935000.0</v>
      </c>
      <c r="AT35" s="181">
        <f>AT34*SaaS!AT18</f>
        <v>935000.0</v>
      </c>
      <c r="AU35" s="181">
        <f>AU34*SaaS!AU18</f>
        <v>990000.0</v>
      </c>
      <c r="AV35" s="181">
        <f>AV34*SaaS!AV18</f>
        <v>990000.0</v>
      </c>
      <c r="AW35" s="181">
        <f>AW34*SaaS!AW18</f>
        <v>990000.0</v>
      </c>
      <c r="AX35" s="181">
        <f>AX34*SaaS!AX18</f>
        <v>1045000.0</v>
      </c>
      <c r="AY35" s="181">
        <f>AY34*SaaS!AY18</f>
        <v>1045000.0</v>
      </c>
      <c r="AZ35" s="181">
        <f>AZ34*SaaS!AZ18</f>
        <v>1045000.0</v>
      </c>
      <c r="BA35" s="181">
        <f>BA34*SaaS!BA18</f>
        <v>1100000.0</v>
      </c>
      <c r="BB35" s="181">
        <f>BB34*SaaS!BB18</f>
        <v>1100000.0</v>
      </c>
      <c r="BC35" s="181">
        <f>BC34*SaaS!BC18</f>
        <v>1100000.0</v>
      </c>
      <c r="BD35" s="181">
        <f>BD34*SaaS!BD18</f>
        <v>1155000.0</v>
      </c>
      <c r="BE35" s="181">
        <f>BE34*SaaS!BE18</f>
        <v>1155000.0</v>
      </c>
      <c r="BF35" s="181">
        <f>BF34*SaaS!BF18</f>
        <v>1155000.0</v>
      </c>
      <c r="BG35" s="181">
        <f>BG34*SaaS!BG18</f>
        <v>1210000.0</v>
      </c>
      <c r="BH35" s="181">
        <f>BH34*SaaS!BH18</f>
        <v>1210000.0</v>
      </c>
      <c r="BI35" s="181">
        <f>BI34*SaaS!BI18</f>
        <v>1210000.0</v>
      </c>
      <c r="BJ35" s="181">
        <f>BJ34*SaaS!BJ18</f>
        <v>1265000.0</v>
      </c>
      <c r="BK35" s="181">
        <f>BK34*SaaS!BK18</f>
        <v>1265000.0</v>
      </c>
      <c r="BL35" s="181">
        <f>BL34*SaaS!BL18</f>
        <v>1265000.0</v>
      </c>
      <c r="BM35" s="181">
        <f>BM34*SaaS!BM18</f>
        <v>1320000.0</v>
      </c>
      <c r="BN35" s="181">
        <f>SUM(F35:Q35)</f>
        <v>3465000.0</v>
      </c>
      <c r="BO35" s="181">
        <f>SUM(R35:AC35)</f>
        <v>6490000.0</v>
      </c>
      <c r="BP35" s="181">
        <f>SUM(AD35:AO35)</f>
        <v>9130000.0</v>
      </c>
      <c r="BQ35" s="181">
        <f>SUM(AP35:BA35)</f>
        <v>11770000.0</v>
      </c>
      <c r="BR35" s="181">
        <f>SUM(BB35:BM35)</f>
        <v>14410000.0</v>
      </c>
    </row>
    <row r="36">
      <c r="C36" s="76" t="inlineStr">
        <is>
          <t>MA・CRM・ウェビナーツール</t>
        </is>
      </c>
      <c r="D36" s="76" t="inlineStr">
        <is>
          <t>SATORI/HubSpot級+Zoom。推定</t>
        </is>
      </c>
      <c r="F36" s="181" t="n">
        <v>50000</v>
      </c>
      <c r="G36" s="181" t="n">
        <v>50000</v>
      </c>
      <c r="H36" s="181" t="n">
        <v>50000</v>
      </c>
      <c r="I36" s="181" t="n">
        <v>50000</v>
      </c>
      <c r="J36" s="181" t="n">
        <v>50000</v>
      </c>
      <c r="K36" s="181" t="n">
        <v>50000</v>
      </c>
      <c r="L36" s="181" t="n">
        <v>50000</v>
      </c>
      <c r="M36" s="181" t="n">
        <v>50000</v>
      </c>
      <c r="N36" s="181" t="n">
        <v>50000</v>
      </c>
      <c r="O36" s="181" t="n">
        <v>50000</v>
      </c>
      <c r="P36" s="181" t="n">
        <v>50000</v>
      </c>
      <c r="Q36" s="181" t="n">
        <v>50000</v>
      </c>
      <c r="R36" s="181" t="n">
        <v>100000</v>
      </c>
      <c r="S36" s="181" t="n">
        <v>100000</v>
      </c>
      <c r="T36" s="181" t="n">
        <v>100000</v>
      </c>
      <c r="U36" s="181" t="n">
        <v>100000</v>
      </c>
      <c r="V36" s="181" t="n">
        <v>100000</v>
      </c>
      <c r="W36" s="181" t="n">
        <v>100000</v>
      </c>
      <c r="X36" s="181" t="n">
        <v>100000</v>
      </c>
      <c r="Y36" s="181" t="n">
        <v>100000</v>
      </c>
      <c r="Z36" s="181" t="n">
        <v>100000</v>
      </c>
      <c r="AA36" s="181" t="n">
        <v>100000</v>
      </c>
      <c r="AB36" s="181" t="n">
        <v>100000</v>
      </c>
      <c r="AC36" s="181" t="n">
        <v>100000</v>
      </c>
      <c r="AD36" s="181" t="n">
        <v>150000</v>
      </c>
      <c r="AE36" s="181" t="n">
        <v>150000</v>
      </c>
      <c r="AF36" s="181" t="n">
        <v>150000</v>
      </c>
      <c r="AG36" s="181" t="n">
        <v>150000</v>
      </c>
      <c r="AH36" s="181" t="n">
        <v>150000</v>
      </c>
      <c r="AI36" s="181" t="n">
        <v>150000</v>
      </c>
      <c r="AJ36" s="181" t="n">
        <v>150000</v>
      </c>
      <c r="AK36" s="181" t="n">
        <v>150000</v>
      </c>
      <c r="AL36" s="181" t="n">
        <v>150000</v>
      </c>
      <c r="AM36" s="181" t="n">
        <v>150000</v>
      </c>
      <c r="AN36" s="181" t="n">
        <v>150000</v>
      </c>
      <c r="AO36" s="181" t="n">
        <v>150000</v>
      </c>
      <c r="AP36" s="181" t="n">
        <v>200000</v>
      </c>
      <c r="AQ36" s="181" t="n">
        <v>200000</v>
      </c>
      <c r="AR36" s="181" t="n">
        <v>200000</v>
      </c>
      <c r="AS36" s="181" t="n">
        <v>200000</v>
      </c>
      <c r="AT36" s="181" t="n">
        <v>200000</v>
      </c>
      <c r="AU36" s="181" t="n">
        <v>200000</v>
      </c>
      <c r="AV36" s="181" t="n">
        <v>200000</v>
      </c>
      <c r="AW36" s="181" t="n">
        <v>200000</v>
      </c>
      <c r="AX36" s="181" t="n">
        <v>200000</v>
      </c>
      <c r="AY36" s="181" t="n">
        <v>200000</v>
      </c>
      <c r="AZ36" s="181" t="n">
        <v>200000</v>
      </c>
      <c r="BA36" s="181" t="n">
        <v>200000</v>
      </c>
      <c r="BB36" s="181" t="n">
        <v>200000</v>
      </c>
      <c r="BC36" s="181" t="n">
        <v>200000</v>
      </c>
      <c r="BD36" s="181" t="n">
        <v>200000</v>
      </c>
      <c r="BE36" s="181" t="n">
        <v>200000</v>
      </c>
      <c r="BF36" s="181" t="n">
        <v>200000</v>
      </c>
      <c r="BG36" s="181" t="n">
        <v>200000</v>
      </c>
      <c r="BH36" s="181" t="n">
        <v>200000</v>
      </c>
      <c r="BI36" s="181" t="n">
        <v>200000</v>
      </c>
      <c r="BJ36" s="181" t="n">
        <v>200000</v>
      </c>
      <c r="BK36" s="181" t="n">
        <v>200000</v>
      </c>
      <c r="BL36" s="181" t="n">
        <v>200000</v>
      </c>
      <c r="BM36" s="181" t="n">
        <v>200000</v>
      </c>
      <c r="BN36" s="181">
        <f>SUM(F36:Q36)</f>
        <v>600000.0</v>
      </c>
      <c r="BO36" s="181">
        <f>SUM(R36:AC36)</f>
        <v>1200000.0</v>
      </c>
      <c r="BP36" s="181">
        <f>SUM(AD36:AO36)</f>
        <v>1800000.0</v>
      </c>
      <c r="BQ36" s="181">
        <f>SUM(AP36:BA36)</f>
        <v>2400000.0</v>
      </c>
      <c r="BR36" s="181">
        <f>SUM(BB36:BM36)</f>
        <v>2400000.0</v>
      </c>
    </row>
    <row r="37">
      <c r="C37" s="76" t="inlineStr">
        <is>
          <t>イベント・コンテンツ制作</t>
        </is>
      </c>
      <c r="D37" s="76" t="inlineStr">
        <is>
          <t>ウェビナー運営・事例記事・taXeler対談。推定</t>
        </is>
      </c>
      <c r="F37" s="181" t="n">
        <v>100000</v>
      </c>
      <c r="G37" s="181" t="n">
        <v>100000</v>
      </c>
      <c r="H37" s="181" t="n">
        <v>100000</v>
      </c>
      <c r="I37" s="181" t="n">
        <v>100000</v>
      </c>
      <c r="J37" s="181" t="n">
        <v>100000</v>
      </c>
      <c r="K37" s="181" t="n">
        <v>100000</v>
      </c>
      <c r="L37" s="181" t="n">
        <v>100000</v>
      </c>
      <c r="M37" s="181" t="n">
        <v>100000</v>
      </c>
      <c r="N37" s="181" t="n">
        <v>100000</v>
      </c>
      <c r="O37" s="181" t="n">
        <v>100000</v>
      </c>
      <c r="P37" s="181" t="n">
        <v>100000</v>
      </c>
      <c r="Q37" s="181" t="n">
        <v>100000</v>
      </c>
      <c r="R37" s="181" t="n">
        <v>200000</v>
      </c>
      <c r="S37" s="181" t="n">
        <v>200000</v>
      </c>
      <c r="T37" s="181" t="n">
        <v>200000</v>
      </c>
      <c r="U37" s="181" t="n">
        <v>200000</v>
      </c>
      <c r="V37" s="181" t="n">
        <v>200000</v>
      </c>
      <c r="W37" s="181" t="n">
        <v>200000</v>
      </c>
      <c r="X37" s="181" t="n">
        <v>200000</v>
      </c>
      <c r="Y37" s="181" t="n">
        <v>200000</v>
      </c>
      <c r="Z37" s="181" t="n">
        <v>200000</v>
      </c>
      <c r="AA37" s="181" t="n">
        <v>200000</v>
      </c>
      <c r="AB37" s="181" t="n">
        <v>200000</v>
      </c>
      <c r="AC37" s="181" t="n">
        <v>200000</v>
      </c>
      <c r="AD37" s="181" t="n">
        <v>300000</v>
      </c>
      <c r="AE37" s="181" t="n">
        <v>300000</v>
      </c>
      <c r="AF37" s="181" t="n">
        <v>300000</v>
      </c>
      <c r="AG37" s="181" t="n">
        <v>300000</v>
      </c>
      <c r="AH37" s="181" t="n">
        <v>300000</v>
      </c>
      <c r="AI37" s="181" t="n">
        <v>300000</v>
      </c>
      <c r="AJ37" s="181" t="n">
        <v>300000</v>
      </c>
      <c r="AK37" s="181" t="n">
        <v>300000</v>
      </c>
      <c r="AL37" s="181" t="n">
        <v>300000</v>
      </c>
      <c r="AM37" s="181" t="n">
        <v>300000</v>
      </c>
      <c r="AN37" s="181" t="n">
        <v>300000</v>
      </c>
      <c r="AO37" s="181" t="n">
        <v>300000</v>
      </c>
      <c r="AP37" s="181" t="n">
        <v>400000</v>
      </c>
      <c r="AQ37" s="181" t="n">
        <v>400000</v>
      </c>
      <c r="AR37" s="181" t="n">
        <v>400000</v>
      </c>
      <c r="AS37" s="181" t="n">
        <v>400000</v>
      </c>
      <c r="AT37" s="181" t="n">
        <v>400000</v>
      </c>
      <c r="AU37" s="181" t="n">
        <v>400000</v>
      </c>
      <c r="AV37" s="181" t="n">
        <v>400000</v>
      </c>
      <c r="AW37" s="181" t="n">
        <v>400000</v>
      </c>
      <c r="AX37" s="181" t="n">
        <v>400000</v>
      </c>
      <c r="AY37" s="181" t="n">
        <v>400000</v>
      </c>
      <c r="AZ37" s="181" t="n">
        <v>400000</v>
      </c>
      <c r="BA37" s="181" t="n">
        <v>400000</v>
      </c>
      <c r="BB37" s="181" t="n">
        <v>500000</v>
      </c>
      <c r="BC37" s="181" t="n">
        <v>500000</v>
      </c>
      <c r="BD37" s="181" t="n">
        <v>500000</v>
      </c>
      <c r="BE37" s="181" t="n">
        <v>500000</v>
      </c>
      <c r="BF37" s="181" t="n">
        <v>500000</v>
      </c>
      <c r="BG37" s="181" t="n">
        <v>500000</v>
      </c>
      <c r="BH37" s="181" t="n">
        <v>500000</v>
      </c>
      <c r="BI37" s="181" t="n">
        <v>500000</v>
      </c>
      <c r="BJ37" s="181" t="n">
        <v>500000</v>
      </c>
      <c r="BK37" s="181" t="n">
        <v>500000</v>
      </c>
      <c r="BL37" s="181" t="n">
        <v>500000</v>
      </c>
      <c r="BM37" s="181" t="n">
        <v>500000</v>
      </c>
      <c r="BN37" s="181">
        <f>SUM(F37:Q37)</f>
        <v>1200000.0</v>
      </c>
      <c r="BO37" s="181">
        <f>SUM(R37:AC37)</f>
        <v>2400000.0</v>
      </c>
      <c r="BP37" s="181">
        <f>SUM(AD37:AO37)</f>
        <v>3600000.0</v>
      </c>
      <c r="BQ37" s="181">
        <f>SUM(AP37:BA37)</f>
        <v>4800000.0</v>
      </c>
      <c r="BR37" s="181">
        <f>SUM(BB37:BM37)</f>
        <v>6000000.0</v>
      </c>
    </row>
    <row r="38">
      <c r="C38" s="76" t="inlineStr">
        <is>
          <t>マーケ合計</t>
        </is>
      </c>
      <c r="F38" s="181">
        <f>SUM(F35:F37)</f>
        <v>150000.0</v>
      </c>
      <c r="G38" s="181">
        <f>SUM(G35:G37)</f>
        <v>205000.0</v>
      </c>
      <c r="H38" s="181">
        <f>SUM(H35:H37)</f>
        <v>425000.0</v>
      </c>
      <c r="I38" s="181">
        <f>SUM(I35:I37)</f>
        <v>425000.0</v>
      </c>
      <c r="J38" s="181">
        <f>SUM(J35:J37)</f>
        <v>425000.0</v>
      </c>
      <c r="K38" s="181">
        <f>SUM(K35:K37)</f>
        <v>480000.0</v>
      </c>
      <c r="L38" s="181">
        <f>SUM(L35:L37)</f>
        <v>480000.0</v>
      </c>
      <c r="M38" s="181">
        <f>SUM(M35:M37)</f>
        <v>480000.0</v>
      </c>
      <c r="N38" s="181">
        <f>SUM(N35:N37)</f>
        <v>535000.0</v>
      </c>
      <c r="O38" s="181">
        <f>SUM(O35:O37)</f>
        <v>535000.0</v>
      </c>
      <c r="P38" s="181">
        <f>SUM(P35:P37)</f>
        <v>535000.0</v>
      </c>
      <c r="Q38" s="181">
        <f>SUM(Q35:Q37)</f>
        <v>590000.0</v>
      </c>
      <c r="R38" s="181">
        <f>SUM(R35:R37)</f>
        <v>740000.0</v>
      </c>
      <c r="S38" s="181">
        <f>SUM(S35:S37)</f>
        <v>740000.0</v>
      </c>
      <c r="T38" s="181">
        <f>SUM(T35:T37)</f>
        <v>795000.0</v>
      </c>
      <c r="U38" s="181">
        <f>SUM(U35:U37)</f>
        <v>795000.0</v>
      </c>
      <c r="V38" s="181">
        <f>SUM(V35:V37)</f>
        <v>795000.0</v>
      </c>
      <c r="W38" s="181">
        <f>SUM(W35:W37)</f>
        <v>850000.0</v>
      </c>
      <c r="X38" s="181">
        <f>SUM(X35:X37)</f>
        <v>850000.0</v>
      </c>
      <c r="Y38" s="181">
        <f>SUM(Y35:Y37)</f>
        <v>850000.0</v>
      </c>
      <c r="Z38" s="181">
        <f>SUM(Z35:Z37)</f>
        <v>905000.0</v>
      </c>
      <c r="AA38" s="181">
        <f>SUM(AA35:AA37)</f>
        <v>905000.0</v>
      </c>
      <c r="AB38" s="181">
        <f>SUM(AB35:AB37)</f>
        <v>905000.0</v>
      </c>
      <c r="AC38" s="181">
        <f>SUM(AC35:AC37)</f>
        <v>960000.0</v>
      </c>
      <c r="AD38" s="181">
        <f>SUM(AD35:AD37)</f>
        <v>1110000.0</v>
      </c>
      <c r="AE38" s="181">
        <f>SUM(AE35:AE37)</f>
        <v>1110000.0</v>
      </c>
      <c r="AF38" s="181">
        <f>SUM(AF35:AF37)</f>
        <v>1165000.0</v>
      </c>
      <c r="AG38" s="181">
        <f>SUM(AG35:AG37)</f>
        <v>1165000.0</v>
      </c>
      <c r="AH38" s="181">
        <f>SUM(AH35:AH37)</f>
        <v>1165000.0</v>
      </c>
      <c r="AI38" s="181">
        <f>SUM(AI35:AI37)</f>
        <v>1220000.0</v>
      </c>
      <c r="AJ38" s="181">
        <f>SUM(AJ35:AJ37)</f>
        <v>1220000.0</v>
      </c>
      <c r="AK38" s="181">
        <f>SUM(AK35:AK37)</f>
        <v>1220000.0</v>
      </c>
      <c r="AL38" s="181">
        <f>SUM(AL35:AL37)</f>
        <v>1275000.0</v>
      </c>
      <c r="AM38" s="181">
        <f>SUM(AM35:AM37)</f>
        <v>1275000.0</v>
      </c>
      <c r="AN38" s="181">
        <f>SUM(AN35:AN37)</f>
        <v>1275000.0</v>
      </c>
      <c r="AO38" s="181">
        <f>SUM(AO35:AO37)</f>
        <v>1330000.0</v>
      </c>
      <c r="AP38" s="181">
        <f>SUM(AP35:AP37)</f>
        <v>1480000.0</v>
      </c>
      <c r="AQ38" s="181">
        <f>SUM(AQ35:AQ37)</f>
        <v>1480000.0</v>
      </c>
      <c r="AR38" s="181">
        <f>SUM(AR35:AR37)</f>
        <v>1535000.0</v>
      </c>
      <c r="AS38" s="181">
        <f>SUM(AS35:AS37)</f>
        <v>1535000.0</v>
      </c>
      <c r="AT38" s="181">
        <f>SUM(AT35:AT37)</f>
        <v>1535000.0</v>
      </c>
      <c r="AU38" s="181">
        <f>SUM(AU35:AU37)</f>
        <v>1590000.0</v>
      </c>
      <c r="AV38" s="181">
        <f>SUM(AV35:AV37)</f>
        <v>1590000.0</v>
      </c>
      <c r="AW38" s="181">
        <f>SUM(AW35:AW37)</f>
        <v>1590000.0</v>
      </c>
      <c r="AX38" s="181">
        <f>SUM(AX35:AX37)</f>
        <v>1645000.0</v>
      </c>
      <c r="AY38" s="181">
        <f>SUM(AY35:AY37)</f>
        <v>1645000.0</v>
      </c>
      <c r="AZ38" s="181">
        <f>SUM(AZ35:AZ37)</f>
        <v>1645000.0</v>
      </c>
      <c r="BA38" s="181">
        <f>SUM(BA35:BA37)</f>
        <v>1700000.0</v>
      </c>
      <c r="BB38" s="181">
        <f>SUM(BB35:BB37)</f>
        <v>1800000.0</v>
      </c>
      <c r="BC38" s="181">
        <f>SUM(BC35:BC37)</f>
        <v>1800000.0</v>
      </c>
      <c r="BD38" s="181">
        <f>SUM(BD35:BD37)</f>
        <v>1855000.0</v>
      </c>
      <c r="BE38" s="181">
        <f>SUM(BE35:BE37)</f>
        <v>1855000.0</v>
      </c>
      <c r="BF38" s="181">
        <f>SUM(BF35:BF37)</f>
        <v>1855000.0</v>
      </c>
      <c r="BG38" s="181">
        <f>SUM(BG35:BG37)</f>
        <v>1910000.0</v>
      </c>
      <c r="BH38" s="181">
        <f>SUM(BH35:BH37)</f>
        <v>1910000.0</v>
      </c>
      <c r="BI38" s="181">
        <f>SUM(BI35:BI37)</f>
        <v>1910000.0</v>
      </c>
      <c r="BJ38" s="181">
        <f>SUM(BJ35:BJ37)</f>
        <v>1965000.0</v>
      </c>
      <c r="BK38" s="181">
        <f>SUM(BK35:BK37)</f>
        <v>1965000.0</v>
      </c>
      <c r="BL38" s="181">
        <f>SUM(BL35:BL37)</f>
        <v>1965000.0</v>
      </c>
      <c r="BM38" s="181">
        <f>SUM(BM35:BM37)</f>
        <v>2020000.0</v>
      </c>
      <c r="BN38" s="181">
        <f>SUM(F38:Q38)</f>
        <v>5265000.0</v>
      </c>
      <c r="BO38" s="181">
        <f>SUM(R38:AC38)</f>
        <v>10090000.0</v>
      </c>
      <c r="BP38" s="181">
        <f>SUM(AD38:AO38)</f>
        <v>14530000.0</v>
      </c>
      <c r="BQ38" s="181">
        <f>SUM(AP38:BA38)</f>
        <v>18970000.0</v>
      </c>
      <c r="BR38" s="181">
        <f>SUM(BB38:BM38)</f>
        <v>22810000.0</v>
      </c>
    </row>
    <row r="39">
      <c r="F39" s="181" t="n"/>
      <c r="G39" s="181" t="n"/>
      <c r="H39" s="181" t="n"/>
      <c r="I39" s="181" t="n"/>
      <c r="J39" s="181" t="n"/>
      <c r="K39" s="181" t="n"/>
      <c r="L39" s="181" t="n"/>
      <c r="M39" s="181" t="n"/>
      <c r="N39" s="181" t="n"/>
      <c r="O39" s="181" t="n"/>
      <c r="P39" s="181" t="n"/>
      <c r="Q39" s="181" t="n"/>
      <c r="R39" s="181" t="n"/>
      <c r="S39" s="181" t="n"/>
      <c r="T39" s="181" t="n"/>
      <c r="U39" s="181" t="n"/>
      <c r="V39" s="181" t="n"/>
      <c r="W39" s="181" t="n"/>
      <c r="X39" s="181" t="n"/>
      <c r="Y39" s="181" t="n"/>
      <c r="Z39" s="181" t="n"/>
      <c r="AA39" s="181" t="n"/>
      <c r="AB39" s="181" t="n"/>
      <c r="AC39" s="181" t="n"/>
      <c r="AD39" s="181" t="n"/>
      <c r="AE39" s="181" t="n"/>
      <c r="AF39" s="181" t="n"/>
      <c r="AG39" s="181" t="n"/>
      <c r="AH39" s="181" t="n"/>
      <c r="AI39" s="181" t="n"/>
      <c r="AJ39" s="181" t="n"/>
      <c r="AK39" s="181" t="n"/>
      <c r="AL39" s="181" t="n"/>
      <c r="AM39" s="181" t="n"/>
      <c r="AN39" s="181" t="n"/>
      <c r="AO39" s="181" t="n"/>
      <c r="AP39" s="181" t="n"/>
      <c r="AQ39" s="181" t="n"/>
      <c r="AR39" s="181" t="n"/>
      <c r="AS39" s="181" t="n"/>
      <c r="AT39" s="181" t="n"/>
      <c r="AU39" s="181" t="n"/>
      <c r="AV39" s="181" t="n"/>
      <c r="AW39" s="181" t="n"/>
      <c r="AX39" s="181" t="n"/>
      <c r="AY39" s="181" t="n"/>
      <c r="AZ39" s="181" t="n"/>
      <c r="BA39" s="181" t="n"/>
      <c r="BB39" s="181" t="n"/>
      <c r="BC39" s="181" t="n"/>
      <c r="BD39" s="181" t="n"/>
      <c r="BE39" s="181" t="n"/>
      <c r="BF39" s="181" t="n"/>
      <c r="BG39" s="181" t="n"/>
      <c r="BH39" s="181" t="n"/>
      <c r="BI39" s="181" t="n"/>
      <c r="BJ39" s="181" t="n"/>
      <c r="BK39" s="181" t="n"/>
      <c r="BL39" s="181" t="n"/>
      <c r="BM39" s="181" t="n"/>
      <c r="BN39" s="181" t="n"/>
      <c r="BO39" s="181" t="n"/>
      <c r="BP39" s="181" t="n"/>
      <c r="BQ39" s="181" t="n"/>
      <c r="BR39" s="181" t="n"/>
    </row>
    <row r="40">
      <c r="C40" s="76" t="inlineStr">
        <is>
          <t>■ その他販管費</t>
        </is>
      </c>
      <c r="F40" s="181" t="n"/>
      <c r="G40" s="181" t="n"/>
      <c r="H40" s="181" t="n"/>
      <c r="I40" s="181" t="n"/>
      <c r="J40" s="181" t="n"/>
      <c r="K40" s="181" t="n"/>
      <c r="L40" s="181" t="n"/>
      <c r="M40" s="181" t="n"/>
      <c r="N40" s="181" t="n"/>
      <c r="O40" s="181" t="n"/>
      <c r="P40" s="181" t="n"/>
      <c r="Q40" s="181" t="n"/>
      <c r="R40" s="181" t="n"/>
      <c r="S40" s="181" t="n"/>
      <c r="T40" s="181" t="n"/>
      <c r="U40" s="181" t="n"/>
      <c r="V40" s="181" t="n"/>
      <c r="W40" s="181" t="n"/>
      <c r="X40" s="181" t="n"/>
      <c r="Y40" s="181" t="n"/>
      <c r="Z40" s="181" t="n"/>
      <c r="AA40" s="181" t="n"/>
      <c r="AB40" s="181" t="n"/>
      <c r="AC40" s="181" t="n"/>
      <c r="AD40" s="181" t="n"/>
      <c r="AE40" s="181" t="n"/>
      <c r="AF40" s="181" t="n"/>
      <c r="AG40" s="181" t="n"/>
      <c r="AH40" s="181" t="n"/>
      <c r="AI40" s="181" t="n"/>
      <c r="AJ40" s="181" t="n"/>
      <c r="AK40" s="181" t="n"/>
      <c r="AL40" s="181" t="n"/>
      <c r="AM40" s="181" t="n"/>
      <c r="AN40" s="181" t="n"/>
      <c r="AO40" s="181" t="n"/>
      <c r="AP40" s="181" t="n"/>
      <c r="AQ40" s="181" t="n"/>
      <c r="AR40" s="181" t="n"/>
      <c r="AS40" s="181" t="n"/>
      <c r="AT40" s="181" t="n"/>
      <c r="AU40" s="181" t="n"/>
      <c r="AV40" s="181" t="n"/>
      <c r="AW40" s="181" t="n"/>
      <c r="AX40" s="181" t="n"/>
      <c r="AY40" s="181" t="n"/>
      <c r="AZ40" s="181" t="n"/>
      <c r="BA40" s="181" t="n"/>
      <c r="BB40" s="181" t="n"/>
      <c r="BC40" s="181" t="n"/>
      <c r="BD40" s="181" t="n"/>
      <c r="BE40" s="181" t="n"/>
      <c r="BF40" s="181" t="n"/>
      <c r="BG40" s="181" t="n"/>
      <c r="BH40" s="181" t="n"/>
      <c r="BI40" s="181" t="n"/>
      <c r="BJ40" s="181" t="n"/>
      <c r="BK40" s="181" t="n"/>
      <c r="BL40" s="181" t="n"/>
      <c r="BM40" s="181" t="n"/>
      <c r="BN40" s="181" t="n"/>
      <c r="BO40" s="181" t="n"/>
      <c r="BP40" s="181" t="n"/>
      <c r="BQ40" s="181" t="n"/>
      <c r="BR40" s="181" t="n"/>
    </row>
    <row r="41">
      <c r="C41" s="76" t="inlineStr">
        <is>
          <t>オフィス・コワーキング</t>
        </is>
      </c>
      <c r="D41" s="76" t="inlineStr">
        <is>
          <t>推定</t>
        </is>
      </c>
      <c r="F41" s="181" t="n">
        <v>50000</v>
      </c>
      <c r="G41" s="181" t="n">
        <v>50000</v>
      </c>
      <c r="H41" s="181" t="n">
        <v>50000</v>
      </c>
      <c r="I41" s="181" t="n">
        <v>50000</v>
      </c>
      <c r="J41" s="181" t="n">
        <v>50000</v>
      </c>
      <c r="K41" s="181" t="n">
        <v>50000</v>
      </c>
      <c r="L41" s="181" t="n">
        <v>50000</v>
      </c>
      <c r="M41" s="181" t="n">
        <v>50000</v>
      </c>
      <c r="N41" s="181" t="n">
        <v>50000</v>
      </c>
      <c r="O41" s="181" t="n">
        <v>50000</v>
      </c>
      <c r="P41" s="181" t="n">
        <v>50000</v>
      </c>
      <c r="Q41" s="181" t="n">
        <v>50000</v>
      </c>
      <c r="R41" s="181" t="n">
        <v>100000</v>
      </c>
      <c r="S41" s="181" t="n">
        <v>100000</v>
      </c>
      <c r="T41" s="181" t="n">
        <v>100000</v>
      </c>
      <c r="U41" s="181" t="n">
        <v>100000</v>
      </c>
      <c r="V41" s="181" t="n">
        <v>100000</v>
      </c>
      <c r="W41" s="181" t="n">
        <v>100000</v>
      </c>
      <c r="X41" s="181" t="n">
        <v>100000</v>
      </c>
      <c r="Y41" s="181" t="n">
        <v>100000</v>
      </c>
      <c r="Z41" s="181" t="n">
        <v>100000</v>
      </c>
      <c r="AA41" s="181" t="n">
        <v>100000</v>
      </c>
      <c r="AB41" s="181" t="n">
        <v>100000</v>
      </c>
      <c r="AC41" s="181" t="n">
        <v>100000</v>
      </c>
      <c r="AD41" s="181" t="n">
        <v>200000</v>
      </c>
      <c r="AE41" s="181" t="n">
        <v>200000</v>
      </c>
      <c r="AF41" s="181" t="n">
        <v>200000</v>
      </c>
      <c r="AG41" s="181" t="n">
        <v>200000</v>
      </c>
      <c r="AH41" s="181" t="n">
        <v>200000</v>
      </c>
      <c r="AI41" s="181" t="n">
        <v>200000</v>
      </c>
      <c r="AJ41" s="181" t="n">
        <v>200000</v>
      </c>
      <c r="AK41" s="181" t="n">
        <v>200000</v>
      </c>
      <c r="AL41" s="181" t="n">
        <v>200000</v>
      </c>
      <c r="AM41" s="181" t="n">
        <v>200000</v>
      </c>
      <c r="AN41" s="181" t="n">
        <v>200000</v>
      </c>
      <c r="AO41" s="181" t="n">
        <v>200000</v>
      </c>
      <c r="AP41" s="181" t="n">
        <v>300000</v>
      </c>
      <c r="AQ41" s="181" t="n">
        <v>300000</v>
      </c>
      <c r="AR41" s="181" t="n">
        <v>300000</v>
      </c>
      <c r="AS41" s="181" t="n">
        <v>300000</v>
      </c>
      <c r="AT41" s="181" t="n">
        <v>300000</v>
      </c>
      <c r="AU41" s="181" t="n">
        <v>300000</v>
      </c>
      <c r="AV41" s="181" t="n">
        <v>300000</v>
      </c>
      <c r="AW41" s="181" t="n">
        <v>300000</v>
      </c>
      <c r="AX41" s="181" t="n">
        <v>300000</v>
      </c>
      <c r="AY41" s="181" t="n">
        <v>300000</v>
      </c>
      <c r="AZ41" s="181" t="n">
        <v>300000</v>
      </c>
      <c r="BA41" s="181" t="n">
        <v>300000</v>
      </c>
      <c r="BB41" s="181" t="n">
        <v>400000</v>
      </c>
      <c r="BC41" s="181" t="n">
        <v>400000</v>
      </c>
      <c r="BD41" s="181" t="n">
        <v>400000</v>
      </c>
      <c r="BE41" s="181" t="n">
        <v>400000</v>
      </c>
      <c r="BF41" s="181" t="n">
        <v>400000</v>
      </c>
      <c r="BG41" s="181" t="n">
        <v>400000</v>
      </c>
      <c r="BH41" s="181" t="n">
        <v>400000</v>
      </c>
      <c r="BI41" s="181" t="n">
        <v>400000</v>
      </c>
      <c r="BJ41" s="181" t="n">
        <v>400000</v>
      </c>
      <c r="BK41" s="181" t="n">
        <v>400000</v>
      </c>
      <c r="BL41" s="181" t="n">
        <v>400000</v>
      </c>
      <c r="BM41" s="181" t="n">
        <v>400000</v>
      </c>
      <c r="BN41" s="181">
        <f>SUM(F41:Q41)</f>
        <v>600000.0</v>
      </c>
      <c r="BO41" s="181">
        <f>SUM(R41:AC41)</f>
        <v>1200000.0</v>
      </c>
      <c r="BP41" s="181">
        <f>SUM(AD41:AO41)</f>
        <v>2400000.0</v>
      </c>
      <c r="BQ41" s="181">
        <f>SUM(AP41:BA41)</f>
        <v>3600000.0</v>
      </c>
      <c r="BR41" s="181">
        <f>SUM(BB41:BM41)</f>
        <v>4800000.0</v>
      </c>
    </row>
    <row r="42">
      <c r="C42" s="76" t="inlineStr">
        <is>
          <t>SaaSツール・ソフト</t>
        </is>
      </c>
      <c r="D42" s="76" t="inlineStr">
        <is>
          <t>1人1.5万+基盤3万</t>
        </is>
      </c>
      <c r="F42" s="181">
        <f>F12*15000+30000</f>
        <v>75000.0</v>
      </c>
      <c r="G42" s="181">
        <f>G12*15000+30000</f>
        <v>75000.0</v>
      </c>
      <c r="H42" s="181">
        <f>H12*15000+30000</f>
        <v>75000.0</v>
      </c>
      <c r="I42" s="181">
        <f>I12*15000+30000</f>
        <v>75000.0</v>
      </c>
      <c r="J42" s="181">
        <f>J12*15000+30000</f>
        <v>75000.0</v>
      </c>
      <c r="K42" s="181">
        <f>K12*15000+30000</f>
        <v>75000.0</v>
      </c>
      <c r="L42" s="181">
        <f>L12*15000+30000</f>
        <v>90000.0</v>
      </c>
      <c r="M42" s="181">
        <f>M12*15000+30000</f>
        <v>90000.0</v>
      </c>
      <c r="N42" s="181">
        <f>N12*15000+30000</f>
        <v>90000.0</v>
      </c>
      <c r="O42" s="181">
        <f>O12*15000+30000</f>
        <v>105000.0</v>
      </c>
      <c r="P42" s="181">
        <f>P12*15000+30000</f>
        <v>105000.0</v>
      </c>
      <c r="Q42" s="181">
        <f>Q12*15000+30000</f>
        <v>105000.0</v>
      </c>
      <c r="R42" s="181">
        <f>R12*15000+30000</f>
        <v>135000.0</v>
      </c>
      <c r="S42" s="181">
        <f>S12*15000+30000</f>
        <v>135000.0</v>
      </c>
      <c r="T42" s="181">
        <f>T12*15000+30000</f>
        <v>150000.0</v>
      </c>
      <c r="U42" s="181">
        <f>U12*15000+30000</f>
        <v>150000.0</v>
      </c>
      <c r="V42" s="181">
        <f>V12*15000+30000</f>
        <v>150000.0</v>
      </c>
      <c r="W42" s="181">
        <f>W12*15000+30000</f>
        <v>165000.0</v>
      </c>
      <c r="X42" s="181">
        <f>X12*15000+30000</f>
        <v>180000.0</v>
      </c>
      <c r="Y42" s="181">
        <f>Y12*15000+30000</f>
        <v>180000.0</v>
      </c>
      <c r="Z42" s="181">
        <f>Z12*15000+30000</f>
        <v>180000.0</v>
      </c>
      <c r="AA42" s="181">
        <f>AA12*15000+30000</f>
        <v>180000.0</v>
      </c>
      <c r="AB42" s="181">
        <f>AB12*15000+30000</f>
        <v>180000.0</v>
      </c>
      <c r="AC42" s="181">
        <f>AC12*15000+30000</f>
        <v>180000.0</v>
      </c>
      <c r="AD42" s="181">
        <f>AD12*15000+30000</f>
        <v>195000.0</v>
      </c>
      <c r="AE42" s="181">
        <f>AE12*15000+30000</f>
        <v>195000.0</v>
      </c>
      <c r="AF42" s="181">
        <f>AF12*15000+30000</f>
        <v>195000.0</v>
      </c>
      <c r="AG42" s="181">
        <f>AG12*15000+30000</f>
        <v>195000.0</v>
      </c>
      <c r="AH42" s="181">
        <f>AH12*15000+30000</f>
        <v>210000.0</v>
      </c>
      <c r="AI42" s="181">
        <f>AI12*15000+30000</f>
        <v>210000.0</v>
      </c>
      <c r="AJ42" s="181">
        <f>AJ12*15000+30000</f>
        <v>210000.0</v>
      </c>
      <c r="AK42" s="181">
        <f>AK12*15000+30000</f>
        <v>225000.0</v>
      </c>
      <c r="AL42" s="181">
        <f>AL12*15000+30000</f>
        <v>225000.0</v>
      </c>
      <c r="AM42" s="181">
        <f>AM12*15000+30000</f>
        <v>225000.0</v>
      </c>
      <c r="AN42" s="181">
        <f>AN12*15000+30000</f>
        <v>225000.0</v>
      </c>
      <c r="AO42" s="181">
        <f>AO12*15000+30000</f>
        <v>225000.0</v>
      </c>
      <c r="AP42" s="181">
        <f>AP12*15000+30000</f>
        <v>255000.0</v>
      </c>
      <c r="AQ42" s="181">
        <f>AQ12*15000+30000</f>
        <v>270000.0</v>
      </c>
      <c r="AR42" s="181">
        <f>AR12*15000+30000</f>
        <v>285000.0</v>
      </c>
      <c r="AS42" s="181">
        <f>AS12*15000+30000</f>
        <v>285000.0</v>
      </c>
      <c r="AT42" s="181">
        <f>AT12*15000+30000</f>
        <v>285000.0</v>
      </c>
      <c r="AU42" s="181">
        <f>AU12*15000+30000</f>
        <v>285000.0</v>
      </c>
      <c r="AV42" s="181">
        <f>AV12*15000+30000</f>
        <v>285000.0</v>
      </c>
      <c r="AW42" s="181">
        <f>AW12*15000+30000</f>
        <v>300000.0</v>
      </c>
      <c r="AX42" s="181">
        <f>AX12*15000+30000</f>
        <v>300000.0</v>
      </c>
      <c r="AY42" s="181">
        <f>AY12*15000+30000</f>
        <v>315000.0</v>
      </c>
      <c r="AZ42" s="181">
        <f>AZ12*15000+30000</f>
        <v>315000.0</v>
      </c>
      <c r="BA42" s="181">
        <f>BA12*15000+30000</f>
        <v>315000.0</v>
      </c>
      <c r="BB42" s="181">
        <f>BB12*15000+30000</f>
        <v>330000.0</v>
      </c>
      <c r="BC42" s="181">
        <f>BC12*15000+30000</f>
        <v>330000.0</v>
      </c>
      <c r="BD42" s="181">
        <f>BD12*15000+30000</f>
        <v>330000.0</v>
      </c>
      <c r="BE42" s="181">
        <f>BE12*15000+30000</f>
        <v>330000.0</v>
      </c>
      <c r="BF42" s="181">
        <f>BF12*15000+30000</f>
        <v>345000.0</v>
      </c>
      <c r="BG42" s="181">
        <f>BG12*15000+30000</f>
        <v>345000.0</v>
      </c>
      <c r="BH42" s="181">
        <f>BH12*15000+30000</f>
        <v>360000.0</v>
      </c>
      <c r="BI42" s="181">
        <f>BI12*15000+30000</f>
        <v>360000.0</v>
      </c>
      <c r="BJ42" s="181">
        <f>BJ12*15000+30000</f>
        <v>360000.0</v>
      </c>
      <c r="BK42" s="181">
        <f>BK12*15000+30000</f>
        <v>360000.0</v>
      </c>
      <c r="BL42" s="181">
        <f>BL12*15000+30000</f>
        <v>375000.0</v>
      </c>
      <c r="BM42" s="181">
        <f>BM12*15000+30000</f>
        <v>375000.0</v>
      </c>
      <c r="BN42" s="181">
        <f>SUM(F42:Q42)</f>
        <v>1035000.0</v>
      </c>
      <c r="BO42" s="181">
        <f>SUM(R42:AC42)</f>
        <v>1965000.0</v>
      </c>
      <c r="BP42" s="181">
        <f>SUM(AD42:AO42)</f>
        <v>2535000.0</v>
      </c>
      <c r="BQ42" s="181">
        <f>SUM(AP42:BA42)</f>
        <v>3495000.0</v>
      </c>
      <c r="BR42" s="181">
        <f>SUM(BB42:BM42)</f>
        <v>4200000.0</v>
      </c>
    </row>
    <row r="43">
      <c r="C43" s="76" t="inlineStr">
        <is>
          <t>法務・会計・労務顧問</t>
        </is>
      </c>
      <c r="D43" s="76" t="inlineStr">
        <is>
          <t>税理士法対応の法務含む。推定</t>
        </is>
      </c>
      <c r="F43" s="181" t="n">
        <v>150000</v>
      </c>
      <c r="G43" s="181" t="n">
        <v>150000</v>
      </c>
      <c r="H43" s="181" t="n">
        <v>150000</v>
      </c>
      <c r="I43" s="181" t="n">
        <v>150000</v>
      </c>
      <c r="J43" s="181" t="n">
        <v>150000</v>
      </c>
      <c r="K43" s="181" t="n">
        <v>150000</v>
      </c>
      <c r="L43" s="181" t="n">
        <v>150000</v>
      </c>
      <c r="M43" s="181" t="n">
        <v>150000</v>
      </c>
      <c r="N43" s="181" t="n">
        <v>150000</v>
      </c>
      <c r="O43" s="181" t="n">
        <v>150000</v>
      </c>
      <c r="P43" s="181" t="n">
        <v>150000</v>
      </c>
      <c r="Q43" s="181" t="n">
        <v>150000</v>
      </c>
      <c r="R43" s="181" t="n">
        <v>200000</v>
      </c>
      <c r="S43" s="181" t="n">
        <v>200000</v>
      </c>
      <c r="T43" s="181" t="n">
        <v>200000</v>
      </c>
      <c r="U43" s="181" t="n">
        <v>200000</v>
      </c>
      <c r="V43" s="181" t="n">
        <v>200000</v>
      </c>
      <c r="W43" s="181" t="n">
        <v>200000</v>
      </c>
      <c r="X43" s="181" t="n">
        <v>200000</v>
      </c>
      <c r="Y43" s="181" t="n">
        <v>200000</v>
      </c>
      <c r="Z43" s="181" t="n">
        <v>200000</v>
      </c>
      <c r="AA43" s="181" t="n">
        <v>200000</v>
      </c>
      <c r="AB43" s="181" t="n">
        <v>200000</v>
      </c>
      <c r="AC43" s="181" t="n">
        <v>200000</v>
      </c>
      <c r="AD43" s="181" t="n">
        <v>250000</v>
      </c>
      <c r="AE43" s="181" t="n">
        <v>250000</v>
      </c>
      <c r="AF43" s="181" t="n">
        <v>250000</v>
      </c>
      <c r="AG43" s="181" t="n">
        <v>250000</v>
      </c>
      <c r="AH43" s="181" t="n">
        <v>250000</v>
      </c>
      <c r="AI43" s="181" t="n">
        <v>250000</v>
      </c>
      <c r="AJ43" s="181" t="n">
        <v>250000</v>
      </c>
      <c r="AK43" s="181" t="n">
        <v>250000</v>
      </c>
      <c r="AL43" s="181" t="n">
        <v>250000</v>
      </c>
      <c r="AM43" s="181" t="n">
        <v>250000</v>
      </c>
      <c r="AN43" s="181" t="n">
        <v>250000</v>
      </c>
      <c r="AO43" s="181" t="n">
        <v>250000</v>
      </c>
      <c r="AP43" s="181" t="n">
        <v>300000</v>
      </c>
      <c r="AQ43" s="181" t="n">
        <v>300000</v>
      </c>
      <c r="AR43" s="181" t="n">
        <v>300000</v>
      </c>
      <c r="AS43" s="181" t="n">
        <v>300000</v>
      </c>
      <c r="AT43" s="181" t="n">
        <v>300000</v>
      </c>
      <c r="AU43" s="181" t="n">
        <v>300000</v>
      </c>
      <c r="AV43" s="181" t="n">
        <v>300000</v>
      </c>
      <c r="AW43" s="181" t="n">
        <v>300000</v>
      </c>
      <c r="AX43" s="181" t="n">
        <v>300000</v>
      </c>
      <c r="AY43" s="181" t="n">
        <v>300000</v>
      </c>
      <c r="AZ43" s="181" t="n">
        <v>300000</v>
      </c>
      <c r="BA43" s="181" t="n">
        <v>300000</v>
      </c>
      <c r="BB43" s="181" t="n">
        <v>350000</v>
      </c>
      <c r="BC43" s="181" t="n">
        <v>350000</v>
      </c>
      <c r="BD43" s="181" t="n">
        <v>350000</v>
      </c>
      <c r="BE43" s="181" t="n">
        <v>350000</v>
      </c>
      <c r="BF43" s="181" t="n">
        <v>350000</v>
      </c>
      <c r="BG43" s="181" t="n">
        <v>350000</v>
      </c>
      <c r="BH43" s="181" t="n">
        <v>350000</v>
      </c>
      <c r="BI43" s="181" t="n">
        <v>350000</v>
      </c>
      <c r="BJ43" s="181" t="n">
        <v>350000</v>
      </c>
      <c r="BK43" s="181" t="n">
        <v>350000</v>
      </c>
      <c r="BL43" s="181" t="n">
        <v>350000</v>
      </c>
      <c r="BM43" s="181" t="n">
        <v>350000</v>
      </c>
      <c r="BN43" s="181">
        <f>SUM(F43:Q43)</f>
        <v>1800000.0</v>
      </c>
      <c r="BO43" s="181">
        <f>SUM(R43:AC43)</f>
        <v>2400000.0</v>
      </c>
      <c r="BP43" s="181">
        <f>SUM(AD43:AO43)</f>
        <v>3000000.0</v>
      </c>
      <c r="BQ43" s="181">
        <f>SUM(AP43:BA43)</f>
        <v>3600000.0</v>
      </c>
      <c r="BR43" s="181">
        <f>SUM(BB43:BM43)</f>
        <v>4200000.0</v>
      </c>
    </row>
    <row r="44">
      <c r="C44" s="76" t="inlineStr">
        <is>
          <t>採用費</t>
        </is>
      </c>
      <c r="D44" s="76" t="inlineStr">
        <is>
          <t>採用1人50万の年間月割。推定</t>
        </is>
      </c>
      <c r="F44" s="181" t="n">
        <v>0</v>
      </c>
      <c r="G44" s="181" t="n">
        <v>0</v>
      </c>
      <c r="H44" s="181" t="n">
        <v>0</v>
      </c>
      <c r="I44" s="181" t="n">
        <v>0</v>
      </c>
      <c r="J44" s="181" t="n">
        <v>0</v>
      </c>
      <c r="K44" s="181" t="n">
        <v>0</v>
      </c>
      <c r="L44" s="181" t="n">
        <v>0</v>
      </c>
      <c r="M44" s="181" t="n">
        <v>0</v>
      </c>
      <c r="N44" s="181" t="n">
        <v>0</v>
      </c>
      <c r="O44" s="181" t="n">
        <v>0</v>
      </c>
      <c r="P44" s="181" t="n">
        <v>0</v>
      </c>
      <c r="Q44" s="181" t="n">
        <v>0</v>
      </c>
      <c r="R44" s="181" t="n">
        <v>200000</v>
      </c>
      <c r="S44" s="181" t="n">
        <v>200000</v>
      </c>
      <c r="T44" s="181" t="n">
        <v>200000</v>
      </c>
      <c r="U44" s="181" t="n">
        <v>200000</v>
      </c>
      <c r="V44" s="181" t="n">
        <v>200000</v>
      </c>
      <c r="W44" s="181" t="n">
        <v>200000</v>
      </c>
      <c r="X44" s="181" t="n">
        <v>200000</v>
      </c>
      <c r="Y44" s="181" t="n">
        <v>200000</v>
      </c>
      <c r="Z44" s="181" t="n">
        <v>200000</v>
      </c>
      <c r="AA44" s="181" t="n">
        <v>200000</v>
      </c>
      <c r="AB44" s="181" t="n">
        <v>200000</v>
      </c>
      <c r="AC44" s="181" t="n">
        <v>200000</v>
      </c>
      <c r="AD44" s="181" t="n">
        <v>300000</v>
      </c>
      <c r="AE44" s="181" t="n">
        <v>300000</v>
      </c>
      <c r="AF44" s="181" t="n">
        <v>300000</v>
      </c>
      <c r="AG44" s="181" t="n">
        <v>300000</v>
      </c>
      <c r="AH44" s="181" t="n">
        <v>300000</v>
      </c>
      <c r="AI44" s="181" t="n">
        <v>300000</v>
      </c>
      <c r="AJ44" s="181" t="n">
        <v>300000</v>
      </c>
      <c r="AK44" s="181" t="n">
        <v>300000</v>
      </c>
      <c r="AL44" s="181" t="n">
        <v>300000</v>
      </c>
      <c r="AM44" s="181" t="n">
        <v>300000</v>
      </c>
      <c r="AN44" s="181" t="n">
        <v>300000</v>
      </c>
      <c r="AO44" s="181" t="n">
        <v>300000</v>
      </c>
      <c r="AP44" s="181" t="n">
        <v>400000</v>
      </c>
      <c r="AQ44" s="181" t="n">
        <v>400000</v>
      </c>
      <c r="AR44" s="181" t="n">
        <v>400000</v>
      </c>
      <c r="AS44" s="181" t="n">
        <v>400000</v>
      </c>
      <c r="AT44" s="181" t="n">
        <v>400000</v>
      </c>
      <c r="AU44" s="181" t="n">
        <v>400000</v>
      </c>
      <c r="AV44" s="181" t="n">
        <v>400000</v>
      </c>
      <c r="AW44" s="181" t="n">
        <v>400000</v>
      </c>
      <c r="AX44" s="181" t="n">
        <v>400000</v>
      </c>
      <c r="AY44" s="181" t="n">
        <v>400000</v>
      </c>
      <c r="AZ44" s="181" t="n">
        <v>400000</v>
      </c>
      <c r="BA44" s="181" t="n">
        <v>400000</v>
      </c>
      <c r="BB44" s="181" t="n">
        <v>400000</v>
      </c>
      <c r="BC44" s="181" t="n">
        <v>400000</v>
      </c>
      <c r="BD44" s="181" t="n">
        <v>400000</v>
      </c>
      <c r="BE44" s="181" t="n">
        <v>400000</v>
      </c>
      <c r="BF44" s="181" t="n">
        <v>400000</v>
      </c>
      <c r="BG44" s="181" t="n">
        <v>400000</v>
      </c>
      <c r="BH44" s="181" t="n">
        <v>400000</v>
      </c>
      <c r="BI44" s="181" t="n">
        <v>400000</v>
      </c>
      <c r="BJ44" s="181" t="n">
        <v>400000</v>
      </c>
      <c r="BK44" s="181" t="n">
        <v>400000</v>
      </c>
      <c r="BL44" s="181" t="n">
        <v>400000</v>
      </c>
      <c r="BM44" s="181" t="n">
        <v>400000</v>
      </c>
      <c r="BN44" s="181">
        <f>SUM(F44:Q44)</f>
        <v>0.0</v>
      </c>
      <c r="BO44" s="181">
        <f>SUM(R44:AC44)</f>
        <v>2400000.0</v>
      </c>
      <c r="BP44" s="181">
        <f>SUM(AD44:AO44)</f>
        <v>3600000.0</v>
      </c>
      <c r="BQ44" s="181">
        <f>SUM(AP44:BA44)</f>
        <v>4800000.0</v>
      </c>
      <c r="BR44" s="181">
        <f>SUM(BB44:BM44)</f>
        <v>4800000.0</v>
      </c>
    </row>
    <row r="45">
      <c r="C45" s="76" t="inlineStr">
        <is>
          <t>雑費・予備</t>
        </is>
      </c>
      <c r="D45" s="76" t="inlineStr">
        <is>
          <t>推定</t>
        </is>
      </c>
      <c r="F45" s="181" t="n">
        <v>100000</v>
      </c>
      <c r="G45" s="181" t="n">
        <v>100000</v>
      </c>
      <c r="H45" s="181" t="n">
        <v>100000</v>
      </c>
      <c r="I45" s="181" t="n">
        <v>100000</v>
      </c>
      <c r="J45" s="181" t="n">
        <v>100000</v>
      </c>
      <c r="K45" s="181" t="n">
        <v>100000</v>
      </c>
      <c r="L45" s="181" t="n">
        <v>100000</v>
      </c>
      <c r="M45" s="181" t="n">
        <v>100000</v>
      </c>
      <c r="N45" s="181" t="n">
        <v>100000</v>
      </c>
      <c r="O45" s="181" t="n">
        <v>100000</v>
      </c>
      <c r="P45" s="181" t="n">
        <v>100000</v>
      </c>
      <c r="Q45" s="181" t="n">
        <v>100000</v>
      </c>
      <c r="R45" s="181" t="n">
        <v>100000</v>
      </c>
      <c r="S45" s="181" t="n">
        <v>100000</v>
      </c>
      <c r="T45" s="181" t="n">
        <v>100000</v>
      </c>
      <c r="U45" s="181" t="n">
        <v>100000</v>
      </c>
      <c r="V45" s="181" t="n">
        <v>100000</v>
      </c>
      <c r="W45" s="181" t="n">
        <v>100000</v>
      </c>
      <c r="X45" s="181" t="n">
        <v>100000</v>
      </c>
      <c r="Y45" s="181" t="n">
        <v>100000</v>
      </c>
      <c r="Z45" s="181" t="n">
        <v>100000</v>
      </c>
      <c r="AA45" s="181" t="n">
        <v>100000</v>
      </c>
      <c r="AB45" s="181" t="n">
        <v>100000</v>
      </c>
      <c r="AC45" s="181" t="n">
        <v>100000</v>
      </c>
      <c r="AD45" s="181" t="n">
        <v>100000</v>
      </c>
      <c r="AE45" s="181" t="n">
        <v>100000</v>
      </c>
      <c r="AF45" s="181" t="n">
        <v>100000</v>
      </c>
      <c r="AG45" s="181" t="n">
        <v>100000</v>
      </c>
      <c r="AH45" s="181" t="n">
        <v>100000</v>
      </c>
      <c r="AI45" s="181" t="n">
        <v>100000</v>
      </c>
      <c r="AJ45" s="181" t="n">
        <v>100000</v>
      </c>
      <c r="AK45" s="181" t="n">
        <v>100000</v>
      </c>
      <c r="AL45" s="181" t="n">
        <v>100000</v>
      </c>
      <c r="AM45" s="181" t="n">
        <v>100000</v>
      </c>
      <c r="AN45" s="181" t="n">
        <v>100000</v>
      </c>
      <c r="AO45" s="181" t="n">
        <v>100000</v>
      </c>
      <c r="AP45" s="181" t="n">
        <v>100000</v>
      </c>
      <c r="AQ45" s="181" t="n">
        <v>100000</v>
      </c>
      <c r="AR45" s="181" t="n">
        <v>100000</v>
      </c>
      <c r="AS45" s="181" t="n">
        <v>100000</v>
      </c>
      <c r="AT45" s="181" t="n">
        <v>100000</v>
      </c>
      <c r="AU45" s="181" t="n">
        <v>100000</v>
      </c>
      <c r="AV45" s="181" t="n">
        <v>100000</v>
      </c>
      <c r="AW45" s="181" t="n">
        <v>100000</v>
      </c>
      <c r="AX45" s="181" t="n">
        <v>100000</v>
      </c>
      <c r="AY45" s="181" t="n">
        <v>100000</v>
      </c>
      <c r="AZ45" s="181" t="n">
        <v>100000</v>
      </c>
      <c r="BA45" s="181" t="n">
        <v>100000</v>
      </c>
      <c r="BB45" s="181" t="n">
        <v>100000</v>
      </c>
      <c r="BC45" s="181" t="n">
        <v>100000</v>
      </c>
      <c r="BD45" s="181" t="n">
        <v>100000</v>
      </c>
      <c r="BE45" s="181" t="n">
        <v>100000</v>
      </c>
      <c r="BF45" s="181" t="n">
        <v>100000</v>
      </c>
      <c r="BG45" s="181" t="n">
        <v>100000</v>
      </c>
      <c r="BH45" s="181" t="n">
        <v>100000</v>
      </c>
      <c r="BI45" s="181" t="n">
        <v>100000</v>
      </c>
      <c r="BJ45" s="181" t="n">
        <v>100000</v>
      </c>
      <c r="BK45" s="181" t="n">
        <v>100000</v>
      </c>
      <c r="BL45" s="181" t="n">
        <v>100000</v>
      </c>
      <c r="BM45" s="181" t="n">
        <v>100000</v>
      </c>
      <c r="BN45" s="181">
        <f>SUM(F45:Q45)</f>
        <v>1200000.0</v>
      </c>
      <c r="BO45" s="181">
        <f>SUM(R45:AC45)</f>
        <v>1200000.0</v>
      </c>
      <c r="BP45" s="181">
        <f>SUM(AD45:AO45)</f>
        <v>1200000.0</v>
      </c>
      <c r="BQ45" s="181">
        <f>SUM(AP45:BA45)</f>
        <v>1200000.0</v>
      </c>
      <c r="BR45" s="181">
        <f>SUM(BB45:BM45)</f>
        <v>1200000.0</v>
      </c>
    </row>
    <row r="46">
      <c r="C46" s="76" t="inlineStr">
        <is>
          <t>その他合計</t>
        </is>
      </c>
      <c r="F46" s="181">
        <f>SUM(F41:F45)</f>
        <v>375000.0</v>
      </c>
      <c r="G46" s="181">
        <f>SUM(G41:G45)</f>
        <v>375000.0</v>
      </c>
      <c r="H46" s="181">
        <f>SUM(H41:H45)</f>
        <v>375000.0</v>
      </c>
      <c r="I46" s="181">
        <f>SUM(I41:I45)</f>
        <v>375000.0</v>
      </c>
      <c r="J46" s="181">
        <f>SUM(J41:J45)</f>
        <v>375000.0</v>
      </c>
      <c r="K46" s="181">
        <f>SUM(K41:K45)</f>
        <v>375000.0</v>
      </c>
      <c r="L46" s="181">
        <f>SUM(L41:L45)</f>
        <v>390000.0</v>
      </c>
      <c r="M46" s="181">
        <f>SUM(M41:M45)</f>
        <v>390000.0</v>
      </c>
      <c r="N46" s="181">
        <f>SUM(N41:N45)</f>
        <v>390000.0</v>
      </c>
      <c r="O46" s="181">
        <f>SUM(O41:O45)</f>
        <v>405000.0</v>
      </c>
      <c r="P46" s="181">
        <f>SUM(P41:P45)</f>
        <v>405000.0</v>
      </c>
      <c r="Q46" s="181">
        <f>SUM(Q41:Q45)</f>
        <v>405000.0</v>
      </c>
      <c r="R46" s="181">
        <f>SUM(R41:R45)</f>
        <v>735000.0</v>
      </c>
      <c r="S46" s="181">
        <f>SUM(S41:S45)</f>
        <v>735000.0</v>
      </c>
      <c r="T46" s="181">
        <f>SUM(T41:T45)</f>
        <v>750000.0</v>
      </c>
      <c r="U46" s="181">
        <f>SUM(U41:U45)</f>
        <v>750000.0</v>
      </c>
      <c r="V46" s="181">
        <f>SUM(V41:V45)</f>
        <v>750000.0</v>
      </c>
      <c r="W46" s="181">
        <f>SUM(W41:W45)</f>
        <v>765000.0</v>
      </c>
      <c r="X46" s="181">
        <f>SUM(X41:X45)</f>
        <v>780000.0</v>
      </c>
      <c r="Y46" s="181">
        <f>SUM(Y41:Y45)</f>
        <v>780000.0</v>
      </c>
      <c r="Z46" s="181">
        <f>SUM(Z41:Z45)</f>
        <v>780000.0</v>
      </c>
      <c r="AA46" s="181">
        <f>SUM(AA41:AA45)</f>
        <v>780000.0</v>
      </c>
      <c r="AB46" s="181">
        <f>SUM(AB41:AB45)</f>
        <v>780000.0</v>
      </c>
      <c r="AC46" s="181">
        <f>SUM(AC41:AC45)</f>
        <v>780000.0</v>
      </c>
      <c r="AD46" s="181">
        <f>SUM(AD41:AD45)</f>
        <v>1045000.0</v>
      </c>
      <c r="AE46" s="181">
        <f>SUM(AE41:AE45)</f>
        <v>1045000.0</v>
      </c>
      <c r="AF46" s="181">
        <f>SUM(AF41:AF45)</f>
        <v>1045000.0</v>
      </c>
      <c r="AG46" s="181">
        <f>SUM(AG41:AG45)</f>
        <v>1045000.0</v>
      </c>
      <c r="AH46" s="181">
        <f>SUM(AH41:AH45)</f>
        <v>1060000.0</v>
      </c>
      <c r="AI46" s="181">
        <f>SUM(AI41:AI45)</f>
        <v>1060000.0</v>
      </c>
      <c r="AJ46" s="181">
        <f>SUM(AJ41:AJ45)</f>
        <v>1060000.0</v>
      </c>
      <c r="AK46" s="181">
        <f>SUM(AK41:AK45)</f>
        <v>1075000.0</v>
      </c>
      <c r="AL46" s="181">
        <f>SUM(AL41:AL45)</f>
        <v>1075000.0</v>
      </c>
      <c r="AM46" s="181">
        <f>SUM(AM41:AM45)</f>
        <v>1075000.0</v>
      </c>
      <c r="AN46" s="181">
        <f>SUM(AN41:AN45)</f>
        <v>1075000.0</v>
      </c>
      <c r="AO46" s="181">
        <f>SUM(AO41:AO45)</f>
        <v>1075000.0</v>
      </c>
      <c r="AP46" s="181">
        <f>SUM(AP41:AP45)</f>
        <v>1355000.0</v>
      </c>
      <c r="AQ46" s="181">
        <f>SUM(AQ41:AQ45)</f>
        <v>1370000.0</v>
      </c>
      <c r="AR46" s="181">
        <f>SUM(AR41:AR45)</f>
        <v>1385000.0</v>
      </c>
      <c r="AS46" s="181">
        <f>SUM(AS41:AS45)</f>
        <v>1385000.0</v>
      </c>
      <c r="AT46" s="181">
        <f>SUM(AT41:AT45)</f>
        <v>1385000.0</v>
      </c>
      <c r="AU46" s="181">
        <f>SUM(AU41:AU45)</f>
        <v>1385000.0</v>
      </c>
      <c r="AV46" s="181">
        <f>SUM(AV41:AV45)</f>
        <v>1385000.0</v>
      </c>
      <c r="AW46" s="181">
        <f>SUM(AW41:AW45)</f>
        <v>1400000.0</v>
      </c>
      <c r="AX46" s="181">
        <f>SUM(AX41:AX45)</f>
        <v>1400000.0</v>
      </c>
      <c r="AY46" s="181">
        <f>SUM(AY41:AY45)</f>
        <v>1415000.0</v>
      </c>
      <c r="AZ46" s="181">
        <f>SUM(AZ41:AZ45)</f>
        <v>1415000.0</v>
      </c>
      <c r="BA46" s="181">
        <f>SUM(BA41:BA45)</f>
        <v>1415000.0</v>
      </c>
      <c r="BB46" s="181">
        <f>SUM(BB41:BB45)</f>
        <v>1580000.0</v>
      </c>
      <c r="BC46" s="181">
        <f>SUM(BC41:BC45)</f>
        <v>1580000.0</v>
      </c>
      <c r="BD46" s="181">
        <f>SUM(BD41:BD45)</f>
        <v>1580000.0</v>
      </c>
      <c r="BE46" s="181">
        <f>SUM(BE41:BE45)</f>
        <v>1580000.0</v>
      </c>
      <c r="BF46" s="181">
        <f>SUM(BF41:BF45)</f>
        <v>1595000.0</v>
      </c>
      <c r="BG46" s="181">
        <f>SUM(BG41:BG45)</f>
        <v>1595000.0</v>
      </c>
      <c r="BH46" s="181">
        <f>SUM(BH41:BH45)</f>
        <v>1610000.0</v>
      </c>
      <c r="BI46" s="181">
        <f>SUM(BI41:BI45)</f>
        <v>1610000.0</v>
      </c>
      <c r="BJ46" s="181">
        <f>SUM(BJ41:BJ45)</f>
        <v>1610000.0</v>
      </c>
      <c r="BK46" s="181">
        <f>SUM(BK41:BK45)</f>
        <v>1610000.0</v>
      </c>
      <c r="BL46" s="181">
        <f>SUM(BL41:BL45)</f>
        <v>1625000.0</v>
      </c>
      <c r="BM46" s="181">
        <f>SUM(BM41:BM45)</f>
        <v>1625000.0</v>
      </c>
      <c r="BN46" s="181">
        <f>SUM(F46:Q46)</f>
        <v>4635000.0</v>
      </c>
      <c r="BO46" s="181">
        <f>SUM(R46:AC46)</f>
        <v>9165000.0</v>
      </c>
      <c r="BP46" s="181">
        <f>SUM(AD46:AO46)</f>
        <v>12735000.0</v>
      </c>
      <c r="BQ46" s="181">
        <f>SUM(AP46:BA46)</f>
        <v>16695000.0</v>
      </c>
      <c r="BR46" s="181">
        <f>SUM(BB46:BM46)</f>
        <v>19200000.0</v>
      </c>
    </row>
    <row r="47">
      <c r="F47" s="181" t="n"/>
      <c r="G47" s="181" t="n"/>
      <c r="H47" s="181" t="n"/>
      <c r="I47" s="181" t="n"/>
      <c r="J47" s="181" t="n"/>
      <c r="K47" s="181" t="n"/>
      <c r="L47" s="181" t="n"/>
      <c r="M47" s="181" t="n"/>
      <c r="N47" s="181" t="n"/>
      <c r="O47" s="181" t="n"/>
      <c r="P47" s="181" t="n"/>
      <c r="Q47" s="181" t="n"/>
      <c r="R47" s="181" t="n"/>
      <c r="S47" s="181" t="n"/>
      <c r="T47" s="181" t="n"/>
      <c r="U47" s="181" t="n"/>
      <c r="V47" s="181" t="n"/>
      <c r="W47" s="181" t="n"/>
      <c r="X47" s="181" t="n"/>
      <c r="Y47" s="181" t="n"/>
      <c r="Z47" s="181" t="n"/>
      <c r="AA47" s="181" t="n"/>
      <c r="AB47" s="181" t="n"/>
      <c r="AC47" s="181" t="n"/>
      <c r="AD47" s="181" t="n"/>
      <c r="AE47" s="181" t="n"/>
      <c r="AF47" s="181" t="n"/>
      <c r="AG47" s="181" t="n"/>
      <c r="AH47" s="181" t="n"/>
      <c r="AI47" s="181" t="n"/>
      <c r="AJ47" s="181" t="n"/>
      <c r="AK47" s="181" t="n"/>
      <c r="AL47" s="181" t="n"/>
      <c r="AM47" s="181" t="n"/>
      <c r="AN47" s="181" t="n"/>
      <c r="AO47" s="181" t="n"/>
      <c r="AP47" s="181" t="n"/>
      <c r="AQ47" s="181" t="n"/>
      <c r="AR47" s="181" t="n"/>
      <c r="AS47" s="181" t="n"/>
      <c r="AT47" s="181" t="n"/>
      <c r="AU47" s="181" t="n"/>
      <c r="AV47" s="181" t="n"/>
      <c r="AW47" s="181" t="n"/>
      <c r="AX47" s="181" t="n"/>
      <c r="AY47" s="181" t="n"/>
      <c r="AZ47" s="181" t="n"/>
      <c r="BA47" s="181" t="n"/>
      <c r="BB47" s="181" t="n"/>
      <c r="BC47" s="181" t="n"/>
      <c r="BD47" s="181" t="n"/>
      <c r="BE47" s="181" t="n"/>
      <c r="BF47" s="181" t="n"/>
      <c r="BG47" s="181" t="n"/>
      <c r="BH47" s="181" t="n"/>
      <c r="BI47" s="181" t="n"/>
      <c r="BJ47" s="181" t="n"/>
      <c r="BK47" s="181" t="n"/>
      <c r="BL47" s="181" t="n"/>
      <c r="BM47" s="181" t="n"/>
      <c r="BN47" s="181" t="n"/>
      <c r="BO47" s="181" t="n"/>
      <c r="BP47" s="181" t="n"/>
      <c r="BQ47" s="181" t="n"/>
      <c r="BR47" s="181" t="n"/>
    </row>
    <row r="48">
      <c r="C48" s="76" t="inlineStr">
        <is>
          <t>■ 集計</t>
        </is>
      </c>
      <c r="F48" s="181" t="n"/>
      <c r="G48" s="181" t="n"/>
      <c r="H48" s="181" t="n"/>
      <c r="I48" s="181" t="n"/>
      <c r="J48" s="181" t="n"/>
      <c r="K48" s="181" t="n"/>
      <c r="L48" s="181" t="n"/>
      <c r="M48" s="181" t="n"/>
      <c r="N48" s="181" t="n"/>
      <c r="O48" s="181" t="n"/>
      <c r="P48" s="181" t="n"/>
      <c r="Q48" s="181" t="n"/>
      <c r="R48" s="181" t="n"/>
      <c r="S48" s="181" t="n"/>
      <c r="T48" s="181" t="n"/>
      <c r="U48" s="181" t="n"/>
      <c r="V48" s="181" t="n"/>
      <c r="W48" s="181" t="n"/>
      <c r="X48" s="181" t="n"/>
      <c r="Y48" s="181" t="n"/>
      <c r="Z48" s="181" t="n"/>
      <c r="AA48" s="181" t="n"/>
      <c r="AB48" s="181" t="n"/>
      <c r="AC48" s="181" t="n"/>
      <c r="AD48" s="181" t="n"/>
      <c r="AE48" s="181" t="n"/>
      <c r="AF48" s="181" t="n"/>
      <c r="AG48" s="181" t="n"/>
      <c r="AH48" s="181" t="n"/>
      <c r="AI48" s="181" t="n"/>
      <c r="AJ48" s="181" t="n"/>
      <c r="AK48" s="181" t="n"/>
      <c r="AL48" s="181" t="n"/>
      <c r="AM48" s="181" t="n"/>
      <c r="AN48" s="181" t="n"/>
      <c r="AO48" s="181" t="n"/>
      <c r="AP48" s="181" t="n"/>
      <c r="AQ48" s="181" t="n"/>
      <c r="AR48" s="181" t="n"/>
      <c r="AS48" s="181" t="n"/>
      <c r="AT48" s="181" t="n"/>
      <c r="AU48" s="181" t="n"/>
      <c r="AV48" s="181" t="n"/>
      <c r="AW48" s="181" t="n"/>
      <c r="AX48" s="181" t="n"/>
      <c r="AY48" s="181" t="n"/>
      <c r="AZ48" s="181" t="n"/>
      <c r="BA48" s="181" t="n"/>
      <c r="BB48" s="181" t="n"/>
      <c r="BC48" s="181" t="n"/>
      <c r="BD48" s="181" t="n"/>
      <c r="BE48" s="181" t="n"/>
      <c r="BF48" s="181" t="n"/>
      <c r="BG48" s="181" t="n"/>
      <c r="BH48" s="181" t="n"/>
      <c r="BI48" s="181" t="n"/>
      <c r="BJ48" s="181" t="n"/>
      <c r="BK48" s="181" t="n"/>
      <c r="BL48" s="181" t="n"/>
      <c r="BM48" s="181" t="n"/>
      <c r="BN48" s="181" t="n"/>
      <c r="BO48" s="181" t="n"/>
      <c r="BP48" s="181" t="n"/>
      <c r="BQ48" s="181" t="n"/>
      <c r="BR48" s="181" t="n"/>
    </row>
    <row r="49">
      <c r="C49" s="76" t="inlineStr">
        <is>
          <t>費用合計</t>
        </is>
      </c>
      <c r="F49" s="181">
        <f>F22+F31+F38+F46</f>
        <v>1725000.0</v>
      </c>
      <c r="G49" s="181">
        <f>G22+G31+G38+G46</f>
        <v>1783343.54126112</v>
      </c>
      <c r="H49" s="181">
        <f>H22+H31+H38+H46</f>
        <v>2019994.3767415</v>
      </c>
      <c r="I49" s="181">
        <f>I22+I31+I38+I46</f>
        <v>2036312.19551228</v>
      </c>
      <c r="J49" s="181">
        <f>J22+J31+J38+J46</f>
        <v>2054555.90790764</v>
      </c>
      <c r="K49" s="181">
        <f>K22+K31+K38+K46</f>
        <v>2139719.71981621</v>
      </c>
      <c r="L49" s="181">
        <f>L22+L31+L38+L46</f>
        <v>2586445.79636162</v>
      </c>
      <c r="M49" s="181">
        <f>M22+M31+M38+M46</f>
        <v>2614769.61520736</v>
      </c>
      <c r="N49" s="181">
        <f>N22+N31+N38+N46</f>
        <v>2702820.899577</v>
      </c>
      <c r="O49" s="181">
        <f>O22+O31+O38+O46</f>
        <v>3209856.83386695</v>
      </c>
      <c r="P49" s="181">
        <f>P22+P31+P38+P46</f>
        <v>3240915.44129841</v>
      </c>
      <c r="Q49" s="181">
        <f>Q22+Q31+Q38+Q46</f>
        <v>3331628.89007833</v>
      </c>
      <c r="R49" s="181">
        <f>R22+R31+R38+R46</f>
        <v>4981256.71350679</v>
      </c>
      <c r="S49" s="181">
        <f>S22+S31+S38+S46</f>
        <v>5014839.19190964</v>
      </c>
      <c r="T49" s="181">
        <f>T22+T31+T38+T46</f>
        <v>5583010.66287635</v>
      </c>
      <c r="U49" s="181">
        <f>U22+U31+U38+U46</f>
        <v>5620032.74525098</v>
      </c>
      <c r="V49" s="181">
        <f>V22+V31+V38+V46</f>
        <v>5655947.72476402</v>
      </c>
      <c r="W49" s="181">
        <f>W22+W31+W38+W46</f>
        <v>6168891.86779452</v>
      </c>
      <c r="X49" s="181">
        <f>X22+X31+X38+X46</f>
        <v>6913128.64871868</v>
      </c>
      <c r="Y49" s="181">
        <f>Y22+Y31+Y38+Y46</f>
        <v>6951202.13874091</v>
      </c>
      <c r="Z49" s="181">
        <f>Z22+Z31+Z38+Z46</f>
        <v>7048750.32270456</v>
      </c>
      <c r="AA49" s="181">
        <f>AA22+AA31+AA38+AA46</f>
        <v>7090038.32934562</v>
      </c>
      <c r="AB49" s="181">
        <f>AB22+AB31+AB38+AB46</f>
        <v>7130111.82289272</v>
      </c>
      <c r="AC49" s="181">
        <f>AC22+AC31+AC38+AC46</f>
        <v>7229610.32251692</v>
      </c>
      <c r="AD49" s="181">
        <f>AD22+AD31+AD38+AD46</f>
        <v>8530345.99903064</v>
      </c>
      <c r="AE49" s="181">
        <f>AE22+AE31+AE38+AE46</f>
        <v>8574931.89483576</v>
      </c>
      <c r="AF49" s="181">
        <f>AF22+AF31+AF38+AF46</f>
        <v>8679004.23518207</v>
      </c>
      <c r="AG49" s="181">
        <f>AG22+AG31+AG38+AG46</f>
        <v>8726843.13130447</v>
      </c>
      <c r="AH49" s="181">
        <f>AH22+AH31+AH38+AH46</f>
        <v>9190991.95282226</v>
      </c>
      <c r="AI49" s="181">
        <f>AI22+AI31+AI38+AI46</f>
        <v>9297087.96667376</v>
      </c>
      <c r="AJ49" s="181">
        <f>AJ22+AJ31+AJ38+AJ46</f>
        <v>9346912.28829308</v>
      </c>
      <c r="AK49" s="181">
        <f>AK22+AK31+AK38+AK46</f>
        <v>10100509.2556649</v>
      </c>
      <c r="AL49" s="181">
        <f>AL22+AL31+AL38+AL46</f>
        <v>10208517.0698353</v>
      </c>
      <c r="AM49" s="181">
        <f>AM22+AM31+AM38+AM46</f>
        <v>10260217.7475887</v>
      </c>
      <c r="AN49" s="181">
        <f>AN22+AN31+AN38+AN46</f>
        <v>10310656.4969315</v>
      </c>
      <c r="AO49" s="181">
        <f>AO22+AO31+AO38+AO46</f>
        <v>10420472.3589634</v>
      </c>
      <c r="AP49" s="181">
        <f>AP22+AP31+AP38+AP46</f>
        <v>12138948.1618494</v>
      </c>
      <c r="AQ49" s="181">
        <f>AQ22+AQ31+AQ38+AQ46</f>
        <v>12608629.8975375</v>
      </c>
      <c r="AR49" s="181">
        <f>AR22+AR31+AR38+AR46</f>
        <v>13195157.3648044</v>
      </c>
      <c r="AS49" s="181">
        <f>AS22+AS31+AS38+AS46</f>
        <v>13250314.1243479</v>
      </c>
      <c r="AT49" s="181">
        <f>AT22+AT31+AT38+AT46</f>
        <v>13304146.8765693</v>
      </c>
      <c r="AU49" s="181">
        <f>AU22+AU31+AU38+AU46</f>
        <v>13417296.1056362</v>
      </c>
      <c r="AV49" s="181">
        <f>AV22+AV31+AV38+AV46</f>
        <v>13474046.0355413</v>
      </c>
      <c r="AW49" s="181">
        <f>AW22+AW31+AW38+AW46</f>
        <v>14234444.0088083</v>
      </c>
      <c r="AX49" s="181">
        <f>AX22+AX31+AX38+AX46</f>
        <v>14349131.1314325</v>
      </c>
      <c r="AY49" s="181">
        <f>AY22+AY31+AY38+AY46</f>
        <v>14824892.2297776</v>
      </c>
      <c r="AZ49" s="181">
        <f>AZ22+AZ31+AZ38+AZ46</f>
        <v>14881775.2300797</v>
      </c>
      <c r="BA49" s="181">
        <f>BA22+BA31+BA38+BA46</f>
        <v>14997921.804149</v>
      </c>
      <c r="BB49" s="181">
        <f>BB22+BB31+BB38+BB46</f>
        <v>16319839.1895393</v>
      </c>
      <c r="BC49" s="181">
        <f>BC22+BC31+BC38+BC46</f>
        <v>16385507.7896653</v>
      </c>
      <c r="BD49" s="181">
        <f>BD22+BD31+BD38+BD46</f>
        <v>16510564.8642111</v>
      </c>
      <c r="BE49" s="181">
        <f>BE22+BE31+BE38+BE46</f>
        <v>16579308.1787136</v>
      </c>
      <c r="BF49" s="181">
        <f>BF22+BF31+BF38+BF46</f>
        <v>17064281.5302379</v>
      </c>
      <c r="BG49" s="181">
        <f>BG22+BG31+BG38+BG46</f>
        <v>17191122.5361668</v>
      </c>
      <c r="BH49" s="181">
        <f>BH22+BH31+BH38+BH46</f>
        <v>17966629.308862</v>
      </c>
      <c r="BI49" s="181">
        <f>BI22+BI31+BI38+BI46</f>
        <v>18035845.9818147</v>
      </c>
      <c r="BJ49" s="181">
        <f>BJ22+BJ31+BJ38+BJ46</f>
        <v>18164410.4988841</v>
      </c>
      <c r="BK49" s="181">
        <f>BK22+BK31+BK38+BK46</f>
        <v>18236621.2893888</v>
      </c>
      <c r="BL49" s="181">
        <f>BL22+BL31+BL38+BL46</f>
        <v>18725022.794664</v>
      </c>
      <c r="BM49" s="181">
        <f>BM22+BM31+BM38+BM46</f>
        <v>18855253.2576894</v>
      </c>
      <c r="BN49" s="181">
        <f>SUM(F49:Q49)</f>
        <v>29445363.2176284</v>
      </c>
      <c r="BO49" s="181">
        <f>SUM(R49:AC49)</f>
        <v>75386820.4910217</v>
      </c>
      <c r="BP49" s="181">
        <f>SUM(AD49:AO49)</f>
        <v>113646490.397126</v>
      </c>
      <c r="BQ49" s="181">
        <f>SUM(AP49:BA49)</f>
        <v>164676702.970533</v>
      </c>
      <c r="BR49" s="181">
        <f>SUM(BB49:BM49)</f>
        <v>210034407.219837</v>
      </c>
    </row>
    <row r="50">
      <c r="C50" s="76" t="inlineStr">
        <is>
          <t>営業損益</t>
        </is>
      </c>
      <c r="F50" s="181">
        <f>'taXel全体'!AB5-F49</f>
        <v>-1725000.0</v>
      </c>
      <c r="G50" s="181">
        <f>'taXel全体'!AC5-G49</f>
        <v>-1726745.12011887</v>
      </c>
      <c r="H50" s="181">
        <f>'taXel全体'!AD5-H49</f>
        <v>-1688272.98581083</v>
      </c>
      <c r="I50" s="181">
        <f>'taXel全体'!AE5-I49</f>
        <v>-1434412.42918896</v>
      </c>
      <c r="J50" s="181">
        <f>'taXel全体'!AF5-J49</f>
        <v>-1194184.60619952</v>
      </c>
      <c r="K50" s="181">
        <f>'taXel全体'!AG5-K49</f>
        <v>-968952.012288737</v>
      </c>
      <c r="L50" s="181">
        <f>'taXel全体'!AH5-L49</f>
        <v>-780869.761131171</v>
      </c>
      <c r="M50" s="181">
        <f>'taXel全体'!AI5-M49</f>
        <v>-179861.568828007</v>
      </c>
      <c r="N50" s="181">
        <f>'taXel全体'!AJ5-N49</f>
        <v>412650.788870539</v>
      </c>
      <c r="O50" s="181">
        <f>'taXel全体'!AK5-O49</f>
        <v>573049.90630741</v>
      </c>
      <c r="P50" s="181">
        <f>'taXel全体'!AL5-P49</f>
        <v>873359.484568225</v>
      </c>
      <c r="Q50" s="181">
        <f>'taXel全体'!AM5-Q49</f>
        <v>1494667.113909</v>
      </c>
      <c r="R50" s="181">
        <f>'taXel全体'!AN5-R49</f>
        <v>213364.614538814</v>
      </c>
      <c r="S50" s="181">
        <f>'taXel全体'!AO5-S49</f>
        <v>871484.77371308</v>
      </c>
      <c r="T50" s="181">
        <f>'taXel全体'!AP5-T49</f>
        <v>1045124.12871419</v>
      </c>
      <c r="U50" s="181">
        <f>'taXel全体'!AQ5-U49</f>
        <v>1735683.30828802</v>
      </c>
      <c r="V50" s="181">
        <f>'taXel全体'!AR5-V49</f>
        <v>2090203.77048448</v>
      </c>
      <c r="W50" s="181">
        <f>'taXel全体'!AS5-W49</f>
        <v>2347290.58647154</v>
      </c>
      <c r="X50" s="181">
        <f>'taXel全体'!AT5-X49</f>
        <v>2358352.78288459</v>
      </c>
      <c r="Y50" s="181">
        <f>'taXel全体'!AU5-Y49</f>
        <v>3067940.08065282</v>
      </c>
      <c r="Z50" s="181">
        <f>'taXel全体'!AV5-Z49</f>
        <v>3767165.67986608</v>
      </c>
      <c r="AA50" s="181">
        <f>'taXel全体'!AW5-AA49</f>
        <v>4177446.60323839</v>
      </c>
      <c r="AB50" s="181">
        <f>'taXel全体'!AX5-AB49</f>
        <v>4910840.43610439</v>
      </c>
      <c r="AC50" s="181">
        <f>'taXel全体'!AY5-AC49</f>
        <v>5626606.97500729</v>
      </c>
      <c r="AD50" s="181">
        <f>'taXel全体'!AZ5-AD49</f>
        <v>5180934.24094876</v>
      </c>
      <c r="AE50" s="181">
        <f>'taXel全体'!BA5-AE49</f>
        <v>5647379.27254958</v>
      </c>
      <c r="AF50" s="181">
        <f>'taXel全体'!BB5-AF49</f>
        <v>6433941.10468764</v>
      </c>
      <c r="AG50" s="181">
        <f>'taXel全体'!BC5-AG49</f>
        <v>7262212.28723792</v>
      </c>
      <c r="AH50" s="181">
        <f>'taXel全体'!BD5-AH49</f>
        <v>7673554.8957316</v>
      </c>
      <c r="AI50" s="181">
        <f>'taXel全体'!BE5-AI49</f>
        <v>8478395.22195218</v>
      </c>
      <c r="AJ50" s="181">
        <f>'taXel全体'!BF5-AJ49</f>
        <v>9338407.78081284</v>
      </c>
      <c r="AK50" s="181">
        <f>'taXel全体'!BG5-AK49</f>
        <v>9149881.80742321</v>
      </c>
      <c r="AL50" s="181">
        <f>'taXel全体'!BH5-AL49</f>
        <v>9985825.4606346</v>
      </c>
      <c r="AM50" s="181">
        <f>'taXel全体'!BI5-AM49</f>
        <v>10862840.3164407</v>
      </c>
      <c r="AN50" s="181">
        <f>'taXel全体'!BJ5-AN49</f>
        <v>11732936.2406023</v>
      </c>
      <c r="AO50" s="181">
        <f>'taXel全体'!BK5-AO49</f>
        <v>12592197.5993487</v>
      </c>
      <c r="AP50" s="181">
        <f>'taXel全体'!BL5-AP49</f>
        <v>11497230.2692295</v>
      </c>
      <c r="AQ50" s="181">
        <f>'taXel全体'!BM5-AQ49</f>
        <v>11972548.3665678</v>
      </c>
      <c r="AR50" s="181">
        <f>'taXel全体'!BN5-AR49</f>
        <v>12372379.3206621</v>
      </c>
      <c r="AS50" s="181">
        <f>'taXel全体'!BO5-AS49</f>
        <v>13294621.2667062</v>
      </c>
      <c r="AT50" s="181">
        <f>'taXel全体'!BP5-AT49</f>
        <v>14209364.2991443</v>
      </c>
      <c r="AU50" s="181">
        <f>'taXel全体'!BQ5-AU49</f>
        <v>15105839.91839</v>
      </c>
      <c r="AV50" s="181">
        <f>'taXel全体'!BR5-AV49</f>
        <v>16049450.2807598</v>
      </c>
      <c r="AW50" s="181">
        <f>'taXel全体'!BS5-AW49</f>
        <v>15950289.4520002</v>
      </c>
      <c r="AX50" s="181">
        <f>'taXel全体'!BT5-AX49</f>
        <v>16867592.8542061</v>
      </c>
      <c r="AY50" s="181">
        <f>'taXel全体'!BU5-AY49</f>
        <v>17407405.3784774</v>
      </c>
      <c r="AZ50" s="181">
        <f>'taXel全体'!BV5-AZ49</f>
        <v>18363613.0217245</v>
      </c>
      <c r="BA50" s="181">
        <f>'taXel全体'!BW5-BA49</f>
        <v>19294165.7201827</v>
      </c>
      <c r="BB50" s="181">
        <f>'taXel全体'!BX5-BB49</f>
        <v>19141441.2628546</v>
      </c>
      <c r="BC50" s="181">
        <f>'taXel全体'!BY5-BC49</f>
        <v>20230226.2469033</v>
      </c>
      <c r="BD50" s="181">
        <f>'taXel全体'!BZ5-BD49</f>
        <v>21301622.8200573</v>
      </c>
      <c r="BE50" s="181">
        <f>'taXel全体'!CA5-BE49</f>
        <v>22421193.522679</v>
      </c>
      <c r="BF50" s="181">
        <f>'taXel全体'!CB5-BF49</f>
        <v>22786481.5621579</v>
      </c>
      <c r="BG50" s="181">
        <f>'taXel全体'!CC5-BG49</f>
        <v>23888533.7925416</v>
      </c>
      <c r="BH50" s="181">
        <f>'taXel全体'!CD5-BH49</f>
        <v>24326636.0316642</v>
      </c>
      <c r="BI50" s="181">
        <f>'taXel全体'!CE5-BI49</f>
        <v>25462751.866549</v>
      </c>
      <c r="BJ50" s="181">
        <f>'taXel全体'!CF5-BJ49</f>
        <v>26581068.9548517</v>
      </c>
      <c r="BK50" s="181">
        <f>'taXel全体'!CG5-BK49</f>
        <v>27747153.7452393</v>
      </c>
      <c r="BL50" s="181">
        <f>'taXel全体'!CH5-BL49</f>
        <v>28488553.32626</v>
      </c>
      <c r="BM50" s="181">
        <f>'taXel全体'!CI5-BM49</f>
        <v>29629457.2681167</v>
      </c>
      <c r="BN50" s="181">
        <f>SUM(F50:Q50)</f>
        <v>-6344571.18991091</v>
      </c>
      <c r="BO50" s="181">
        <f>SUM(R50:AC50)</f>
        <v>32211503.7399637</v>
      </c>
      <c r="BP50" s="181">
        <f>SUM(AD50:AO50)</f>
        <v>104338506.22837</v>
      </c>
      <c r="BQ50" s="181">
        <f>SUM(AP50:BA50)</f>
        <v>182384500.148051</v>
      </c>
      <c r="BR50" s="181">
        <f>SUM(BB50:BM50)</f>
        <v>292005120.399875</v>
      </c>
    </row>
    <row r="51">
      <c r="C51" s="76" t="inlineStr">
        <is>
          <t>累計損益</t>
        </is>
      </c>
      <c r="F51" s="181">
        <f>F50</f>
        <v>-1725000.0</v>
      </c>
      <c r="G51" s="181">
        <f>F51+G50</f>
        <v>-3451745.12011887</v>
      </c>
      <c r="H51" s="181">
        <f>G51+H50</f>
        <v>-5140018.1059297</v>
      </c>
      <c r="I51" s="181">
        <f>H51+I50</f>
        <v>-6574430.53511866</v>
      </c>
      <c r="J51" s="181">
        <f>I51+J50</f>
        <v>-7768615.14131818</v>
      </c>
      <c r="K51" s="181">
        <f>J51+K50</f>
        <v>-8737567.15360691</v>
      </c>
      <c r="L51" s="181">
        <f>K51+L50</f>
        <v>-9518436.91473808</v>
      </c>
      <c r="M51" s="181">
        <f>L51+M50</f>
        <v>-9698298.48356609</v>
      </c>
      <c r="N51" s="181">
        <f>M51+N50</f>
        <v>-9285647.69469555</v>
      </c>
      <c r="O51" s="181">
        <f>N51+O50</f>
        <v>-8712597.78838814</v>
      </c>
      <c r="P51" s="181">
        <f>O51+P50</f>
        <v>-7839238.30381992</v>
      </c>
      <c r="Q51" s="181">
        <f>P51+Q50</f>
        <v>-6344571.18991091</v>
      </c>
      <c r="R51" s="181">
        <f>Q51+R50</f>
        <v>-6131206.5753721</v>
      </c>
      <c r="S51" s="181">
        <f>R51+S50</f>
        <v>-5259721.80165902</v>
      </c>
      <c r="T51" s="181">
        <f>S51+T50</f>
        <v>-4214597.67294482</v>
      </c>
      <c r="U51" s="181">
        <f>T51+U50</f>
        <v>-2478914.3646568</v>
      </c>
      <c r="V51" s="181">
        <f>U51+V50</f>
        <v>-388710.594172315</v>
      </c>
      <c r="W51" s="181">
        <f>V51+W50</f>
        <v>1958579.99229923</v>
      </c>
      <c r="X51" s="181">
        <f>W51+X50</f>
        <v>4316932.77518382</v>
      </c>
      <c r="Y51" s="181">
        <f>X51+Y50</f>
        <v>7384872.85583664</v>
      </c>
      <c r="Z51" s="181">
        <f>Y51+Z50</f>
        <v>11152038.5357027</v>
      </c>
      <c r="AA51" s="181">
        <f>Z51+AA50</f>
        <v>15329485.1389411</v>
      </c>
      <c r="AB51" s="181">
        <f>AA51+AB50</f>
        <v>20240325.5750455</v>
      </c>
      <c r="AC51" s="181">
        <f>AB51+AC50</f>
        <v>25866932.5500528</v>
      </c>
      <c r="AD51" s="181">
        <f>AC51+AD50</f>
        <v>31047866.7910015</v>
      </c>
      <c r="AE51" s="181">
        <f>AD51+AE50</f>
        <v>36695246.0635511</v>
      </c>
      <c r="AF51" s="181">
        <f>AE51+AF50</f>
        <v>43129187.1682388</v>
      </c>
      <c r="AG51" s="181">
        <f>AF51+AG50</f>
        <v>50391399.4554767</v>
      </c>
      <c r="AH51" s="181">
        <f>AG51+AH50</f>
        <v>58064954.3512083</v>
      </c>
      <c r="AI51" s="181">
        <f>AH51+AI50</f>
        <v>66543349.5731605</v>
      </c>
      <c r="AJ51" s="181">
        <f>AI51+AJ50</f>
        <v>75881757.3539733</v>
      </c>
      <c r="AK51" s="181">
        <f>AJ51+AK50</f>
        <v>85031639.1613965</v>
      </c>
      <c r="AL51" s="181">
        <f>AK51+AL50</f>
        <v>95017464.6220311</v>
      </c>
      <c r="AM51" s="181">
        <f>AL51+AM50</f>
        <v>105880304.938472</v>
      </c>
      <c r="AN51" s="181">
        <f>AM51+AN50</f>
        <v>117613241.179074</v>
      </c>
      <c r="AO51" s="181">
        <f>AN51+AO50</f>
        <v>130205438.778423</v>
      </c>
      <c r="AP51" s="181">
        <f>AO51+AP50</f>
        <v>141702669.047652</v>
      </c>
      <c r="AQ51" s="181">
        <f>AP51+AQ50</f>
        <v>153675217.41422</v>
      </c>
      <c r="AR51" s="181">
        <f>AQ51+AR50</f>
        <v>166047596.734882</v>
      </c>
      <c r="AS51" s="181">
        <f>AR51+AS50</f>
        <v>179342218.001588</v>
      </c>
      <c r="AT51" s="181">
        <f>AS51+AT50</f>
        <v>193551582.300733</v>
      </c>
      <c r="AU51" s="181">
        <f>AT51+AU50</f>
        <v>208657422.219123</v>
      </c>
      <c r="AV51" s="181">
        <f>AU51+AV50</f>
        <v>224706872.499882</v>
      </c>
      <c r="AW51" s="181">
        <f>AV51+AW50</f>
        <v>240657161.951883</v>
      </c>
      <c r="AX51" s="181">
        <f>AW51+AX50</f>
        <v>257524754.806089</v>
      </c>
      <c r="AY51" s="181">
        <f>AX51+AY50</f>
        <v>274932160.184566</v>
      </c>
      <c r="AZ51" s="181">
        <f>AY51+AZ50</f>
        <v>293295773.206291</v>
      </c>
      <c r="BA51" s="181">
        <f>AZ51+BA50</f>
        <v>312589938.926473</v>
      </c>
      <c r="BB51" s="181">
        <f>BA51+BB50</f>
        <v>331731380.189328</v>
      </c>
      <c r="BC51" s="181">
        <f>BB51+BC50</f>
        <v>351961606.436231</v>
      </c>
      <c r="BD51" s="181">
        <f>BC51+BD50</f>
        <v>373263229.256289</v>
      </c>
      <c r="BE51" s="181">
        <f>BD51+BE50</f>
        <v>395684422.778968</v>
      </c>
      <c r="BF51" s="181">
        <f>BE51+BF50</f>
        <v>418470904.341126</v>
      </c>
      <c r="BG51" s="181">
        <f>BF51+BG50</f>
        <v>442359438.133667</v>
      </c>
      <c r="BH51" s="181">
        <f>BG51+BH50</f>
        <v>466686074.165331</v>
      </c>
      <c r="BI51" s="181">
        <f>BH51+BI50</f>
        <v>492148826.03188</v>
      </c>
      <c r="BJ51" s="181">
        <f>BI51+BJ50</f>
        <v>518729894.986732</v>
      </c>
      <c r="BK51" s="181">
        <f>BJ51+BK50</f>
        <v>546477048.731971</v>
      </c>
      <c r="BL51" s="181">
        <f>BK51+BL50</f>
        <v>574965602.058231</v>
      </c>
      <c r="BM51" s="181">
        <f>BL51+BM50</f>
        <v>604595059.326348</v>
      </c>
      <c r="BN51" s="181">
        <f>Q51</f>
        <v>-6344571.18991091</v>
      </c>
      <c r="BO51" s="181">
        <f>AC51</f>
        <v>25866932.5500528</v>
      </c>
      <c r="BP51" s="181">
        <f>AO51</f>
        <v>130205438.778423</v>
      </c>
      <c r="BQ51" s="181">
        <f>BA51</f>
        <v>312589938.926473</v>
      </c>
      <c r="BR51" s="181">
        <f>BM51</f>
        <v>604595059.326348</v>
      </c>
    </row>
    <row r="52">
      <c r="F52" s="181" t="n"/>
      <c r="G52" s="181" t="n"/>
      <c r="H52" s="181" t="n"/>
      <c r="I52" s="181" t="n"/>
      <c r="J52" s="181" t="n"/>
      <c r="K52" s="181" t="n"/>
      <c r="L52" s="181" t="n"/>
      <c r="M52" s="181" t="n"/>
      <c r="N52" s="181" t="n"/>
      <c r="O52" s="181" t="n"/>
      <c r="P52" s="181" t="n"/>
      <c r="Q52" s="181" t="n"/>
      <c r="R52" s="181" t="n"/>
      <c r="S52" s="181" t="n"/>
      <c r="T52" s="181" t="n"/>
      <c r="U52" s="181" t="n"/>
      <c r="V52" s="181" t="n"/>
      <c r="W52" s="181" t="n"/>
      <c r="X52" s="181" t="n"/>
      <c r="Y52" s="181" t="n"/>
      <c r="Z52" s="181" t="n"/>
      <c r="AA52" s="181" t="n"/>
      <c r="AB52" s="181" t="n"/>
      <c r="AC52" s="181" t="n"/>
      <c r="AD52" s="181" t="n"/>
      <c r="AE52" s="181" t="n"/>
      <c r="AF52" s="181" t="n"/>
      <c r="AG52" s="181" t="n"/>
      <c r="AH52" s="181" t="n"/>
      <c r="AI52" s="181" t="n"/>
      <c r="AJ52" s="181" t="n"/>
      <c r="AK52" s="181" t="n"/>
      <c r="AL52" s="181" t="n"/>
      <c r="AM52" s="181" t="n"/>
      <c r="AN52" s="181" t="n"/>
      <c r="AO52" s="181" t="n"/>
      <c r="AP52" s="181" t="n"/>
      <c r="AQ52" s="181" t="n"/>
      <c r="AR52" s="181" t="n"/>
      <c r="AS52" s="181" t="n"/>
      <c r="AT52" s="181" t="n"/>
      <c r="AU52" s="181" t="n"/>
      <c r="AV52" s="181" t="n"/>
      <c r="AW52" s="181" t="n"/>
      <c r="AX52" s="181" t="n"/>
      <c r="AY52" s="181" t="n"/>
      <c r="AZ52" s="181" t="n"/>
      <c r="BA52" s="181" t="n"/>
      <c r="BB52" s="181" t="n"/>
      <c r="BC52" s="181" t="n"/>
      <c r="BD52" s="181" t="n"/>
      <c r="BE52" s="181" t="n"/>
      <c r="BF52" s="181" t="n"/>
      <c r="BG52" s="181" t="n"/>
      <c r="BH52" s="181" t="n"/>
      <c r="BI52" s="181" t="n"/>
      <c r="BJ52" s="181" t="n"/>
      <c r="BK52" s="181" t="n"/>
      <c r="BL52" s="181" t="n"/>
      <c r="BM52" s="181" t="n"/>
      <c r="BN52" s="181" t="n"/>
      <c r="BO52" s="181" t="n"/>
      <c r="BP52" s="181" t="n"/>
      <c r="BQ52" s="181" t="n"/>
      <c r="BR52" s="181" t="n"/>
    </row>
    <row r="53">
      <c r="C53" s="76" t="inlineStr">
        <is>
          <t>調達（J-KISS）</t>
        </is>
      </c>
      <c r="D53" s="76" t="inlineStr">
        <is>
          <t>M1に3,000万（キャップ2.5〜3.0億）</t>
        </is>
      </c>
      <c r="F53" s="181" t="n">
        <v>30000000</v>
      </c>
      <c r="G53" s="181" t="n">
        <v>0</v>
      </c>
      <c r="H53" s="181" t="n">
        <v>0</v>
      </c>
      <c r="I53" s="181" t="n">
        <v>0</v>
      </c>
      <c r="J53" s="181" t="n">
        <v>0</v>
      </c>
      <c r="K53" s="181" t="n">
        <v>0</v>
      </c>
      <c r="L53" s="181" t="n">
        <v>0</v>
      </c>
      <c r="M53" s="181" t="n">
        <v>0</v>
      </c>
      <c r="N53" s="181" t="n">
        <v>0</v>
      </c>
      <c r="O53" s="181" t="n">
        <v>0</v>
      </c>
      <c r="P53" s="181" t="n">
        <v>0</v>
      </c>
      <c r="Q53" s="181" t="n">
        <v>0</v>
      </c>
      <c r="R53" s="181" t="n">
        <v>0</v>
      </c>
      <c r="S53" s="181" t="n">
        <v>0</v>
      </c>
      <c r="T53" s="181" t="n">
        <v>0</v>
      </c>
      <c r="U53" s="181" t="n">
        <v>0</v>
      </c>
      <c r="V53" s="181" t="n">
        <v>0</v>
      </c>
      <c r="W53" s="181" t="n">
        <v>0</v>
      </c>
      <c r="X53" s="181" t="n">
        <v>0</v>
      </c>
      <c r="Y53" s="181" t="n">
        <v>0</v>
      </c>
      <c r="Z53" s="181" t="n">
        <v>0</v>
      </c>
      <c r="AA53" s="181" t="n">
        <v>0</v>
      </c>
      <c r="AB53" s="181" t="n">
        <v>0</v>
      </c>
      <c r="AC53" s="181" t="n">
        <v>0</v>
      </c>
      <c r="AD53" s="181" t="n">
        <v>0</v>
      </c>
      <c r="AE53" s="181" t="n">
        <v>0</v>
      </c>
      <c r="AF53" s="181" t="n">
        <v>0</v>
      </c>
      <c r="AG53" s="181" t="n">
        <v>0</v>
      </c>
      <c r="AH53" s="181" t="n">
        <v>0</v>
      </c>
      <c r="AI53" s="181" t="n">
        <v>0</v>
      </c>
      <c r="AJ53" s="181" t="n">
        <v>0</v>
      </c>
      <c r="AK53" s="181" t="n">
        <v>0</v>
      </c>
      <c r="AL53" s="181" t="n">
        <v>0</v>
      </c>
      <c r="AM53" s="181" t="n">
        <v>0</v>
      </c>
      <c r="AN53" s="181" t="n">
        <v>0</v>
      </c>
      <c r="AO53" s="181" t="n">
        <v>0</v>
      </c>
      <c r="AP53" s="181" t="n">
        <v>0</v>
      </c>
      <c r="AQ53" s="181" t="n">
        <v>0</v>
      </c>
      <c r="AR53" s="181" t="n">
        <v>0</v>
      </c>
      <c r="AS53" s="181" t="n">
        <v>0</v>
      </c>
      <c r="AT53" s="181" t="n">
        <v>0</v>
      </c>
      <c r="AU53" s="181" t="n">
        <v>0</v>
      </c>
      <c r="AV53" s="181" t="n">
        <v>0</v>
      </c>
      <c r="AW53" s="181" t="n">
        <v>0</v>
      </c>
      <c r="AX53" s="181" t="n">
        <v>0</v>
      </c>
      <c r="AY53" s="181" t="n">
        <v>0</v>
      </c>
      <c r="AZ53" s="181" t="n">
        <v>0</v>
      </c>
      <c r="BA53" s="181" t="n">
        <v>0</v>
      </c>
      <c r="BB53" s="181" t="n">
        <v>0</v>
      </c>
      <c r="BC53" s="181" t="n">
        <v>0</v>
      </c>
      <c r="BD53" s="181" t="n">
        <v>0</v>
      </c>
      <c r="BE53" s="181" t="n">
        <v>0</v>
      </c>
      <c r="BF53" s="181" t="n">
        <v>0</v>
      </c>
      <c r="BG53" s="181" t="n">
        <v>0</v>
      </c>
      <c r="BH53" s="181" t="n">
        <v>0</v>
      </c>
      <c r="BI53" s="181" t="n">
        <v>0</v>
      </c>
      <c r="BJ53" s="181" t="n">
        <v>0</v>
      </c>
      <c r="BK53" s="181" t="n">
        <v>0</v>
      </c>
      <c r="BL53" s="181" t="n">
        <v>0</v>
      </c>
      <c r="BM53" s="181" t="n">
        <v>0</v>
      </c>
      <c r="BN53" s="181">
        <f>SUM(F53:Q53)</f>
        <v>30000000.0</v>
      </c>
      <c r="BO53" s="181">
        <f>SUM(R53:AC53)</f>
        <v>0.0</v>
      </c>
      <c r="BP53" s="181">
        <f>SUM(AD53:AO53)</f>
        <v>0.0</v>
      </c>
      <c r="BQ53" s="181">
        <f>SUM(AP53:BA53)</f>
        <v>0.0</v>
      </c>
      <c r="BR53" s="181">
        <f>SUM(BB53:BM53)</f>
        <v>0.0</v>
      </c>
    </row>
    <row r="54">
      <c r="C54" s="76" t="inlineStr">
        <is>
          <t>調達（シリーズA・仮置き）</t>
        </is>
      </c>
      <c r="D54" s="76" t="inlineStr">
        <is>
          <t>M15に1.5億＝実績次第の仮。0にすれば3,000万単独ケース</t>
        </is>
      </c>
      <c r="F54" s="181" t="n">
        <v>0</v>
      </c>
      <c r="G54" s="181" t="n">
        <v>0</v>
      </c>
      <c r="H54" s="181" t="n">
        <v>0</v>
      </c>
      <c r="I54" s="181" t="n">
        <v>0</v>
      </c>
      <c r="J54" s="181" t="n">
        <v>0</v>
      </c>
      <c r="K54" s="181" t="n">
        <v>0</v>
      </c>
      <c r="L54" s="181" t="n">
        <v>0</v>
      </c>
      <c r="M54" s="181" t="n">
        <v>0</v>
      </c>
      <c r="N54" s="181" t="n">
        <v>0</v>
      </c>
      <c r="O54" s="181" t="n">
        <v>0</v>
      </c>
      <c r="P54" s="181" t="n">
        <v>0</v>
      </c>
      <c r="Q54" s="181" t="n">
        <v>0</v>
      </c>
      <c r="R54" s="181" t="n">
        <v>0</v>
      </c>
      <c r="S54" s="181" t="n">
        <v>0</v>
      </c>
      <c r="T54" s="181" t="n">
        <v>150000000</v>
      </c>
      <c r="U54" s="181" t="n">
        <v>0</v>
      </c>
      <c r="V54" s="181" t="n">
        <v>0</v>
      </c>
      <c r="W54" s="181" t="n">
        <v>0</v>
      </c>
      <c r="X54" s="181" t="n">
        <v>0</v>
      </c>
      <c r="Y54" s="181" t="n">
        <v>0</v>
      </c>
      <c r="Z54" s="181" t="n">
        <v>0</v>
      </c>
      <c r="AA54" s="181" t="n">
        <v>0</v>
      </c>
      <c r="AB54" s="181" t="n">
        <v>0</v>
      </c>
      <c r="AC54" s="181" t="n">
        <v>0</v>
      </c>
      <c r="AD54" s="181" t="n">
        <v>0</v>
      </c>
      <c r="AE54" s="181" t="n">
        <v>0</v>
      </c>
      <c r="AF54" s="181" t="n">
        <v>0</v>
      </c>
      <c r="AG54" s="181" t="n">
        <v>0</v>
      </c>
      <c r="AH54" s="181" t="n">
        <v>0</v>
      </c>
      <c r="AI54" s="181" t="n">
        <v>0</v>
      </c>
      <c r="AJ54" s="181" t="n">
        <v>0</v>
      </c>
      <c r="AK54" s="181" t="n">
        <v>0</v>
      </c>
      <c r="AL54" s="181" t="n">
        <v>0</v>
      </c>
      <c r="AM54" s="181" t="n">
        <v>0</v>
      </c>
      <c r="AN54" s="181" t="n">
        <v>0</v>
      </c>
      <c r="AO54" s="181" t="n">
        <v>0</v>
      </c>
      <c r="AP54" s="181" t="n">
        <v>0</v>
      </c>
      <c r="AQ54" s="181" t="n">
        <v>0</v>
      </c>
      <c r="AR54" s="181" t="n">
        <v>0</v>
      </c>
      <c r="AS54" s="181" t="n">
        <v>0</v>
      </c>
      <c r="AT54" s="181" t="n">
        <v>0</v>
      </c>
      <c r="AU54" s="181" t="n">
        <v>0</v>
      </c>
      <c r="AV54" s="181" t="n">
        <v>0</v>
      </c>
      <c r="AW54" s="181" t="n">
        <v>0</v>
      </c>
      <c r="AX54" s="181" t="n">
        <v>0</v>
      </c>
      <c r="AY54" s="181" t="n">
        <v>0</v>
      </c>
      <c r="AZ54" s="181" t="n">
        <v>0</v>
      </c>
      <c r="BA54" s="181" t="n">
        <v>0</v>
      </c>
      <c r="BB54" s="181" t="n">
        <v>0</v>
      </c>
      <c r="BC54" s="181" t="n">
        <v>0</v>
      </c>
      <c r="BD54" s="181" t="n">
        <v>0</v>
      </c>
      <c r="BE54" s="181" t="n">
        <v>0</v>
      </c>
      <c r="BF54" s="181" t="n">
        <v>0</v>
      </c>
      <c r="BG54" s="181" t="n">
        <v>0</v>
      </c>
      <c r="BH54" s="181" t="n">
        <v>0</v>
      </c>
      <c r="BI54" s="181" t="n">
        <v>0</v>
      </c>
      <c r="BJ54" s="181" t="n">
        <v>0</v>
      </c>
      <c r="BK54" s="181" t="n">
        <v>0</v>
      </c>
      <c r="BL54" s="181" t="n">
        <v>0</v>
      </c>
      <c r="BM54" s="181" t="n">
        <v>0</v>
      </c>
      <c r="BN54" s="181">
        <f>SUM(F54:Q54)</f>
        <v>0.0</v>
      </c>
      <c r="BO54" s="181">
        <f>SUM(R54:AC54)</f>
        <v>150000000.0</v>
      </c>
      <c r="BP54" s="181">
        <f>SUM(AD54:AO54)</f>
        <v>0.0</v>
      </c>
      <c r="BQ54" s="181">
        <f>SUM(AP54:BA54)</f>
        <v>0.0</v>
      </c>
      <c r="BR54" s="181">
        <f>SUM(BB54:BM54)</f>
        <v>0.0</v>
      </c>
    </row>
    <row r="55">
      <c r="C55" s="76" t="inlineStr">
        <is>
          <t>現金残高</t>
        </is>
      </c>
      <c r="D55" s="76" t="inlineStr">
        <is>
          <t>期首現金500万（既存資本・要実数差し替え）+損益+調達</t>
        </is>
      </c>
      <c r="F55" s="181">
        <f>5000000+F50+F53+F54</f>
        <v>33275000.0</v>
      </c>
      <c r="G55" s="181">
        <f>F55+G50+G53+G54</f>
        <v>31548254.8798811</v>
      </c>
      <c r="H55" s="181">
        <f>G55+H50+H53+H54</f>
        <v>29859981.8940703</v>
      </c>
      <c r="I55" s="181">
        <f>H55+I50+I53+I54</f>
        <v>28425569.4648813</v>
      </c>
      <c r="J55" s="181">
        <f>I55+J50+J53+J54</f>
        <v>27231384.8586818</v>
      </c>
      <c r="K55" s="181">
        <f>J55+K50+K53+K54</f>
        <v>26262432.8463931</v>
      </c>
      <c r="L55" s="181">
        <f>K55+L50+L53+L54</f>
        <v>25481563.0852619</v>
      </c>
      <c r="M55" s="181">
        <f>L55+M50+M53+M54</f>
        <v>25301701.5164339</v>
      </c>
      <c r="N55" s="181">
        <f>M55+N50+N53+N54</f>
        <v>25714352.3053045</v>
      </c>
      <c r="O55" s="181">
        <f>N55+O50+O53+O54</f>
        <v>26287402.2116119</v>
      </c>
      <c r="P55" s="181">
        <f>O55+P50+P53+P54</f>
        <v>27160761.6961801</v>
      </c>
      <c r="Q55" s="181">
        <f>P55+Q50+Q53+Q54</f>
        <v>28655428.8100891</v>
      </c>
      <c r="R55" s="181">
        <f>Q55+R50+R53+R54</f>
        <v>28868793.4246279</v>
      </c>
      <c r="S55" s="181">
        <f>R55+S50+S53+S54</f>
        <v>29740278.198341</v>
      </c>
      <c r="T55" s="181">
        <f>S55+T50+T53+T54</f>
        <v>180785402.327055</v>
      </c>
      <c r="U55" s="181">
        <f>T55+U50+U53+U54</f>
        <v>182521085.635343</v>
      </c>
      <c r="V55" s="181">
        <f>U55+V50+V53+V54</f>
        <v>184611289.405828</v>
      </c>
      <c r="W55" s="181">
        <f>V55+W50+W53+W54</f>
        <v>186958579.992299</v>
      </c>
      <c r="X55" s="181">
        <f>W55+X50+X53+X54</f>
        <v>189316932.775184</v>
      </c>
      <c r="Y55" s="181">
        <f>X55+Y50+Y53+Y54</f>
        <v>192384872.855837</v>
      </c>
      <c r="Z55" s="181">
        <f>Y55+Z50+Z53+Z54</f>
        <v>196152038.535703</v>
      </c>
      <c r="AA55" s="181">
        <f>Z55+AA50+AA53+AA54</f>
        <v>200329485.138941</v>
      </c>
      <c r="AB55" s="181">
        <f>AA55+AB50+AB53+AB54</f>
        <v>205240325.575046</v>
      </c>
      <c r="AC55" s="181">
        <f>AB55+AC50+AC53+AC54</f>
        <v>210866932.550053</v>
      </c>
      <c r="AD55" s="181">
        <f>AC55+AD50+AD53+AD54</f>
        <v>216047866.791002</v>
      </c>
      <c r="AE55" s="181">
        <f>AD55+AE50+AE53+AE54</f>
        <v>221695246.063551</v>
      </c>
      <c r="AF55" s="181">
        <f>AE55+AF50+AF53+AF54</f>
        <v>228129187.168239</v>
      </c>
      <c r="AG55" s="181">
        <f>AF55+AG50+AG53+AG54</f>
        <v>235391399.455477</v>
      </c>
      <c r="AH55" s="181">
        <f>AG55+AH50+AH53+AH54</f>
        <v>243064954.351208</v>
      </c>
      <c r="AI55" s="181">
        <f>AH55+AI50+AI53+AI54</f>
        <v>251543349.57316</v>
      </c>
      <c r="AJ55" s="181">
        <f>AI55+AJ50+AJ53+AJ54</f>
        <v>260881757.353973</v>
      </c>
      <c r="AK55" s="181">
        <f>AJ55+AK50+AK53+AK54</f>
        <v>270031639.161397</v>
      </c>
      <c r="AL55" s="181">
        <f>AK55+AL50+AL53+AL54</f>
        <v>280017464.622031</v>
      </c>
      <c r="AM55" s="181">
        <f>AL55+AM50+AM53+AM54</f>
        <v>290880304.938472</v>
      </c>
      <c r="AN55" s="181">
        <f>AM55+AN50+AN53+AN54</f>
        <v>302613241.179074</v>
      </c>
      <c r="AO55" s="181">
        <f>AN55+AO50+AO53+AO54</f>
        <v>315205438.778423</v>
      </c>
      <c r="AP55" s="181">
        <f>AO55+AP50+AP53+AP54</f>
        <v>326702669.047652</v>
      </c>
      <c r="AQ55" s="181">
        <f>AP55+AQ50+AQ53+AQ54</f>
        <v>338675217.41422</v>
      </c>
      <c r="AR55" s="181">
        <f>AQ55+AR50+AR53+AR54</f>
        <v>351047596.734882</v>
      </c>
      <c r="AS55" s="181">
        <f>AR55+AS50+AS53+AS54</f>
        <v>364342218.001588</v>
      </c>
      <c r="AT55" s="181">
        <f>AS55+AT50+AT53+AT54</f>
        <v>378551582.300733</v>
      </c>
      <c r="AU55" s="181">
        <f>AT55+AU50+AU53+AU54</f>
        <v>393657422.219123</v>
      </c>
      <c r="AV55" s="181">
        <f>AU55+AV50+AV53+AV54</f>
        <v>409706872.499882</v>
      </c>
      <c r="AW55" s="181">
        <f>AV55+AW50+AW53+AW54</f>
        <v>425657161.951883</v>
      </c>
      <c r="AX55" s="181">
        <f>AW55+AX50+AX53+AX54</f>
        <v>442524754.806089</v>
      </c>
      <c r="AY55" s="181">
        <f>AX55+AY50+AY53+AY54</f>
        <v>459932160.184566</v>
      </c>
      <c r="AZ55" s="181">
        <f>AY55+AZ50+AZ53+AZ54</f>
        <v>478295773.206291</v>
      </c>
      <c r="BA55" s="181">
        <f>AZ55+BA50+BA53+BA54</f>
        <v>497589938.926473</v>
      </c>
      <c r="BB55" s="181">
        <f>BA55+BB50+BB53+BB54</f>
        <v>516731380.189328</v>
      </c>
      <c r="BC55" s="181">
        <f>BB55+BC50+BC53+BC54</f>
        <v>536961606.436231</v>
      </c>
      <c r="BD55" s="181">
        <f>BC55+BD50+BD53+BD54</f>
        <v>558263229.256288</v>
      </c>
      <c r="BE55" s="181">
        <f>BD55+BE50+BE53+BE54</f>
        <v>580684422.778968</v>
      </c>
      <c r="BF55" s="181">
        <f>BE55+BF50+BF53+BF54</f>
        <v>603470904.341126</v>
      </c>
      <c r="BG55" s="181">
        <f>BF55+BG50+BG53+BG54</f>
        <v>627359438.133667</v>
      </c>
      <c r="BH55" s="181">
        <f>BG55+BH50+BH53+BH54</f>
        <v>651686074.165331</v>
      </c>
      <c r="BI55" s="181">
        <f>BH55+BI50+BI53+BI54</f>
        <v>677148826.03188</v>
      </c>
      <c r="BJ55" s="181">
        <f>BI55+BJ50+BJ53+BJ54</f>
        <v>703729894.986732</v>
      </c>
      <c r="BK55" s="181">
        <f>BJ55+BK50+BK53+BK54</f>
        <v>731477048.731971</v>
      </c>
      <c r="BL55" s="181">
        <f>BK55+BL50+BL53+BL54</f>
        <v>759965602.058231</v>
      </c>
      <c r="BM55" s="181">
        <f>BL55+BM50+BM53+BM54</f>
        <v>789595059.326348</v>
      </c>
      <c r="BN55" s="181">
        <f>Q55</f>
        <v>28655428.8100891</v>
      </c>
      <c r="BO55" s="181">
        <f>AC55</f>
        <v>210866932.550053</v>
      </c>
      <c r="BP55" s="181">
        <f>AO55</f>
        <v>315205438.778423</v>
      </c>
      <c r="BQ55" s="181">
        <f>BA55</f>
        <v>497589938.926473</v>
      </c>
      <c r="BR55" s="181">
        <f>BM55</f>
        <v>789595059.326348</v>
      </c>
    </row>
  </sheetData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145" min="1" max="1"/>
    <col width="3" customWidth="1" style="145" min="2" max="2"/>
    <col width="26" customWidth="1" style="145" min="3" max="3"/>
    <col width="4" customWidth="1" style="145" min="4" max="4"/>
    <col width="15" customWidth="1" style="145" min="5" max="5"/>
    <col width="15" customWidth="1" style="145" min="6" max="6"/>
    <col width="15" customWidth="1" style="145" min="7" max="7"/>
    <col width="15" customWidth="1" style="145" min="8" max="8"/>
    <col width="15" customWidth="1" style="145" min="9" max="9"/>
    <col width="15" customWidth="1" style="145" min="10" max="10"/>
    <col width="60" customWidth="1" style="145" min="11" max="11"/>
  </cols>
  <sheetData>
    <row r="1">
      <c r="B1" s="586" t="inlineStr">
        <is>
          <t>販管費予算（年額・5カ年）</t>
        </is>
      </c>
    </row>
    <row r="2">
      <c r="B2" s="587" t="inlineStr">
        <is>
          <t>黄色セル（青字）が入力値。年額を入力すると taXel全体 の月次（年額÷12、円未満四捨五入、端数は各年度12ヶ月目で調整）→ 年次 → 5カ年合計 に自動連動します。</t>
        </is>
      </c>
    </row>
    <row r="3">
      <c r="C3" s="588" t="inlineStr">
        <is>
          <t>勘定科目</t>
        </is>
      </c>
      <c r="E3" s="588" t="inlineStr">
        <is>
          <t>Y1</t>
        </is>
      </c>
      <c r="F3" s="588" t="inlineStr">
        <is>
          <t>Y2</t>
        </is>
      </c>
      <c r="G3" s="588" t="inlineStr">
        <is>
          <t>Y3</t>
        </is>
      </c>
      <c r="H3" s="588" t="inlineStr">
        <is>
          <t>Y4</t>
        </is>
      </c>
      <c r="I3" s="588" t="inlineStr">
        <is>
          <t>Y5</t>
        </is>
      </c>
      <c r="J3" s="588" t="inlineStr">
        <is>
          <t>5カ年合計</t>
        </is>
      </c>
      <c r="K3" s="588" t="inlineStr">
        <is>
          <t>メモ</t>
        </is>
      </c>
    </row>
    <row r="4">
      <c r="C4" s="587" t="inlineStr">
        <is>
          <t>会計年度（taXel全体と連動）</t>
        </is>
      </c>
      <c r="E4" s="589" t="str">
        <f>'taXel全体'!E4</f>
        <v>23年6月期</v>
      </c>
      <c r="F4" s="589" t="str">
        <f>'taXel全体'!F4</f>
        <v>24年6月期</v>
      </c>
      <c r="G4" s="589" t="str">
        <f>'taXel全体'!G4</f>
        <v>25年6月期</v>
      </c>
      <c r="H4" s="589" t="str">
        <f>'taXel全体'!H4</f>
        <v>26年6月期</v>
      </c>
      <c r="I4" s="589" t="str">
        <f>'taXel全体'!I4</f>
        <v>27年6月期</v>
      </c>
    </row>
    <row r="5">
      <c r="C5" s="590" t="inlineStr">
        <is>
          <t>役員報酬</t>
        </is>
      </c>
      <c r="E5" s="591" t="n">
        <v>12000000</v>
      </c>
      <c r="F5" s="591" t="n">
        <v>15000000</v>
      </c>
      <c r="G5" s="591" t="n">
        <v>18000000</v>
      </c>
      <c r="H5" s="591" t="n">
        <v>24000000</v>
      </c>
      <c r="I5" s="591" t="n">
        <v>30000000</v>
      </c>
      <c r="J5" s="592">
        <f>SUM(E5:I5)</f>
        <v>99000000.0</v>
      </c>
      <c r="K5" s="593" t="inlineStr">
        <is>
          <t>ユーザー指定の販管費予算（正）</t>
        </is>
      </c>
    </row>
    <row r="6">
      <c r="C6" s="590" t="inlineStr">
        <is>
          <t>給与手当</t>
        </is>
      </c>
      <c r="E6" s="591" t="n">
        <v>12000000</v>
      </c>
      <c r="F6" s="591" t="n">
        <v>30000000</v>
      </c>
      <c r="G6" s="591" t="n">
        <v>60000000</v>
      </c>
      <c r="H6" s="591" t="n">
        <v>90000000</v>
      </c>
      <c r="I6" s="591" t="n">
        <v>150000000</v>
      </c>
      <c r="J6" s="592">
        <f>SUM(E6:I6)</f>
        <v>342000000.0</v>
      </c>
      <c r="K6" s="593" t="inlineStr">
        <is>
          <t>ユーザー指定の販管費予算（正）</t>
        </is>
      </c>
    </row>
    <row r="7">
      <c r="C7" s="590" t="inlineStr">
        <is>
          <t>賞与手当</t>
        </is>
      </c>
      <c r="E7" s="591" t="n">
        <v>0</v>
      </c>
      <c r="F7" s="591" t="n">
        <v>3000000</v>
      </c>
      <c r="G7" s="591" t="n">
        <v>6000000</v>
      </c>
      <c r="H7" s="591" t="n">
        <v>9000000</v>
      </c>
      <c r="I7" s="591" t="n">
        <v>15000000</v>
      </c>
      <c r="J7" s="592">
        <f>SUM(E7:I7)</f>
        <v>33000000.0</v>
      </c>
      <c r="K7" s="593" t="inlineStr">
        <is>
          <t>ユーザー指定の販管費予算（正）</t>
        </is>
      </c>
    </row>
    <row r="8">
      <c r="C8" s="590" t="inlineStr">
        <is>
          <t>法定福利費</t>
        </is>
      </c>
      <c r="E8" s="591" t="n">
        <v>3600000</v>
      </c>
      <c r="F8" s="591" t="n">
        <v>7200000</v>
      </c>
      <c r="G8" s="591" t="n">
        <v>14400000</v>
      </c>
      <c r="H8" s="591" t="n">
        <v>22000000</v>
      </c>
      <c r="I8" s="591" t="n">
        <v>38000000</v>
      </c>
      <c r="J8" s="592">
        <f>SUM(E8:I8)</f>
        <v>85200000.0</v>
      </c>
      <c r="K8" s="593" t="inlineStr">
        <is>
          <t>ユーザー指定の販管費予算（正）</t>
        </is>
      </c>
    </row>
    <row r="9">
      <c r="C9" s="590" t="inlineStr">
        <is>
          <t>福利厚生費</t>
        </is>
      </c>
      <c r="E9" s="591" t="n">
        <v>300000</v>
      </c>
      <c r="F9" s="591" t="n">
        <v>600000</v>
      </c>
      <c r="G9" s="591" t="n">
        <v>1200000</v>
      </c>
      <c r="H9" s="591" t="n">
        <v>2000000</v>
      </c>
      <c r="I9" s="591" t="n">
        <v>3500000</v>
      </c>
      <c r="J9" s="592">
        <f>SUM(E9:I9)</f>
        <v>7600000.0</v>
      </c>
      <c r="K9" s="593" t="inlineStr">
        <is>
          <t>ユーザー指定の販管費予算（正）</t>
        </is>
      </c>
    </row>
    <row r="10">
      <c r="C10" s="590" t="inlineStr">
        <is>
          <t>採用教育費</t>
        </is>
      </c>
      <c r="E10" s="591" t="n">
        <v>2000000</v>
      </c>
      <c r="F10" s="591" t="n">
        <v>5000000</v>
      </c>
      <c r="G10" s="591" t="n">
        <v>10000000</v>
      </c>
      <c r="H10" s="591" t="n">
        <v>15000000</v>
      </c>
      <c r="I10" s="591" t="n">
        <v>25000000</v>
      </c>
      <c r="J10" s="592">
        <f>SUM(E10:I10)</f>
        <v>57000000.0</v>
      </c>
      <c r="K10" s="593" t="inlineStr">
        <is>
          <t>ユーザー指定の販管費予算（正）</t>
        </is>
      </c>
    </row>
    <row r="11">
      <c r="C11" s="590" t="inlineStr">
        <is>
          <t>広告宣伝費</t>
        </is>
      </c>
      <c r="E11" s="591" t="n">
        <v>3000000</v>
      </c>
      <c r="F11" s="591" t="n">
        <v>8000000</v>
      </c>
      <c r="G11" s="591" t="n">
        <v>20000000</v>
      </c>
      <c r="H11" s="591" t="n">
        <v>40000000</v>
      </c>
      <c r="I11" s="591" t="n">
        <v>80000000</v>
      </c>
      <c r="J11" s="592">
        <f>SUM(E11:I11)</f>
        <v>151000000.0</v>
      </c>
      <c r="K11" s="593" t="inlineStr">
        <is>
          <t>ユーザー指定の販管費予算（正）</t>
        </is>
      </c>
    </row>
    <row r="12">
      <c r="C12" s="590" t="inlineStr">
        <is>
          <t>荷造包装費</t>
        </is>
      </c>
      <c r="E12" s="591" t="n">
        <v>0</v>
      </c>
      <c r="F12" s="591" t="n">
        <v>0</v>
      </c>
      <c r="G12" s="591" t="n">
        <v>100000</v>
      </c>
      <c r="H12" s="591" t="n">
        <v>100000</v>
      </c>
      <c r="I12" s="591" t="n">
        <v>100000</v>
      </c>
      <c r="J12" s="592">
        <f>SUM(E12:I12)</f>
        <v>300000.0</v>
      </c>
      <c r="K12" s="593" t="inlineStr">
        <is>
          <t>ユーザー指定の販管費予算（正）</t>
        </is>
      </c>
    </row>
    <row r="13">
      <c r="C13" s="590" t="inlineStr">
        <is>
          <t>外注費</t>
        </is>
      </c>
      <c r="E13" s="591" t="n">
        <v>6000000</v>
      </c>
      <c r="F13" s="591" t="n">
        <v>12000000</v>
      </c>
      <c r="G13" s="591" t="n">
        <v>18000000</v>
      </c>
      <c r="H13" s="591" t="n">
        <v>24000000</v>
      </c>
      <c r="I13" s="591" t="n">
        <v>30000000</v>
      </c>
      <c r="J13" s="592">
        <f>SUM(E13:I13)</f>
        <v>90000000.0</v>
      </c>
      <c r="K13" s="593" t="inlineStr">
        <is>
          <t>ユーザー指定の販管費予算（正）</t>
        </is>
      </c>
    </row>
    <row r="14">
      <c r="C14" s="590" t="inlineStr">
        <is>
          <t>交際費</t>
        </is>
      </c>
      <c r="E14" s="591" t="n">
        <v>300000</v>
      </c>
      <c r="F14" s="591" t="n">
        <v>500000</v>
      </c>
      <c r="G14" s="591" t="n">
        <v>1000000</v>
      </c>
      <c r="H14" s="591" t="n">
        <v>1500000</v>
      </c>
      <c r="I14" s="591" t="n">
        <v>2500000</v>
      </c>
      <c r="J14" s="592">
        <f>SUM(E14:I14)</f>
        <v>5800000.0</v>
      </c>
      <c r="K14" s="593" t="inlineStr">
        <is>
          <t>ユーザー指定の販管費予算（正）</t>
        </is>
      </c>
    </row>
    <row r="15">
      <c r="C15" s="590" t="inlineStr">
        <is>
          <t>会議費</t>
        </is>
      </c>
      <c r="E15" s="591" t="n">
        <v>200000</v>
      </c>
      <c r="F15" s="591" t="n">
        <v>300000</v>
      </c>
      <c r="G15" s="591" t="n">
        <v>500000</v>
      </c>
      <c r="H15" s="591" t="n">
        <v>1000000</v>
      </c>
      <c r="I15" s="591" t="n">
        <v>2000000</v>
      </c>
      <c r="J15" s="592">
        <f>SUM(E15:I15)</f>
        <v>4000000.0</v>
      </c>
      <c r="K15" s="593" t="inlineStr">
        <is>
          <t>ユーザー指定の販管費予算（正）</t>
        </is>
      </c>
    </row>
    <row r="16">
      <c r="C16" s="590" t="inlineStr">
        <is>
          <t>旅費交通費</t>
        </is>
      </c>
      <c r="E16" s="591" t="n">
        <v>1000000</v>
      </c>
      <c r="F16" s="591" t="n">
        <v>2000000</v>
      </c>
      <c r="G16" s="591" t="n">
        <v>4000000</v>
      </c>
      <c r="H16" s="591" t="n">
        <v>6000000</v>
      </c>
      <c r="I16" s="591" t="n">
        <v>10000000</v>
      </c>
      <c r="J16" s="592">
        <f>SUM(E16:I16)</f>
        <v>23000000.0</v>
      </c>
      <c r="K16" s="593" t="inlineStr">
        <is>
          <t>ユーザー指定の販管費予算（正）</t>
        </is>
      </c>
    </row>
    <row r="17">
      <c r="C17" s="590" t="inlineStr">
        <is>
          <t>通信費</t>
        </is>
      </c>
      <c r="E17" s="591" t="n">
        <v>300000</v>
      </c>
      <c r="F17" s="591" t="n">
        <v>600000</v>
      </c>
      <c r="G17" s="591" t="n">
        <v>900000</v>
      </c>
      <c r="H17" s="591" t="n">
        <v>1500000</v>
      </c>
      <c r="I17" s="591" t="n">
        <v>2500000</v>
      </c>
      <c r="J17" s="592">
        <f>SUM(E17:I17)</f>
        <v>5800000.0</v>
      </c>
      <c r="K17" s="593" t="inlineStr">
        <is>
          <t>ユーザー指定の販管費予算（正）</t>
        </is>
      </c>
    </row>
    <row r="18">
      <c r="C18" s="590" t="inlineStr">
        <is>
          <t>消耗品費</t>
        </is>
      </c>
      <c r="E18" s="591" t="n">
        <v>200000</v>
      </c>
      <c r="F18" s="591" t="n">
        <v>400000</v>
      </c>
      <c r="G18" s="591" t="n">
        <v>600000</v>
      </c>
      <c r="H18" s="591" t="n">
        <v>1000000</v>
      </c>
      <c r="I18" s="591" t="n">
        <v>2000000</v>
      </c>
      <c r="J18" s="592">
        <f>SUM(E18:I18)</f>
        <v>4200000.0</v>
      </c>
      <c r="K18" s="593" t="inlineStr">
        <is>
          <t>ユーザー指定の販管費予算（正）</t>
        </is>
      </c>
    </row>
    <row r="19">
      <c r="C19" s="590" t="inlineStr">
        <is>
          <t>水道光熱費</t>
        </is>
      </c>
      <c r="E19" s="591" t="n">
        <v>300000</v>
      </c>
      <c r="F19" s="591" t="n">
        <v>500000</v>
      </c>
      <c r="G19" s="591" t="n">
        <v>800000</v>
      </c>
      <c r="H19" s="591" t="n">
        <v>1200000</v>
      </c>
      <c r="I19" s="591" t="n">
        <v>2000000</v>
      </c>
      <c r="J19" s="592">
        <f>SUM(E19:I19)</f>
        <v>4800000.0</v>
      </c>
      <c r="K19" s="593" t="inlineStr">
        <is>
          <t>ユーザー指定の販管費予算（正）</t>
        </is>
      </c>
    </row>
    <row r="20">
      <c r="C20" s="590" t="inlineStr">
        <is>
          <t>保険料</t>
        </is>
      </c>
      <c r="E20" s="591" t="n">
        <v>500000</v>
      </c>
      <c r="F20" s="591" t="n">
        <v>700000</v>
      </c>
      <c r="G20" s="591" t="n">
        <v>1000000</v>
      </c>
      <c r="H20" s="591" t="n">
        <v>1500000</v>
      </c>
      <c r="I20" s="591" t="n">
        <v>2500000</v>
      </c>
      <c r="J20" s="592">
        <f>SUM(E20:I20)</f>
        <v>6200000.0</v>
      </c>
      <c r="K20" s="593" t="inlineStr">
        <is>
          <t>ユーザー指定の販管費予算（正）</t>
        </is>
      </c>
    </row>
    <row r="21">
      <c r="C21" s="590" t="inlineStr">
        <is>
          <t>支払リース料</t>
        </is>
      </c>
      <c r="E21" s="591" t="n">
        <v>0</v>
      </c>
      <c r="F21" s="591" t="n">
        <v>300000</v>
      </c>
      <c r="G21" s="591" t="n">
        <v>600000</v>
      </c>
      <c r="H21" s="591" t="n">
        <v>1000000</v>
      </c>
      <c r="I21" s="591" t="n">
        <v>2000000</v>
      </c>
      <c r="J21" s="592">
        <f>SUM(E21:I21)</f>
        <v>3900000.0</v>
      </c>
      <c r="K21" s="593" t="inlineStr">
        <is>
          <t>ユーザー指定の販管費予算（正）</t>
        </is>
      </c>
    </row>
    <row r="22">
      <c r="C22" s="590" t="inlineStr">
        <is>
          <t>修繕費</t>
        </is>
      </c>
      <c r="E22" s="591" t="n">
        <v>0</v>
      </c>
      <c r="F22" s="591" t="n">
        <v>0</v>
      </c>
      <c r="G22" s="591" t="n">
        <v>100000</v>
      </c>
      <c r="H22" s="591" t="n">
        <v>200000</v>
      </c>
      <c r="I22" s="591" t="n">
        <v>500000</v>
      </c>
      <c r="J22" s="592">
        <f>SUM(E22:I22)</f>
        <v>800000.0</v>
      </c>
      <c r="K22" s="593" t="inlineStr">
        <is>
          <t>ユーザー指定の販管費予算（正）</t>
        </is>
      </c>
    </row>
    <row r="23">
      <c r="C23" s="590" t="inlineStr">
        <is>
          <t>新聞図書費</t>
        </is>
      </c>
      <c r="E23" s="591" t="n">
        <v>200000</v>
      </c>
      <c r="F23" s="591" t="n">
        <v>300000</v>
      </c>
      <c r="G23" s="591" t="n">
        <v>500000</v>
      </c>
      <c r="H23" s="591" t="n">
        <v>700000</v>
      </c>
      <c r="I23" s="591" t="n">
        <v>1000000</v>
      </c>
      <c r="J23" s="592">
        <f>SUM(E23:I23)</f>
        <v>2700000.0</v>
      </c>
      <c r="K23" s="593" t="inlineStr">
        <is>
          <t>ユーザー指定の販管費予算（正）</t>
        </is>
      </c>
    </row>
    <row r="24">
      <c r="C24" s="590" t="inlineStr">
        <is>
          <t>支払手数料</t>
        </is>
      </c>
      <c r="E24" s="591" t="n">
        <v>1000000</v>
      </c>
      <c r="F24" s="591" t="n">
        <v>2000000</v>
      </c>
      <c r="G24" s="591" t="n">
        <v>5000000</v>
      </c>
      <c r="H24" s="591" t="n">
        <v>8000000</v>
      </c>
      <c r="I24" s="591" t="n">
        <v>15000000</v>
      </c>
      <c r="J24" s="592">
        <f>SUM(E24:I24)</f>
        <v>31000000.0</v>
      </c>
      <c r="K24" s="593" t="inlineStr">
        <is>
          <t>ユーザー指定の販管費予算（正）</t>
        </is>
      </c>
    </row>
    <row r="25">
      <c r="C25" s="590" t="inlineStr">
        <is>
          <t>地代家賃</t>
        </is>
      </c>
      <c r="E25" s="591" t="n">
        <v>2400000</v>
      </c>
      <c r="F25" s="591" t="n">
        <v>4800000</v>
      </c>
      <c r="G25" s="591" t="n">
        <v>7200000</v>
      </c>
      <c r="H25" s="591" t="n">
        <v>12000000</v>
      </c>
      <c r="I25" s="591" t="n">
        <v>18000000</v>
      </c>
      <c r="J25" s="592">
        <f>SUM(E25:I25)</f>
        <v>44400000.0</v>
      </c>
      <c r="K25" s="593" t="inlineStr">
        <is>
          <t>ユーザー指定の販管費予算（正）</t>
        </is>
      </c>
    </row>
    <row r="26">
      <c r="C26" s="590" t="inlineStr">
        <is>
          <t>賃借料</t>
        </is>
      </c>
      <c r="E26" s="591" t="n">
        <v>300000</v>
      </c>
      <c r="F26" s="591" t="n">
        <v>500000</v>
      </c>
      <c r="G26" s="591" t="n">
        <v>700000</v>
      </c>
      <c r="H26" s="591" t="n">
        <v>1000000</v>
      </c>
      <c r="I26" s="591" t="n">
        <v>2000000</v>
      </c>
      <c r="J26" s="592">
        <f>SUM(E26:I26)</f>
        <v>4500000.0</v>
      </c>
      <c r="K26" s="593" t="inlineStr">
        <is>
          <t>ユーザー指定の販管費予算（正）</t>
        </is>
      </c>
    </row>
    <row r="27">
      <c r="C27" s="590" t="inlineStr">
        <is>
          <t>租税公課</t>
        </is>
      </c>
      <c r="E27" s="591" t="n">
        <v>300000</v>
      </c>
      <c r="F27" s="591" t="n">
        <v>500000</v>
      </c>
      <c r="G27" s="591" t="n">
        <v>1000000</v>
      </c>
      <c r="H27" s="591" t="n">
        <v>2000000</v>
      </c>
      <c r="I27" s="591" t="n">
        <v>3500000</v>
      </c>
      <c r="J27" s="592">
        <f>SUM(E27:I27)</f>
        <v>7300000.0</v>
      </c>
      <c r="K27" s="593" t="inlineStr">
        <is>
          <t>ユーザー指定の販管費予算（正）</t>
        </is>
      </c>
    </row>
    <row r="28">
      <c r="C28" s="590" t="inlineStr">
        <is>
          <t>支払報酬料</t>
        </is>
      </c>
      <c r="E28" s="591" t="n">
        <v>2000000</v>
      </c>
      <c r="F28" s="591" t="n">
        <v>4000000</v>
      </c>
      <c r="G28" s="591" t="n">
        <v>8000000</v>
      </c>
      <c r="H28" s="591" t="n">
        <v>12000000</v>
      </c>
      <c r="I28" s="591" t="n">
        <v>18000000</v>
      </c>
      <c r="J28" s="592">
        <f>SUM(E28:I28)</f>
        <v>44000000.0</v>
      </c>
      <c r="K28" s="593" t="inlineStr">
        <is>
          <t>ユーザー指定の販管費予算（正）</t>
        </is>
      </c>
    </row>
    <row r="29">
      <c r="C29" s="590" t="inlineStr">
        <is>
          <t>減価償却費</t>
        </is>
      </c>
      <c r="E29" s="591" t="n">
        <v>0</v>
      </c>
      <c r="F29" s="591" t="n">
        <v>500000</v>
      </c>
      <c r="G29" s="591" t="n">
        <v>1000000</v>
      </c>
      <c r="H29" s="591" t="n">
        <v>2000000</v>
      </c>
      <c r="I29" s="591" t="n">
        <v>4000000</v>
      </c>
      <c r="J29" s="592">
        <f>SUM(E29:I29)</f>
        <v>7500000.0</v>
      </c>
      <c r="K29" s="593" t="inlineStr">
        <is>
          <t>ユーザー指定の販管費予算（正）</t>
        </is>
      </c>
    </row>
    <row r="30">
      <c r="C30" s="590" t="inlineStr">
        <is>
          <t>研究開発費</t>
        </is>
      </c>
      <c r="E30" s="591" t="n">
        <v>6000000</v>
      </c>
      <c r="F30" s="591" t="n">
        <v>12000000</v>
      </c>
      <c r="G30" s="591" t="n">
        <v>24000000</v>
      </c>
      <c r="H30" s="591" t="n">
        <v>36000000</v>
      </c>
      <c r="I30" s="591" t="n">
        <v>60000000</v>
      </c>
      <c r="J30" s="592">
        <f>SUM(E30:I30)</f>
        <v>138000000.0</v>
      </c>
      <c r="K30" s="593" t="inlineStr">
        <is>
          <t>ユーザー指定の販管費予算（正）</t>
        </is>
      </c>
    </row>
    <row r="31">
      <c r="C31" s="590" t="inlineStr">
        <is>
          <t>諸会費</t>
        </is>
      </c>
      <c r="E31" s="591" t="n">
        <v>300000</v>
      </c>
      <c r="F31" s="591" t="n">
        <v>500000</v>
      </c>
      <c r="G31" s="591" t="n">
        <v>800000</v>
      </c>
      <c r="H31" s="591" t="n">
        <v>1000000</v>
      </c>
      <c r="I31" s="591" t="n">
        <v>2000000</v>
      </c>
      <c r="J31" s="592">
        <f>SUM(E31:I31)</f>
        <v>4600000.0</v>
      </c>
      <c r="K31" s="593" t="inlineStr">
        <is>
          <t>ユーザー指定の販管費予算（正）</t>
        </is>
      </c>
    </row>
    <row r="32">
      <c r="C32" s="590" t="inlineStr">
        <is>
          <t>雑費</t>
        </is>
      </c>
      <c r="E32" s="591" t="n">
        <v>200000</v>
      </c>
      <c r="F32" s="591" t="n">
        <v>300000</v>
      </c>
      <c r="G32" s="591" t="n">
        <v>500000</v>
      </c>
      <c r="H32" s="591" t="n">
        <v>700000</v>
      </c>
      <c r="I32" s="591" t="n">
        <v>1000000</v>
      </c>
      <c r="J32" s="592">
        <f>SUM(E32:I32)</f>
        <v>2700000.0</v>
      </c>
      <c r="K32" s="593" t="inlineStr">
        <is>
          <t>ユーザー指定の販管費予算（正）</t>
        </is>
      </c>
    </row>
    <row r="33">
      <c r="C33" s="594" t="inlineStr">
        <is>
          <t>販管費合計</t>
        </is>
      </c>
      <c r="E33" s="595">
        <f>SUM(E5:E32)</f>
        <v>54400000.0</v>
      </c>
      <c r="F33" s="595">
        <f>SUM(F5:F32)</f>
        <v>111500000.0</v>
      </c>
      <c r="G33" s="595">
        <f>SUM(G5:G32)</f>
        <v>205900000.0</v>
      </c>
      <c r="H33" s="595">
        <f>SUM(H5:H32)</f>
        <v>316400000.0</v>
      </c>
      <c r="I33" s="595">
        <f>SUM(I5:I32)</f>
        <v>522100000.0</v>
      </c>
      <c r="J33" s="595">
        <f>SUM(J5:J32)</f>
        <v>1210300000.0</v>
      </c>
    </row>
    <row r="34"/>
    <row r="35">
      <c r="C35" s="594" t="inlineStr">
        <is>
          <t>■ 営業外損益・税金の前提</t>
        </is>
      </c>
    </row>
    <row r="36">
      <c r="C36" s="590" t="inlineStr">
        <is>
          <t>営業外収益（年額）</t>
        </is>
      </c>
      <c r="E36" s="591" t="n">
        <v>0</v>
      </c>
      <c r="F36" s="591" t="n">
        <v>0</v>
      </c>
      <c r="G36" s="591" t="n">
        <v>0</v>
      </c>
      <c r="H36" s="591" t="n">
        <v>0</v>
      </c>
      <c r="I36" s="591" t="n">
        <v>0</v>
      </c>
      <c r="J36" s="596">
        <f>SUM(E36:I36)</f>
        <v>0.0</v>
      </c>
      <c r="K36" s="593" t="inlineStr">
        <is>
          <t>受取利息等。現時点で計画なし＝0（要入力）</t>
        </is>
      </c>
    </row>
    <row r="37">
      <c r="C37" s="590" t="inlineStr">
        <is>
          <t>営業外費用（年額）</t>
        </is>
      </c>
      <c r="E37" s="591" t="n">
        <v>0</v>
      </c>
      <c r="F37" s="591" t="n">
        <v>0</v>
      </c>
      <c r="G37" s="591" t="n">
        <v>0</v>
      </c>
      <c r="H37" s="591" t="n">
        <v>0</v>
      </c>
      <c r="I37" s="591" t="n">
        <v>0</v>
      </c>
      <c r="J37" s="596">
        <f>SUM(E37:I37)</f>
        <v>0.0</v>
      </c>
      <c r="K37" s="593" t="inlineStr">
        <is>
          <t>支払利息等。借入計画なし＝0（調達はJ-KISS/エクイティ想定）（要入力）</t>
        </is>
      </c>
    </row>
    <row r="38">
      <c r="C38" s="590" t="inlineStr">
        <is>
          <t>法人税等 実効税率</t>
        </is>
      </c>
      <c r="E38" s="597" t="n">
        <v>0.34</v>
      </c>
      <c r="F38" s="598">
        <f>E38</f>
        <v>0.34</v>
      </c>
      <c r="G38" s="598">
        <f>E38</f>
        <v>0.34</v>
      </c>
      <c r="H38" s="598">
        <f>E38</f>
        <v>0.34</v>
      </c>
      <c r="I38" s="598">
        <f>E38</f>
        <v>0.34</v>
      </c>
      <c r="K38" s="593" t="inlineStr">
        <is>
          <t>【要確認】中小法人の法人税・住民税・事業税の実効税率の目安34%。税理士確認のうえ修正。Y2以降はY1に連動</t>
        </is>
      </c>
    </row>
    <row r="39">
      <c r="C39" s="590" t="inlineStr">
        <is>
          <t>期首繰越欠損金（Y1期首）</t>
        </is>
      </c>
      <c r="E39" s="591" t="n">
        <v>0</v>
      </c>
      <c r="K39" s="593" t="inlineStr">
        <is>
          <t>設立以来の繰越欠損金があれば入力（要実数）。Y2以降は taXel全体 の税金計算で自動繰越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0"/>
  <sheetViews>
    <sheetView topLeftCell="A24" workbookViewId="0">
      <selection activeCell="C55" sqref="C55"/>
    </sheetView>
  </sheetViews>
  <sheetFormatPr baseColWidth="10" defaultRowHeight="20"/>
  <cols>
    <col width="13.42578125" customWidth="1" style="22" min="1" max="1"/>
    <col width="74.140625" customWidth="1" style="22" min="2" max="2"/>
    <col width="10.7109375" customWidth="1" style="22" min="3" max="16384"/>
  </cols>
  <sheetData>
    <row r="1"/>
    <row r="2"/>
    <row r="3"/>
    <row r="4">
      <c r="B4" s="163" t="inlineStr">
        <is>
          <t>チェック項目</t>
        </is>
      </c>
      <c r="C4" s="163" t="inlineStr">
        <is>
          <t>投資家の本音・審査基準</t>
        </is>
      </c>
    </row>
    <row r="5">
      <c r="B5" s="163" t="inlineStr">
        <is>
          <t>GTM（Go-To-Market）の再現性</t>
        </is>
      </c>
      <c r="C5" s="164" t="inlineStr">
        <is>
          <t>「税理士チャネル（B2B2B）で本当に効率よくスケールできるか？」初期の数十社でCACとPMF（プロダクト適合）が証明されているか。</t>
        </is>
      </c>
    </row>
    <row r="6">
      <c r="B6" s="163" t="inlineStr">
        <is>
          <t>バリュエーション（企業評価額）</t>
        </is>
      </c>
      <c r="C6" s="164" t="inlineStr">
        <is>
          <t>1.5億円を調達する場合、希薄化（株主比率の低下）を20%前後に抑えるには、ポストバリュエーション（投資後企業価値）で7.5億〜10億円が必要。それに見合う市場規模（TAM）と経営陣のトラックレコードがあるか。</t>
        </is>
      </c>
    </row>
    <row r="7">
      <c r="B7" s="163" t="inlineStr">
        <is>
          <t>資本効率（Burn Multiple）</t>
        </is>
      </c>
      <c r="C7" s="164" t="inlineStr">
        <is>
          <t>投資した1円あたり、どれだけのARRを創出できているか（Burn Multiple &lt; 1.5x 〜 2.0xが優良ライン）。ただお金を使うだけでなく、効率的に売上に変換できているか。</t>
        </is>
      </c>
    </row>
    <row r="8">
      <c r="B8" s="164" t="inlineStr">
        <is>
          <t>シード/初期段階で1億〜2億円の大型調達（Equity）を実施してローンチする場合、事業・組織の戦略および財務数値の組み方が根底から変わります。</t>
        </is>
      </c>
    </row>
    <row r="9"/>
    <row r="10">
      <c r="B10" s="164" t="inlineStr">
        <is>
          <t>1億〜2億円規模の資金を調達した場合の「役員報酬体制」「費用構造」「投資家の見方」「メリットとリスク」を整理しました。</t>
        </is>
      </c>
    </row>
    <row r="11"/>
    <row r="12" ht="24" customHeight="1" s="145">
      <c r="B12" s="165" t="inlineStr">
        <is>
          <t>1. 役員報酬体制</t>
        </is>
      </c>
    </row>
    <row r="13">
      <c r="B13" s="163" t="inlineStr">
        <is>
          <t>初年度（M1）から「目標給与体制（平澤120万 / 龍馬100万 / 皐月100万）」でのスタートが可能かつ合理的に見え投資家には「３人に任せよう」となる。</t>
        </is>
      </c>
    </row>
    <row r="14"/>
    <row r="15">
      <c r="B15" s="163" t="inlineStr">
        <is>
          <t>理由（Runwayの十分な確保）:</t>
        </is>
      </c>
    </row>
    <row r="16"/>
    <row r="17">
      <c r="B17" s="164" t="inlineStr">
        <is>
          <t>1.5億円を調達した場合、役員報酬を最初から満額（3名計：月320万円＋社会保険料）に設定し、開発エンジニア2名（月160万）やマーケ費用（月100万）を追加で積極的に投資しても、1年目の赤字幅は月400万〜600万円程度に収まります。</t>
        </is>
      </c>
    </row>
    <row r="18">
      <c r="B18" s="164" t="inlineStr">
        <is>
          <t>1.5億円の資金があれば、Runway（資金持続期間）は18〜24ヶ月以上（1年半〜2年）しっかりと維持できるため、資金ショートのリスクがなし。</t>
        </is>
      </c>
    </row>
    <row r="19">
      <c r="B19" s="163" t="inlineStr">
        <is>
          <t>投資家（リードVC等）の評価:</t>
        </is>
      </c>
    </row>
    <row r="20"/>
    <row r="21">
      <c r="A21" s="167" t="inlineStr">
        <is>
          <t>一般企業</t>
        </is>
      </c>
      <c r="B21" s="164" t="inlineStr">
        <is>
          <t>1億〜2億円を出資するVCは「役員報酬を低く抑えて細々やり繰りする」ことよりも、「トップ人材に十分な報酬を支払って100%コミットさせ、圧倒的なスピードで市場シェアを奪うこと（Jカーブを描くこと）」を求める</t>
        </is>
      </c>
    </row>
    <row r="22">
      <c r="B22" s="164" t="inlineStr">
        <is>
          <t>そのため、「最初から月100万〜120万円」と設定していても、事業計画上の成長スピード（ARRの立ち上がり）が見合っていれば一切文句は出ません。</t>
        </is>
      </c>
    </row>
    <row r="23" ht="24" customHeight="1" s="145">
      <c r="B23" s="165" t="inlineStr">
        <is>
          <t>2. P/L（損益計算書）と予算モデルの劇的な変化</t>
        </is>
      </c>
    </row>
    <row r="24">
      <c r="B24" s="164" t="inlineStr">
        <is>
          <t>調達額が3,000万円（現状モデル）から1億〜2億円に増える場合、スプレッドシートの「費用予算」および「売上」シートは以下のようにアップデート（書き換え）する必要があり。</t>
        </is>
      </c>
    </row>
    <row r="25"/>
    <row r="26">
      <c r="B26" s="163" t="inlineStr">
        <is>
          <t>① 人件費・組織体制（体制のスケールアップ）</t>
        </is>
      </c>
    </row>
    <row r="27">
      <c r="A27" s="167" t="inlineStr">
        <is>
          <t>今後要チェック</t>
        </is>
      </c>
      <c r="B27" s="163" t="inlineStr">
        <is>
          <t>開発（エンジニア）: 1年目からシニアエンジニア2〜3名をアサイン（単価月80万〜100万円）。プロダクトの完成度と機能追加スピードを爆速化。</t>
        </is>
      </c>
    </row>
    <row r="28">
      <c r="B28" s="163" t="inlineStr">
        <is>
          <t>営業・CS: 1年目後半（M6〜M12）から専任の営業・CSをアサインし、税理士開拓のペースを現行の2〜3倍に加速。</t>
        </is>
      </c>
    </row>
    <row r="29">
      <c r="B29" s="163" t="inlineStr">
        <is>
          <t>採用費: 人材紹介エージェント費用として、増員1人あたり150万〜200万円（年額500万〜1,000万円規模）を計上。</t>
        </is>
      </c>
    </row>
    <row r="30">
      <c r="B30" s="163" t="inlineStr">
        <is>
          <t>② マーケティング・獲得費（S&amp;Mの拡大）</t>
        </is>
      </c>
    </row>
    <row r="31">
      <c r="B31" s="164" t="inlineStr">
        <is>
          <t>CAC 55,000円の検証を進めつつ、マーケティング予算を現行の「月15万〜50万円」から「月100万〜300万円」規模へ拡大。</t>
        </is>
      </c>
    </row>
    <row r="32">
      <c r="B32" s="164" t="inlineStr">
        <is>
          <t>税理士業界向けの展示会出展、タクシー広告/Web広告、自社主催大型ウェビナーなどの施策を打つ。</t>
        </is>
      </c>
    </row>
    <row r="33">
      <c r="B33" s="163" t="inlineStr">
        <is>
          <t>③ 売上目標（Topline）の引き上げ</t>
        </is>
      </c>
    </row>
    <row r="34">
      <c r="B34" s="164" t="inlineStr">
        <is>
          <t>投資金額が増える分、成長スピード（売上目標）の基準も上がる</t>
        </is>
      </c>
    </row>
    <row r="35">
      <c r="B35" s="164" t="inlineStr">
        <is>
          <t>現行モデルの1年目売上（年約2,000万円）ではなく、1年目終了時に「ARR（年間定常収益）5,000万〜1億円」、2年目終了時に「ARR 2億〜3億円」を目指すようなJカーブシナリオを描く必要があります。</t>
        </is>
      </c>
    </row>
    <row r="36" ht="24" customHeight="1" s="145">
      <c r="B36" s="165" t="inlineStr">
        <is>
          <t>3. 投資家目線（VC/PE）での評価ポイント</t>
        </is>
      </c>
    </row>
    <row r="37">
      <c r="B37" s="171" t="inlineStr">
        <is>
          <t>1億〜2億円の投資判断をするVCは、以下のポイントを非常にシビアにチェックする。</t>
        </is>
      </c>
    </row>
    <row r="38">
      <c r="A38" s="170" t="n"/>
    </row>
    <row r="39">
      <c r="B39" s="164" t="inlineStr">
        <is>
          <t>チェック項目</t>
        </is>
      </c>
      <c r="C39" s="163" t="n"/>
    </row>
    <row r="40">
      <c r="B40" s="169" t="inlineStr">
        <is>
          <t>GTM（Go-To-Market）の再現性</t>
        </is>
      </c>
      <c r="C40" s="172" t="inlineStr">
        <is>
          <t>「税理士チャネル（B2B2B）で本当に効率よくスケールできるか？」初期の数十社でCACとPMF（プロダクト適合）が証明されているか。</t>
        </is>
      </c>
      <c r="D40" s="173" t="n"/>
      <c r="E40" s="173" t="n"/>
      <c r="F40" s="173" t="n"/>
      <c r="G40" s="173" t="n"/>
      <c r="H40" s="173" t="n"/>
      <c r="I40" s="173" t="n"/>
      <c r="J40" s="173" t="n"/>
      <c r="K40" s="173" t="n"/>
      <c r="L40" s="173" t="n"/>
      <c r="M40" s="173" t="n"/>
      <c r="N40" s="173" t="n"/>
      <c r="O40" s="173" t="n"/>
      <c r="P40" s="173" t="n"/>
      <c r="Q40" s="173" t="n"/>
      <c r="R40" s="174" t="n"/>
    </row>
    <row r="41">
      <c r="B41" s="169" t="inlineStr">
        <is>
          <t>バリュエーション（企業評価額）</t>
        </is>
      </c>
      <c r="C41" s="175" t="inlineStr">
        <is>
          <t>1.5億円を調達する場合、希薄化（株主比率の低下）を20%前後に抑えるには、ポストバリュエーション（投資後企業価値）で7.5億〜10億円が必要。それに見合う市場規模（TAM）と経営陣のトラックレコードがあるか。</t>
        </is>
      </c>
      <c r="R41" s="176" t="n"/>
    </row>
    <row r="42">
      <c r="B42" s="169" t="inlineStr">
        <is>
          <t>資本効率（Burn Multiple）</t>
        </is>
      </c>
      <c r="C42" s="177" t="inlineStr">
        <is>
          <t>投資した1円あたり、どれだけのARRを創出できているか（Burn Multiple &lt; 1.5x 〜 2.0xが優良ライン）。ただお金を使うだけでなく、効率的に売上に変換できているか。</t>
        </is>
      </c>
      <c r="D42" s="178" t="n"/>
      <c r="E42" s="178" t="n"/>
      <c r="F42" s="178" t="n"/>
      <c r="G42" s="178" t="n"/>
      <c r="H42" s="178" t="n"/>
      <c r="I42" s="178" t="n"/>
      <c r="J42" s="178" t="n"/>
      <c r="K42" s="178" t="n"/>
      <c r="L42" s="178" t="n"/>
      <c r="M42" s="178" t="n"/>
      <c r="N42" s="178" t="n"/>
      <c r="O42" s="178" t="n"/>
      <c r="P42" s="178" t="n"/>
      <c r="Q42" s="178" t="n"/>
      <c r="R42" s="179" t="n"/>
    </row>
    <row r="43" ht="24" customHeight="1" s="145">
      <c r="B43" s="166" t="inlineStr">
        <is>
          <t>4. 今後の選択肢</t>
        </is>
      </c>
    </row>
    <row r="44">
      <c r="B44" s="164" t="inlineStr">
        <is>
          <t>1億〜2億円を調達して勝負する場合:</t>
        </is>
      </c>
    </row>
    <row r="45"/>
    <row r="46">
      <c r="B46" s="164" t="inlineStr">
        <is>
          <t>・役員報酬: 初年度M1から「平澤120万/龍馬100万/皐月100万」で予算を組んで全く問題なし。主ろブランドイメージ</t>
        </is>
      </c>
    </row>
    <row r="47">
      <c r="B47" s="164" t="inlineStr">
        <is>
          <t>・アクション: 「費用予算」シートのマーケ費・採用費・エンジニア費を全体的に増額し、それに伴って「売上成長スピードも2〜3倍に引き上げた強気の成長シナリオ」を作成。</t>
        </is>
      </c>
    </row>
    <row r="48">
      <c r="B48" s="164" t="inlineStr">
        <is>
          <t>・現状モデル（J-KISS 3,000万円）で手堅く始める場合:</t>
        </is>
      </c>
    </row>
    <row r="49"/>
    <row r="50">
      <c r="B50" s="168" t="inlineStr">
        <is>
          <t>前述の通り、M1〜M17までは役員報酬を低め（3名計100万円）に抑え、M18（安定黒字化・シリーズA）のタイミングで「月300万円体制」へ引き上げるスライド設計にするのがベスト。</t>
        </is>
      </c>
      <c r="C50" s="168" t="n"/>
      <c r="D50" s="168" t="n"/>
      <c r="E50" s="168" t="n"/>
      <c r="F50" s="168" t="n"/>
      <c r="G50" s="168" t="n"/>
      <c r="H50" s="168" t="n"/>
      <c r="I50" s="16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151"/>
  <sheetViews>
    <sheetView showGridLines="0" workbookViewId="0">
      <selection activeCell="A1" sqref="A1"/>
    </sheetView>
  </sheetViews>
  <sheetFormatPr baseColWidth="8" defaultRowHeight="15"/>
  <cols>
    <col width="2" customWidth="1" style="145" min="1" max="1"/>
    <col width="30" customWidth="1" style="145" min="2" max="2"/>
    <col width="34" customWidth="1" style="145" min="3" max="3"/>
    <col width="52" customWidth="1" style="145" min="4" max="4"/>
    <col width="52" customWidth="1" style="145" min="5" max="5"/>
    <col width="16" customWidth="1" style="145" min="6" max="6"/>
    <col width="16" customWidth="1" style="145" min="7" max="7"/>
    <col width="16" customWidth="1" style="145" min="8" max="8"/>
    <col width="16" customWidth="1" style="145" min="9" max="9"/>
    <col width="16" customWidth="1" style="145" min="10" max="10"/>
  </cols>
  <sheetData>
    <row r="1">
      <c r="B1" s="599" t="inlineStr">
        <is>
          <t>修正レポート：全社PL（taXel全体）完成作業</t>
        </is>
      </c>
    </row>
    <row r="2">
      <c r="B2" s="600" t="inlineStr">
        <is>
          <t>元ファイル：5カ年事業計画_投資家提出用_最新xlsx.xlsx（上書きなし）／参考：事業計画_さんぷる.xlsx（SES事業。構造・数式設計のみ参考、数値・事業ロジックは不使用）</t>
        </is>
      </c>
    </row>
    <row r="4">
      <c r="B4" s="601" t="inlineStr">
        <is>
          <t>0. 事前分析：事業計画_さんぷる.xlsx の PL 設計思想</t>
        </is>
      </c>
    </row>
    <row r="5">
      <c r="B5" s="602" t="inlineStr">
        <is>
          <t>項目</t>
        </is>
      </c>
      <c r="C5" s="602" t="inlineStr">
        <is>
          <t>内容</t>
        </is>
      </c>
      <c r="D5" s="602" t="inlineStr"/>
      <c r="E5" s="602" t="inlineStr"/>
    </row>
    <row r="6">
      <c r="B6" s="600" t="inlineStr">
        <is>
          <t>シート構成</t>
        </is>
      </c>
      <c r="C6" s="600" t="inlineStr">
        <is>
          <t>全社PL／販売管理費_方針／原価+販売管理費／事業計画(SES)_方針／事業計画(SES)／PL(プロダクト)</t>
        </is>
      </c>
    </row>
    <row r="7">
      <c r="B7" s="600" t="inlineStr">
        <is>
          <t>シート間参照</t>
        </is>
      </c>
      <c r="C7" s="600" t="inlineStr">
        <is>
          <t>月次列（Q〜ER）で、売上・原価は事業別PL（PL(プロダクト)等）の同じ列を、販管費は「原価+販売管理費」の該当行を参照（例：AC7 ='PL(プロダクト)'!AC5）。全社PLは子PLを積み上げる「集約シート」</t>
        </is>
      </c>
    </row>
    <row r="8">
      <c r="B8" s="600" t="inlineStr">
        <is>
          <t>PL階層</t>
        </is>
      </c>
      <c r="C8" s="600" t="inlineStr">
        <is>
          <t>売上高（=SUM(事業別)）→売上原価（=SUM(事業別)）→売上総利益（=売上−原価）→販管費（=SUM(勘定科目)、科目は 全社/SI/プロダクト の内訳行を持ちSUM）→営業損益（=総利益−販管費）。各段に前期比・原価率などKPI行</t>
        </is>
      </c>
    </row>
    <row r="9">
      <c r="B9" s="600" t="inlineStr">
        <is>
          <t>年次集計（E〜O列）</t>
        </is>
      </c>
      <c r="C9" s="600" t="inlineStr">
        <is>
          <t>=SUMIF($Q$3:$ER$3, E$4, $Q行:$ER行)。3行目＝各月の会計年度ラベル（例「23年6月期」）、4行目＝年次列の会計年度ラベル。ラベルが一致する月だけを合算する方式で、列位置に依存せず月次→年次が自動連動</t>
        </is>
      </c>
    </row>
    <row r="10">
      <c r="B10" s="600" t="inlineStr">
        <is>
          <t>KPI行の年次</t>
        </is>
      </c>
      <c r="C10" s="600" t="inlineStr">
        <is>
          <t>=SUMIF(...)/12（年平均）。利益行は年次列同士の差引（=E5−E14）、前期比は =IF(E5&gt;0,(F5−E5)/E5,"-")</t>
        </is>
      </c>
    </row>
    <row r="11">
      <c r="B11" s="600" t="inlineStr">
        <is>
          <t>5カ年集計</t>
        </is>
      </c>
      <c r="C11" s="600" t="inlineStr">
        <is>
          <t>年次列（会計年度ごと）を横に並べたものが中長期計画。月次は年度ブロック（12列）で区切り、3行目の年度ラベルで束ねる</t>
        </is>
      </c>
    </row>
    <row r="12">
      <c r="B12" s="600" t="inlineStr">
        <is>
          <t>サンプルの未完成・不具合（踏襲していない）</t>
        </is>
      </c>
      <c r="C12" s="600" t="inlineStr">
        <is>
          <t>営業損益までで終了（営業外・経常・税・純利益なし）／＃REF!多数（リンク切れ）／販管費の一部が $R$3:$ES$3 と1列ずれ（初月を集計漏れ）／条件範囲がシート最終行まで（$Q$3:$ER$1048576）</t>
        </is>
      </c>
    </row>
    <row r="14">
      <c r="B14" s="601" t="inlineStr">
        <is>
          <t>0-2. 事前分析：投資家提出用ファイルの事業ドライバー</t>
        </is>
      </c>
    </row>
    <row r="15">
      <c r="B15" s="602" t="inlineStr">
        <is>
          <t>事業区分</t>
        </is>
      </c>
      <c r="C15" s="602" t="inlineStr">
        <is>
          <t>シート</t>
        </is>
      </c>
      <c r="D15" s="602" t="inlineStr">
        <is>
          <t>ドライバー（既存の入力・計算）</t>
        </is>
      </c>
      <c r="E15" s="602" t="inlineStr">
        <is>
          <t>PLへの接続</t>
        </is>
      </c>
    </row>
    <row r="16">
      <c r="B16" s="600" t="inlineStr">
        <is>
          <t>SaaS事業</t>
        </is>
      </c>
      <c r="C16" s="600" t="inlineStr">
        <is>
          <t>SaaS</t>
        </is>
      </c>
      <c r="D16" s="600" t="inlineStr">
        <is>
          <t>契約事務所＝前月×(1−解約率)＋新規、アカウント数（開業／法人×3.5人）、単価19,800円＋プレミアム30,000円×加入率24% → MRR（SAAS売上）</t>
        </is>
      </c>
      <c r="E16" s="600" t="inlineStr">
        <is>
          <t>taXel全体 6行 =SaaS!F5（月次）。KPI：契約事務所・MRR・ARR・ARPA</t>
        </is>
      </c>
    </row>
    <row r="17">
      <c r="B17" s="600" t="inlineStr">
        <is>
          <t>紹介事業</t>
        </is>
      </c>
      <c r="C17" s="600" t="inlineStr">
        <is>
          <t>ビジとり／支払い.com／電力コスト削減／売掛保証</t>
        </is>
      </c>
      <c r="D17" s="600" t="inlineStr">
        <is>
          <t>税理士数×35社×各種率→新規受注→期末契約社数（ストック）×Taxel取り分（月額／年額÷12）</t>
        </is>
      </c>
      <c r="E17" s="600" t="inlineStr">
        <is>
          <t>8,9,11,12行 =各シート F5</t>
        </is>
      </c>
    </row>
    <row r="18">
      <c r="B18" s="600" t="inlineStr">
        <is>
          <t>仲介事業</t>
        </is>
      </c>
      <c r="C18" s="600" t="inlineStr">
        <is>
          <t>PB（プライベートバンク仲介）</t>
        </is>
      </c>
      <c r="D18" s="600" t="inlineStr">
        <is>
          <t>積立30万円×手数料0.2%×Taxel取り分30%、契約社数ストック</t>
        </is>
      </c>
      <c r="E18" s="600" t="inlineStr">
        <is>
          <t>10行 =PB!F5</t>
        </is>
      </c>
    </row>
    <row r="19">
      <c r="B19" s="600" t="inlineStr">
        <is>
          <t>コンサルティング事業</t>
        </is>
      </c>
      <c r="C19" s="600" t="inlineStr">
        <is>
          <t>事業・組織再生コンサル</t>
        </is>
      </c>
      <c r="D19" s="600" t="inlineStr">
        <is>
          <t>リード→受注率→新規案件、契約案件ストック（解約5%）×単価330,000円</t>
        </is>
      </c>
      <c r="E19" s="600" t="inlineStr">
        <is>
          <t>7行 ='事業・組織再生コンサル'!F4</t>
        </is>
      </c>
    </row>
    <row r="20">
      <c r="B20" s="600" t="inlineStr">
        <is>
          <t>原価</t>
        </is>
      </c>
      <c r="C20" s="600" t="inlineStr">
        <is>
          <t>費用予算 25〜31行</t>
        </is>
      </c>
      <c r="D20" s="600" t="inlineStr">
        <is>
          <t>AI API費（150円×稼働顧問先）、サーバー費、決済手数料（SaaS売上×3.6%）、コンサル直接経費</t>
        </is>
      </c>
      <c r="E20" s="600" t="inlineStr">
        <is>
          <t>14〜20行 =費用予算!F25〜F30</t>
        </is>
      </c>
    </row>
    <row r="21">
      <c r="B21" s="600" t="inlineStr">
        <is>
          <t>販管費</t>
        </is>
      </c>
      <c r="C21" s="600" t="inlineStr">
        <is>
          <t>販管費予算（新規）</t>
        </is>
      </c>
      <c r="D21" s="600" t="inlineStr">
        <is>
          <t>ユーザー指定の年額予算（28科目×5年）</t>
        </is>
      </c>
      <c r="E21" s="600" t="inlineStr">
        <is>
          <t>26〜79行 年額÷12で月次按分</t>
        </is>
      </c>
    </row>
    <row r="23">
      <c r="B23" s="601" t="inlineStr">
        <is>
          <t>① 追加・変更した数式</t>
        </is>
      </c>
    </row>
    <row r="24">
      <c r="B24" s="602" t="inlineStr">
        <is>
          <t>シート</t>
        </is>
      </c>
      <c r="C24" s="602" t="inlineStr">
        <is>
          <t>セル範囲</t>
        </is>
      </c>
      <c r="D24" s="602" t="inlineStr">
        <is>
          <t>数式（代表例）</t>
        </is>
      </c>
      <c r="E24" s="602" t="inlineStr">
        <is>
          <t>目的</t>
        </is>
      </c>
    </row>
    <row r="25">
      <c r="B25" s="600" t="inlineStr">
        <is>
          <t>taXel全体</t>
        </is>
      </c>
      <c r="C25" s="600" t="inlineStr">
        <is>
          <t>E5:I114 の年次列</t>
        </is>
      </c>
      <c r="D25" s="600" t="inlineStr">
        <is>
          <t>=SUMIF($AB$3:$CI$3,E$4,$AB5:$CI5)</t>
        </is>
      </c>
      <c r="E25" s="600" t="inlineStr">
        <is>
          <t>月次→年次（サンプルと同方式）</t>
        </is>
      </c>
    </row>
    <row r="26">
      <c r="B26" s="600" t="inlineStr">
        <is>
          <t>taXel全体</t>
        </is>
      </c>
      <c r="C26" s="600" t="inlineStr">
        <is>
          <t>AB6:CI12</t>
        </is>
      </c>
      <c r="D26" s="600" t="inlineStr">
        <is>
          <t>=SaaS!F5 ／ ='事業・組織再生コンサル'!F4 ／ =ビジとり!F5 …</t>
        </is>
      </c>
      <c r="E26" s="600" t="inlineStr">
        <is>
          <t>売上を事業シートから参照</t>
        </is>
      </c>
    </row>
    <row r="27">
      <c r="B27" s="600" t="inlineStr">
        <is>
          <t>taXel全体</t>
        </is>
      </c>
      <c r="C27" s="600" t="inlineStr">
        <is>
          <t>AB14:CI20</t>
        </is>
      </c>
      <c r="D27" s="600" t="inlineStr">
        <is>
          <t>=SUM(AB17:AB20) ／ =費用予算!F25 …</t>
        </is>
      </c>
      <c r="E27" s="600" t="inlineStr">
        <is>
          <t>売上原価</t>
        </is>
      </c>
    </row>
    <row r="28">
      <c r="B28" s="600" t="inlineStr">
        <is>
          <t>taXel全体</t>
        </is>
      </c>
      <c r="C28" s="600" t="inlineStr">
        <is>
          <t>AB26:CI79（各科目の全社行）</t>
        </is>
      </c>
      <c r="D28" s="600" t="inlineStr">
        <is>
          <t>=ROUND(INDEX(販管費予算!$E5:$I5,MATCH(AB$3,販管費予算!$E$4:$I$4,0))/12,0)+IF(COUNTIF($AB$3:AB$3,AB$3)=12, 年額−12×ROUND(年額/12,0), 0)</t>
        </is>
      </c>
      <c r="E28" s="600" t="inlineStr">
        <is>
          <t>年額→月額（円未満四捨五入、端数は12ヶ月目で調整）</t>
        </is>
      </c>
    </row>
    <row r="29">
      <c r="B29" s="600" t="inlineStr">
        <is>
          <t>taXel全体</t>
        </is>
      </c>
      <c r="C29" s="600" t="inlineStr">
        <is>
          <t>AB25:CI25</t>
        </is>
      </c>
      <c r="D29" s="600" t="inlineStr">
        <is>
          <t>=AB26+AB27+AB31+AB35+AB39+AB43+AB46+AB50+…+AB79</t>
        </is>
      </c>
      <c r="E29" s="600" t="inlineStr">
        <is>
          <t>販管費合計（28科目の親行）</t>
        </is>
      </c>
    </row>
    <row r="30">
      <c r="B30" s="600" t="inlineStr">
        <is>
          <t>taXel全体</t>
        </is>
      </c>
      <c r="C30" s="600" t="inlineStr">
        <is>
          <t>E23:I23, E80:I80</t>
        </is>
      </c>
      <c r="D30" s="600" t="inlineStr">
        <is>
          <t>=E5−E14 ／ =E23−E25</t>
        </is>
      </c>
      <c r="E30" s="600" t="inlineStr">
        <is>
          <t>売上総利益・営業利益（差引）</t>
        </is>
      </c>
    </row>
    <row r="31">
      <c r="B31" s="600" t="inlineStr">
        <is>
          <t>taXel全体</t>
        </is>
      </c>
      <c r="C31" s="600" t="inlineStr">
        <is>
          <t>88〜89行</t>
        </is>
      </c>
      <c r="D31" s="600" t="inlineStr">
        <is>
          <t>（販管費と同じ按分式）販管費予算の営業外収益・営業外費用</t>
        </is>
      </c>
      <c r="E31" s="600" t="inlineStr">
        <is>
          <t>営業外損益</t>
        </is>
      </c>
    </row>
    <row r="32">
      <c r="B32" s="600" t="inlineStr">
        <is>
          <t>taXel全体</t>
        </is>
      </c>
      <c r="C32" s="600" t="inlineStr">
        <is>
          <t>90, 92, 94行</t>
        </is>
      </c>
      <c r="D32" s="600" t="inlineStr">
        <is>
          <t>=AB80+AB88−AB89 ／ =AB90 ／ =AB92−AB93</t>
        </is>
      </c>
      <c r="E32" s="600" t="inlineStr">
        <is>
          <t>経常利益・税引前利益・当期純利益</t>
        </is>
      </c>
    </row>
    <row r="33">
      <c r="B33" s="600" t="inlineStr">
        <is>
          <t>taXel全体</t>
        </is>
      </c>
      <c r="C33" s="600" t="inlineStr">
        <is>
          <t>93行</t>
        </is>
      </c>
      <c r="D33" s="600" t="inlineStr">
        <is>
          <t>=INDEX($E$113:$I$113,MATCH(AB$3,$E$4:$I$4,0))/12</t>
        </is>
      </c>
      <c r="E33" s="600" t="inlineStr">
        <is>
          <t>月次法人税等＝年額税額÷12</t>
        </is>
      </c>
    </row>
    <row r="34">
      <c r="B34" s="600" t="inlineStr">
        <is>
          <t>taXel全体</t>
        </is>
      </c>
      <c r="C34" s="600" t="inlineStr">
        <is>
          <t>110〜114行（年次）</t>
        </is>
      </c>
      <c r="D34" s="600" t="inlineStr">
        <is>
          <t>=MIN(期首欠損金,MAX(0,税引前)) ／ =MAX(0,税引前)−控除 ／ =ROUND(課税所得×実効税率,0) ／ =期首−控除+MAX(0,−税引前)</t>
        </is>
      </c>
      <c r="E34" s="600" t="inlineStr">
        <is>
          <t>繰越欠損金を考慮した法人税計算</t>
        </is>
      </c>
    </row>
    <row r="35">
      <c r="B35" s="600" t="inlineStr">
        <is>
          <t>taXel全体</t>
        </is>
      </c>
      <c r="C35" s="600" t="inlineStr">
        <is>
          <t>100〜107行</t>
        </is>
      </c>
      <c r="D35" s="600" t="inlineStr">
        <is>
          <t>=SUMIF($B$6:$B$12,"SaaS事業",AB$6:AB$12) ／ =SaaS!F17 ／ =AB105*12</t>
        </is>
      </c>
      <c r="E35" s="600" t="inlineStr">
        <is>
          <t>事業別売上・SaaS KPI</t>
        </is>
      </c>
    </row>
    <row r="36">
      <c r="B36" s="600" t="inlineStr">
        <is>
          <t>taXel全体</t>
        </is>
      </c>
      <c r="C36" s="600" t="inlineStr">
        <is>
          <t>J列</t>
        </is>
      </c>
      <c r="D36" s="600" t="inlineStr">
        <is>
          <t>=SUM(E:I)（利益は差引、比率はCAGR／5カ年比率）</t>
        </is>
      </c>
      <c r="E36" s="600" t="inlineStr">
        <is>
          <t>5カ年合計</t>
        </is>
      </c>
    </row>
    <row r="37">
      <c r="B37" s="600" t="inlineStr">
        <is>
          <t>販管費予算</t>
        </is>
      </c>
      <c r="C37" s="600" t="inlineStr">
        <is>
          <t>J列・合計行</t>
        </is>
      </c>
      <c r="D37" s="600" t="inlineStr">
        <is>
          <t>=SUM(E5:I5) ／ =SUM(E5:E32)</t>
        </is>
      </c>
      <c r="E37" s="600" t="inlineStr">
        <is>
          <t>予算の5カ年合計・年度合計</t>
        </is>
      </c>
    </row>
    <row r="39">
      <c r="B39" s="601" t="inlineStr">
        <is>
          <t>② 追加した参照元</t>
        </is>
      </c>
    </row>
    <row r="40">
      <c r="B40" s="602" t="inlineStr">
        <is>
          <t>参照先（taXel全体）</t>
        </is>
      </c>
      <c r="C40" s="602" t="inlineStr">
        <is>
          <t>参照元</t>
        </is>
      </c>
      <c r="D40" s="602" t="inlineStr"/>
      <c r="E40" s="602" t="inlineStr"/>
    </row>
    <row r="41">
      <c r="B41" s="600" t="inlineStr">
        <is>
          <t>6行 SaaS</t>
        </is>
      </c>
      <c r="C41" s="600" t="inlineStr">
        <is>
          <t>SaaS!F5:BM5（SAAS売上）</t>
        </is>
      </c>
    </row>
    <row r="42">
      <c r="B42" s="600" t="inlineStr">
        <is>
          <t>7行 コンサル</t>
        </is>
      </c>
      <c r="C42" s="600" t="inlineStr">
        <is>
          <t>'事業・組織再生コンサル'!F4:BM4</t>
        </is>
      </c>
    </row>
    <row r="43">
      <c r="B43" s="600" t="inlineStr">
        <is>
          <t>8行 ビジとり</t>
        </is>
      </c>
      <c r="C43" s="600" t="inlineStr">
        <is>
          <t>ビジとり!F5:BM5</t>
        </is>
      </c>
    </row>
    <row r="44">
      <c r="B44" s="600" t="inlineStr">
        <is>
          <t>9行 支払い.com</t>
        </is>
      </c>
      <c r="C44" s="600" t="inlineStr">
        <is>
          <t>'支払い.com'!F5:BM5</t>
        </is>
      </c>
    </row>
    <row r="45">
      <c r="B45" s="600" t="inlineStr">
        <is>
          <t>10行 PB仲介</t>
        </is>
      </c>
      <c r="C45" s="600" t="inlineStr">
        <is>
          <t>PB!F5:BM5</t>
        </is>
      </c>
    </row>
    <row r="46">
      <c r="B46" s="600" t="inlineStr">
        <is>
          <t>11行 電力</t>
        </is>
      </c>
      <c r="C46" s="600" t="inlineStr">
        <is>
          <t>電力コスト削減!F5:BM5</t>
        </is>
      </c>
    </row>
    <row r="47">
      <c r="B47" s="600" t="inlineStr">
        <is>
          <t>12行 売掛保証</t>
        </is>
      </c>
      <c r="C47" s="600" t="inlineStr">
        <is>
          <t>' 売掛保証（保証型ファクタリング'!F5:BM5</t>
        </is>
      </c>
    </row>
    <row r="48">
      <c r="B48" s="600" t="inlineStr">
        <is>
          <t>15〜20行 原価</t>
        </is>
      </c>
      <c r="C48" s="600" t="inlineStr">
        <is>
          <t>費用予算!F25:BM30</t>
        </is>
      </c>
    </row>
    <row r="49">
      <c r="B49" s="600" t="inlineStr">
        <is>
          <t>26〜79行 販管費</t>
        </is>
      </c>
      <c r="C49" s="600" t="inlineStr">
        <is>
          <t>販管費予算!E5:I32（年額）</t>
        </is>
      </c>
    </row>
    <row r="50">
      <c r="B50" s="600" t="inlineStr">
        <is>
          <t>88〜89行 営業外</t>
        </is>
      </c>
      <c r="C50" s="600" t="inlineStr">
        <is>
          <t>販管費予算 営業外収益／営業外費用</t>
        </is>
      </c>
    </row>
    <row r="51">
      <c r="B51" s="600" t="inlineStr">
        <is>
          <t>110,113行 税</t>
        </is>
      </c>
      <c r="C51" s="600" t="inlineStr">
        <is>
          <t>販管費予算 期首繰越欠損金・実効税率</t>
        </is>
      </c>
    </row>
    <row r="52">
      <c r="B52" s="600" t="inlineStr">
        <is>
          <t>104〜105行 KPI</t>
        </is>
      </c>
      <c r="C52" s="600" t="inlineStr">
        <is>
          <t>SaaS!F17（契約事務所）, SaaS!F5（MRR）</t>
        </is>
      </c>
    </row>
    <row r="53">
      <c r="B53" s="600" t="inlineStr">
        <is>
          <t>費用予算 8〜10,26,29,35,50行</t>
        </is>
      </c>
      <c r="C53" s="600" t="inlineStr">
        <is>
          <t>SaaS!17/18/5行、事業・組織再生コンサル!7行、taXel全体!5行（外部ブック[2]から置換）</t>
        </is>
      </c>
    </row>
    <row r="55">
      <c r="B55" s="601" t="inlineStr">
        <is>
          <t>③ 修正したシート（セル単位の内訳）</t>
        </is>
      </c>
    </row>
    <row r="56">
      <c r="B56" s="602" t="inlineStr">
        <is>
          <t>シート</t>
        </is>
      </c>
      <c r="C56" s="602" t="inlineStr">
        <is>
          <t>セル範囲</t>
        </is>
      </c>
      <c r="D56" s="602" t="inlineStr">
        <is>
          <t>修正前</t>
        </is>
      </c>
      <c r="E56" s="602" t="inlineStr">
        <is>
          <t>修正後</t>
        </is>
      </c>
      <c r="F56" s="603" t="inlineStr">
        <is>
          <t>理由</t>
        </is>
      </c>
    </row>
    <row r="57">
      <c r="B57" s="600" t="inlineStr">
        <is>
          <t>販管費予算（新規）</t>
        </is>
      </c>
      <c r="C57" s="600" t="inlineStr">
        <is>
          <t>C3:K39</t>
        </is>
      </c>
      <c r="D57" s="600" t="inlineStr">
        <is>
          <t>（なし）</t>
        </is>
      </c>
      <c r="E57" s="600" t="inlineStr">
        <is>
          <t>販管費28科目のY1〜Y5年額（入力）、合計、営業外・税率・繰越欠損金の前提</t>
        </is>
      </c>
      <c r="F57" s="600" t="inlineStr">
        <is>
          <t>ユーザー指定の販管費予算を唯一の入力元として保持</t>
        </is>
      </c>
    </row>
    <row r="58">
      <c r="B58" s="600" t="inlineStr">
        <is>
          <t>taXel全体</t>
        </is>
      </c>
      <c r="C58" s="600" t="inlineStr">
        <is>
          <t>AB3:AM3</t>
        </is>
      </c>
      <c r="D58" s="600" t="inlineStr">
        <is>
          <t>'1Y1M'〜'1Y12M'</t>
        </is>
      </c>
      <c r="E58" s="600" t="inlineStr">
        <is>
          <t>'23年6月期'</t>
        </is>
      </c>
      <c r="F58" s="600" t="inlineStr">
        <is>
          <t>会計年度キーを他年度（24年6月期〜）と統一。SUMIF集計の照合キー</t>
        </is>
      </c>
    </row>
    <row r="59">
      <c r="B59" s="600" t="inlineStr">
        <is>
          <t>taXel全体</t>
        </is>
      </c>
      <c r="C59" s="600" t="inlineStr">
        <is>
          <t>E3:I4</t>
        </is>
      </c>
      <c r="D59" s="600" t="inlineStr">
        <is>
          <t>'28年6月期' / '27年7月'〜'27年11月'</t>
        </is>
      </c>
      <c r="E59" s="600" t="inlineStr">
        <is>
          <t>'計画' / =AB3,=AN3,=AZ3,=BL3,=BX3（23〜27年6月期）</t>
        </is>
      </c>
      <c r="F59" s="600" t="inlineStr">
        <is>
          <t>年次列の見出しを月次の会計年度キーと連動（サンプルの E4〜O4 と同じ考え方）</t>
        </is>
      </c>
    </row>
    <row r="60">
      <c r="B60" s="600" t="inlineStr">
        <is>
          <t>taXel全体</t>
        </is>
      </c>
      <c r="C60" s="600" t="inlineStr">
        <is>
          <t>J2,J4</t>
        </is>
      </c>
      <c r="D60" s="600" t="inlineStr">
        <is>
          <t>(空) / '28年6月期'</t>
        </is>
      </c>
      <c r="E60" s="600" t="inlineStr">
        <is>
          <t>'5カ年' / '5カ年合計'</t>
        </is>
      </c>
      <c r="F60" s="600" t="inlineStr">
        <is>
          <t>J列を5カ年合計列に再定義（計画対象60ヶ月の外の年度＝常に0だったため）</t>
        </is>
      </c>
    </row>
    <row r="61">
      <c r="B61" s="600" t="inlineStr">
        <is>
          <t>taXel全体</t>
        </is>
      </c>
      <c r="C61" s="600" t="inlineStr">
        <is>
          <t>AB6:CI12</t>
        </is>
      </c>
      <c r="D61" s="600" t="inlineStr">
        <is>
          <t>貼り付け値（ハードコード）</t>
        </is>
      </c>
      <c r="E61" s="600" t="inlineStr">
        <is>
          <t>各事業シートの売上行を参照（例 AB6 =SaaS!F5、AB10 =PB!F5）</t>
        </is>
      </c>
      <c r="F61" s="600" t="inlineStr">
        <is>
          <t>ハードコード禁止・自動更新</t>
        </is>
      </c>
    </row>
    <row r="62">
      <c r="B62" s="600" t="inlineStr">
        <is>
          <t>taXel全体</t>
        </is>
      </c>
      <c r="C62" s="600" t="inlineStr">
        <is>
          <t>E6:I12</t>
        </is>
      </c>
      <c r="D62" s="600" t="inlineStr">
        <is>
          <t>貼り付け値（年額）</t>
        </is>
      </c>
      <c r="E62" s="600" t="inlineStr">
        <is>
          <t>=SUMIF($AB$3:$CI$3,E$4,$AB6:$CI6)</t>
        </is>
      </c>
      <c r="F62" s="600" t="inlineStr">
        <is>
          <t>月次→年次をサンプル同様SUMIFで集計</t>
        </is>
      </c>
    </row>
    <row r="63">
      <c r="B63" s="600" t="inlineStr">
        <is>
          <t>taXel全体</t>
        </is>
      </c>
      <c r="C63" s="600" t="inlineStr">
        <is>
          <t>B6:B12</t>
        </is>
      </c>
      <c r="D63" s="600" t="inlineStr">
        <is>
          <t>(空)</t>
        </is>
      </c>
      <c r="E63" s="600" t="inlineStr">
        <is>
          <t>事業区分タグ（SaaS事業/紹介事業/仲介事業/コンサルティング事業）</t>
        </is>
      </c>
      <c r="F63" s="600" t="inlineStr">
        <is>
          <t>事業別売上のSUMIF集計キー</t>
        </is>
      </c>
    </row>
    <row r="64">
      <c r="B64" s="600" t="inlineStr">
        <is>
          <t>taXel全体</t>
        </is>
      </c>
      <c r="C64" s="600" t="inlineStr">
        <is>
          <t>AB5</t>
        </is>
      </c>
      <c r="D64" s="600" t="inlineStr">
        <is>
          <t>=SUM(AB6:AB9)</t>
        </is>
      </c>
      <c r="E64" s="600" t="inlineStr">
        <is>
          <t>=SUM(AB6:AB12)</t>
        </is>
      </c>
      <c r="F64" s="600" t="inlineStr">
        <is>
          <t>M1のみ集計範囲が不足していた</t>
        </is>
      </c>
    </row>
    <row r="65">
      <c r="B65" s="600" t="inlineStr">
        <is>
          <t>taXel全体</t>
        </is>
      </c>
      <c r="C65" s="600" t="inlineStr">
        <is>
          <t>J10:N12</t>
        </is>
      </c>
      <c r="D65" s="600" t="inlineStr">
        <is>
          <t>=SUMIF(...)/12</t>
        </is>
      </c>
      <c r="E65" s="600" t="inlineStr">
        <is>
          <t>=SUMIF(...)</t>
        </is>
      </c>
      <c r="F65" s="600" t="inlineStr">
        <is>
          <t>売上なのに÷12（平均化）されていた</t>
        </is>
      </c>
    </row>
    <row r="66">
      <c r="B66" s="600" t="inlineStr">
        <is>
          <t>taXel全体</t>
        </is>
      </c>
      <c r="C66" s="600" t="inlineStr">
        <is>
          <t>AB15:CI20</t>
        </is>
      </c>
      <c r="D66" s="600" t="inlineStr">
        <is>
          <t>貼り付け値</t>
        </is>
      </c>
      <c r="E66" s="600" t="inlineStr">
        <is>
          <t>=費用予算!F25〜F30 を参照（原価単価・稼働顧問先数・AI API費・サーバー費・決済手数料・コンサル直接経費）</t>
        </is>
      </c>
      <c r="F66" s="600" t="inlineStr">
        <is>
          <t>ハードコード禁止・費用予算と連動</t>
        </is>
      </c>
    </row>
    <row r="67">
      <c r="B67" s="600" t="inlineStr">
        <is>
          <t>taXel全体</t>
        </is>
      </c>
      <c r="C67" s="600" t="inlineStr">
        <is>
          <t>AB14:CI14</t>
        </is>
      </c>
      <c r="D67" s="600" t="inlineStr">
        <is>
          <t>=SUM(AB15:AB20)</t>
        </is>
      </c>
      <c r="E67" s="600" t="inlineStr">
        <is>
          <t>=SUM(AB17:AB20)</t>
        </is>
      </c>
      <c r="F67" s="600" t="inlineStr">
        <is>
          <t>原価合計に「AI原価単価(150円)」と「稼働顧問先数(社数)」が混入していた。費用予算のCOGS合計(27〜30行)と一致させた</t>
        </is>
      </c>
    </row>
    <row r="68">
      <c r="B68" s="600" t="inlineStr">
        <is>
          <t>taXel全体</t>
        </is>
      </c>
      <c r="C68" s="600" t="inlineStr">
        <is>
          <t>E14:I20</t>
        </is>
      </c>
      <c r="D68" s="600" t="inlineStr">
        <is>
          <t>=SUM(12ヶ月ブロック)</t>
        </is>
      </c>
      <c r="E68" s="600" t="inlineStr">
        <is>
          <t>=SUMIF(...)。単価・社数の15,16行は=SUMIF(...)/12（年平均）</t>
        </is>
      </c>
      <c r="F68" s="600" t="inlineStr">
        <is>
          <t>サンプルのKPI行（SUMIF÷12）と同じ集計。単価・社数を年間合算していた誤りを修正</t>
        </is>
      </c>
    </row>
    <row r="69">
      <c r="B69" s="600" t="inlineStr">
        <is>
          <t>taXel全体</t>
        </is>
      </c>
      <c r="C69" s="600" t="inlineStr">
        <is>
          <t>AB26:CI79（販管費28科目）</t>
        </is>
      </c>
      <c r="D69" s="600" t="inlineStr">
        <is>
          <t>外部ブック[1]「事業計画_20230708 (1).xlsx」(SES事業の人員計画・PL(SI)・PL(プロダクト)・原価+販売管理費)へのリンク、AB26は直値1,000,000</t>
        </is>
      </c>
      <c r="E69" s="600" t="inlineStr">
        <is>
          <t>各科目の「全社」行 =ROUND(年額/12,0)＋12ヶ月目に端数調整（販管費予算シートを参照）</t>
        </is>
      </c>
      <c r="F69" s="600" t="inlineStr">
        <is>
          <t>SES事業の数値流用を排除し、指定の販管費予算を正として月次展開</t>
        </is>
      </c>
    </row>
    <row r="70">
      <c r="B70" s="600" t="inlineStr">
        <is>
          <t>taXel全体</t>
        </is>
      </c>
      <c r="C70" s="600" t="inlineStr">
        <is>
          <t>SaaS/コンサル/プロダクト等の内訳行 AB:CI</t>
        </is>
      </c>
      <c r="D70" s="600" t="inlineStr">
        <is>
          <t>外部ブック[1]（SES）へのリンク</t>
        </is>
      </c>
      <c r="E70" s="600" t="inlineStr">
        <is>
          <t>空欄（事業別配賦なし。全額を「全社」行に計上）</t>
        </is>
      </c>
      <c r="F70" s="600" t="inlineStr">
        <is>
          <t>SES数値の排除。指定予算は全社合計のため配賦しない</t>
        </is>
      </c>
    </row>
    <row r="71">
      <c r="B71" s="600" t="inlineStr">
        <is>
          <t>taXel全体</t>
        </is>
      </c>
      <c r="C71" s="600" t="inlineStr">
        <is>
          <t>AB25:CI25</t>
        </is>
      </c>
      <c r="D71" s="600" t="inlineStr">
        <is>
          <t>=SUM(AB26,AB27,…)（AB〜AFのみ・行ずれあり）、AG〜CIは空欄</t>
        </is>
      </c>
      <c r="E71" s="600" t="inlineStr">
        <is>
          <t>=AB26+AB27+AB31+AB35+AB39+AB43+AB46+AB50+…+AB79（28科目の親行の合計）</t>
        </is>
      </c>
      <c r="F71" s="600" t="inlineStr">
        <is>
          <t>販管費合計を全月で完成</t>
        </is>
      </c>
    </row>
    <row r="72">
      <c r="B72" s="600" t="inlineStr">
        <is>
          <t>taXel全体</t>
        </is>
      </c>
      <c r="C72" s="600" t="inlineStr">
        <is>
          <t>E25:I79</t>
        </is>
      </c>
      <c r="D72" s="600" t="inlineStr">
        <is>
          <t>空欄／外部ブック参照／SUM(子行)</t>
        </is>
      </c>
      <c r="E72" s="600" t="inlineStr">
        <is>
          <t>=SUMIF($AB$3:$CI$3,E$4,$AB行:$CI行)</t>
        </is>
      </c>
      <c r="F72" s="600" t="inlineStr">
        <is>
          <t>月次→年次集計の統一</t>
        </is>
      </c>
    </row>
    <row r="73">
      <c r="B73" s="600" t="inlineStr">
        <is>
          <t>taXel全体</t>
        </is>
      </c>
      <c r="C73" s="600" t="inlineStr">
        <is>
          <t>K25:N25</t>
        </is>
      </c>
      <c r="D73" s="600" t="inlineStr">
        <is>
          <t>=K26+K27</t>
        </is>
      </c>
      <c r="E73" s="600" t="inlineStr">
        <is>
          <t>=SUMIF(...)（他行と同じ）</t>
        </is>
      </c>
      <c r="F73" s="600" t="inlineStr">
        <is>
          <t>販管費合計が役員報酬＋給与のみになっていた</t>
        </is>
      </c>
    </row>
    <row r="74">
      <c r="B74" s="600" t="inlineStr">
        <is>
          <t>taXel全体</t>
        </is>
      </c>
      <c r="C74" s="600" t="inlineStr">
        <is>
          <t>E23:I23</t>
        </is>
      </c>
      <c r="D74" s="600" t="inlineStr">
        <is>
          <t>=SUM(AN23:AY23)を全年度にコピー（Y3〜Y5の集計月がずれていた）</t>
        </is>
      </c>
      <c r="E74" s="600" t="inlineStr">
        <is>
          <t>=E5-E14</t>
        </is>
      </c>
      <c r="F74" s="600" t="inlineStr">
        <is>
          <t>売上総利益＝売上高−売上原価（サンプルと同じ差引方式）</t>
        </is>
      </c>
    </row>
    <row r="75">
      <c r="B75" s="600" t="inlineStr">
        <is>
          <t>taXel全体</t>
        </is>
      </c>
      <c r="C75" s="600" t="inlineStr">
        <is>
          <t>E80:I80, AG80:CI80</t>
        </is>
      </c>
      <c r="D75" s="600" t="inlineStr">
        <is>
          <t>空欄（AB〜AFのみ）</t>
        </is>
      </c>
      <c r="E75" s="600" t="inlineStr">
        <is>
          <t>=E23-E25 / =AG23-AG25</t>
        </is>
      </c>
      <c r="F75" s="600" t="inlineStr">
        <is>
          <t>営業損益を全期間で完成</t>
        </is>
      </c>
    </row>
    <row r="76">
      <c r="B76" s="600" t="inlineStr">
        <is>
          <t>taXel全体</t>
        </is>
      </c>
      <c r="C76" s="600" t="inlineStr">
        <is>
          <t>J5:J80</t>
        </is>
      </c>
      <c r="D76" s="600" t="inlineStr">
        <is>
          <t>=SUMIF(P$3:CN$3,"28年6月期",…)（常に0）</t>
        </is>
      </c>
      <c r="E76" s="600" t="inlineStr">
        <is>
          <t>=SUM(E行:I行)（利益行は差引、単価・社数行は平均）</t>
        </is>
      </c>
      <c r="F76" s="600" t="inlineStr">
        <is>
          <t>5カ年合計</t>
        </is>
      </c>
    </row>
    <row r="77">
      <c r="B77" s="600" t="inlineStr">
        <is>
          <t>taXel全体</t>
        </is>
      </c>
      <c r="C77" s="600" t="inlineStr">
        <is>
          <t>F13:J13, F24:J24, F81:J81</t>
        </is>
      </c>
      <c r="D77" s="600" t="inlineStr">
        <is>
          <t>J列 ＃REF!、E〜I空欄</t>
        </is>
      </c>
      <c r="E77" s="600" t="inlineStr">
        <is>
          <t>前期比 =IF(E5&gt;0,(F5-E5)/E5,"-")、J列は5カ年CAGR =IFERROR((I5/E5)^(1/4)-1,"-")</t>
        </is>
      </c>
      <c r="F77" s="600" t="inlineStr">
        <is>
          <t>＃REF!解消・サンプルの前期比ロジック</t>
        </is>
      </c>
    </row>
    <row r="78">
      <c r="B78" s="600" t="inlineStr">
        <is>
          <t>taXel全体</t>
        </is>
      </c>
      <c r="C78" s="600" t="inlineStr">
        <is>
          <t>J1:N1, J22:N22, AB22</t>
        </is>
      </c>
      <c r="D78" s="600" t="inlineStr">
        <is>
          <t>＃REF! / ＃DIV/0!</t>
        </is>
      </c>
      <c r="E78" s="600" t="inlineStr">
        <is>
          <t>IFERROR／IFで保護（J1＝Y5/Y1売上倍率、J22＝5カ年原価率）</t>
        </is>
      </c>
      <c r="F78" s="600" t="inlineStr">
        <is>
          <t>数式エラーの解消</t>
        </is>
      </c>
    </row>
    <row r="79">
      <c r="B79" s="600" t="inlineStr">
        <is>
          <t>taXel全体</t>
        </is>
      </c>
      <c r="C79" s="600" t="inlineStr">
        <is>
          <t>A87:CI97</t>
        </is>
      </c>
      <c r="D79" s="600" t="inlineStr">
        <is>
          <t>（なし）</t>
        </is>
      </c>
      <c r="E79" s="600" t="inlineStr">
        <is>
          <t>営業外収益・営業外費用（販管費予算から月次按分）→経常利益→税引前当期純利益→法人税等→当期純利益、前期比、営業利益率・純利益率</t>
        </is>
      </c>
      <c r="F79" s="600" t="inlineStr">
        <is>
          <t>全社PLを当期純利益まで完成</t>
        </is>
      </c>
    </row>
    <row r="80">
      <c r="B80" s="600" t="inlineStr">
        <is>
          <t>taXel全体</t>
        </is>
      </c>
      <c r="C80" s="600" t="inlineStr">
        <is>
          <t>A99:CI107</t>
        </is>
      </c>
      <c r="D80" s="600" t="inlineStr">
        <is>
          <t>（なし）</t>
        </is>
      </c>
      <c r="E80" s="600" t="inlineStr">
        <is>
          <t>事業別売上（B列タグでSUMIF）、SaaS契約事務所数・MRR・ARR・ARPA（SaaSシート参照、年次は期末値）</t>
        </is>
      </c>
      <c r="F80" s="600" t="inlineStr">
        <is>
          <t>投資家向けKPI</t>
        </is>
      </c>
    </row>
    <row r="81">
      <c r="B81" s="600" t="inlineStr">
        <is>
          <t>taXel全体</t>
        </is>
      </c>
      <c r="C81" s="600" t="inlineStr">
        <is>
          <t>A109:J114</t>
        </is>
      </c>
      <c r="D81" s="600" t="inlineStr">
        <is>
          <t>（なし）</t>
        </is>
      </c>
      <c r="E81" s="600" t="inlineStr">
        <is>
          <t>年次の税額計算：期首繰越欠損金→控除額→課税所得→法人税等(=ROUND(課税所得×実効税率))→期末繰越欠損金。月次の法人税等＝年額÷12</t>
        </is>
      </c>
      <c r="F81" s="600" t="inlineStr">
        <is>
          <t>赤字年度の欠損金を翌年以降に繰越して控除</t>
        </is>
      </c>
    </row>
    <row r="82">
      <c r="B82" s="600" t="inlineStr">
        <is>
          <t>費用予算</t>
        </is>
      </c>
      <c r="C82" s="600" t="inlineStr">
        <is>
          <t>8行（54セル）</t>
        </is>
      </c>
      <c r="D82" s="600" t="inlineStr">
        <is>
          <t>=ROUNDUP([2]売上!L18/100,0)</t>
        </is>
      </c>
      <c r="E82" s="600" t="inlineStr">
        <is>
          <t>=ROUNDUP(SaaS!L17/100,0)</t>
        </is>
      </c>
      <c r="F82" s="600" t="inlineStr">
        <is>
          <t>外部ブック[2]（目標予算_v2…xlsx、未添付）の売上シート→同内容のSaaSシート（契約事務所）に置換</t>
        </is>
      </c>
    </row>
    <row r="83">
      <c r="B83" s="600" t="inlineStr">
        <is>
          <t>費用予算</t>
        </is>
      </c>
      <c r="C83" s="600" t="inlineStr">
        <is>
          <t>9行（51セル）</t>
        </is>
      </c>
      <c r="D83" s="600" t="inlineStr">
        <is>
          <t>=ROUNDUP([2]売上!O19/8,0)</t>
        </is>
      </c>
      <c r="E83" s="600" t="inlineStr">
        <is>
          <t>=ROUNDUP(SaaS!O18/8,0)</t>
        </is>
      </c>
      <c r="F83" s="600" t="inlineStr">
        <is>
          <t>外部リンク解消（新規獲得数）</t>
        </is>
      </c>
    </row>
    <row r="84">
      <c r="B84" s="600" t="inlineStr">
        <is>
          <t>費用予算</t>
        </is>
      </c>
      <c r="C84" s="600" t="inlineStr">
        <is>
          <t>10行（60セル）</t>
        </is>
      </c>
      <c r="D84" s="600" t="inlineStr">
        <is>
          <t>=MAX(0,ROUNDUP([2]売上!F25/10,0)-1)</t>
        </is>
      </c>
      <c r="E84" s="600" t="inlineStr">
        <is>
          <t>=MAX(0,ROUNDUP('事業・組織再生コンサル'!F7/10,0)-1)</t>
        </is>
      </c>
      <c r="F84" s="600" t="inlineStr">
        <is>
          <t>外部リンク解消（契約コンサル案件）</t>
        </is>
      </c>
    </row>
    <row r="85">
      <c r="B85" s="600" t="inlineStr">
        <is>
          <t>費用予算</t>
        </is>
      </c>
      <c r="C85" s="600" t="inlineStr">
        <is>
          <t>26行（60セル）</t>
        </is>
      </c>
      <c r="D85" s="600" t="inlineStr">
        <is>
          <t>=[2]売上!F18*20*0.6</t>
        </is>
      </c>
      <c r="E85" s="600" t="inlineStr">
        <is>
          <t>=SaaS!F17*20*0.6</t>
        </is>
      </c>
      <c r="F85" s="600" t="inlineStr">
        <is>
          <t>外部リンク解消（契約事務所）</t>
        </is>
      </c>
    </row>
    <row r="86">
      <c r="B86" s="600" t="inlineStr">
        <is>
          <t>費用予算</t>
        </is>
      </c>
      <c r="C86" s="600" t="inlineStr">
        <is>
          <t>29行（60セル）</t>
        </is>
      </c>
      <c r="D86" s="600" t="inlineStr">
        <is>
          <t>=[2]売上!F6*0.036</t>
        </is>
      </c>
      <c r="E86" s="600" t="inlineStr">
        <is>
          <t>=SaaS!F5*0.036</t>
        </is>
      </c>
      <c r="F86" s="600" t="inlineStr">
        <is>
          <t>外部リンク解消（SaaS売上）</t>
        </is>
      </c>
    </row>
    <row r="87">
      <c r="B87" s="600" t="inlineStr">
        <is>
          <t>費用予算</t>
        </is>
      </c>
      <c r="C87" s="600" t="inlineStr">
        <is>
          <t>35行（60セル）</t>
        </is>
      </c>
      <c r="D87" s="600" t="inlineStr">
        <is>
          <t>=F34*[2]売上!F19</t>
        </is>
      </c>
      <c r="E87" s="600" t="inlineStr">
        <is>
          <t>=F34*SaaS!F18</t>
        </is>
      </c>
      <c r="F87" s="600" t="inlineStr">
        <is>
          <t>外部リンク解消（新規獲得数）</t>
        </is>
      </c>
    </row>
    <row r="88">
      <c r="B88" s="600" t="inlineStr">
        <is>
          <t>費用予算</t>
        </is>
      </c>
      <c r="C88" s="600" t="inlineStr">
        <is>
          <t>50行（60セル）</t>
        </is>
      </c>
      <c r="D88" s="600" t="inlineStr">
        <is>
          <t>=[2]売上!F5-F49</t>
        </is>
      </c>
      <c r="E88" s="600" t="inlineStr">
        <is>
          <t>='taXel全体'!AB5-F49</t>
        </is>
      </c>
      <c r="F88" s="600" t="inlineStr">
        <is>
          <t>外部リンク解消（全社売上高）</t>
        </is>
      </c>
    </row>
    <row r="89">
      <c r="B89" s="600" t="inlineStr">
        <is>
          <t>SaaS</t>
        </is>
      </c>
      <c r="C89" s="600" t="inlineStr">
        <is>
          <t>26行（60セル）</t>
        </is>
      </c>
      <c r="D89" s="600" t="inlineStr">
        <is>
          <t>=[2]売上!F3*0.036（参照先が空行のため常に0）</t>
        </is>
      </c>
      <c r="E89" s="600" t="inlineStr">
        <is>
          <t>=F5*0.036</t>
        </is>
      </c>
      <c r="F89" s="600" t="inlineStr">
        <is>
          <t>外部リンク解消。メモ「Stripe 3.6%×SaaS売上」どおりSAAS売上(5行)を参照</t>
        </is>
      </c>
    </row>
    <row r="90">
      <c r="B90" s="600" t="inlineStr">
        <is>
          <t>SaaS</t>
        </is>
      </c>
      <c r="C90" s="600" t="inlineStr">
        <is>
          <t>27行（60セル）</t>
        </is>
      </c>
      <c r="D90" s="600" t="inlineStr">
        <is>
          <t>=[2]売上!F19*0.05（新規件数×5%になっていた）</t>
        </is>
      </c>
      <c r="E90" s="600" t="inlineStr">
        <is>
          <t>='事業・組織再生コンサル'!F4*0.05</t>
        </is>
      </c>
      <c r="F90" s="600" t="inlineStr">
        <is>
          <t>外部リンク解消。メモ「コンサル売上の5%」どおりコンサル売上を参照</t>
        </is>
      </c>
    </row>
    <row r="91">
      <c r="B91" s="600" t="inlineStr">
        <is>
          <t>費用予算</t>
        </is>
      </c>
      <c r="C91" s="600" t="inlineStr">
        <is>
          <t>D35</t>
        </is>
      </c>
      <c r="D91" s="600" t="inlineStr">
        <is>
          <t>=CAC×当月新規獲得（メモ文字列が数式扱い→＃NAME?）</t>
        </is>
      </c>
      <c r="E91" s="600" t="inlineStr">
        <is>
          <t>'＝CAC×当月新規獲得'（文字列）</t>
        </is>
      </c>
      <c r="F91" s="600" t="inlineStr">
        <is>
          <t>＃NAME?エラー解消</t>
        </is>
      </c>
    </row>
    <row r="92">
      <c r="B92" s="600" t="inlineStr">
        <is>
          <t>（ブック全体）</t>
        </is>
      </c>
      <c r="C92" s="600" t="inlineStr">
        <is>
          <t>外部リンク</t>
        </is>
      </c>
      <c r="D92" s="600" t="inlineStr">
        <is>
          <t>[1] 事業計画_20230708 (1).xlsx（SES）、[2] 目標予算_v2_紹介商品追加 - コピー.xlsx</t>
        </is>
      </c>
      <c r="E92" s="600" t="inlineStr">
        <is>
          <t>削除（全参照をブック内シートに置換済み）</t>
        </is>
      </c>
      <c r="F92" s="600" t="inlineStr">
        <is>
          <t>SES数値の排除、リンク切れ（＃REF!）防止</t>
        </is>
      </c>
    </row>
    <row r="93">
      <c r="B93" s="600" t="inlineStr">
        <is>
          <t>taXel全体</t>
        </is>
      </c>
      <c r="C93" s="600" t="inlineStr">
        <is>
          <t>K〜N列ほか（244セル）</t>
        </is>
      </c>
      <c r="D93" s="600" t="inlineStr">
        <is>
          <t>=SUMIF($P$3:$CN$1048576,K$4,$P6:$CN6)</t>
        </is>
      </c>
      <c r="E93" s="600" t="inlineStr">
        <is>
          <t>=SUMIF($P$3:$CN$3,K$4,$P6:$CN6)</t>
        </is>
      </c>
      <c r="F93" s="600" t="inlineStr">
        <is>
          <t>条件範囲がシート最終行までの2次元範囲になっており、環境によって＃REF!になる。見出し行（3行目）に限定（値は不変）</t>
        </is>
      </c>
    </row>
    <row r="95">
      <c r="B95" s="601" t="inlineStr">
        <is>
          <t>④ 完成させた箇所／未完成だった箇所</t>
        </is>
      </c>
    </row>
    <row r="96">
      <c r="B96" s="602" t="inlineStr">
        <is>
          <t>区分</t>
        </is>
      </c>
      <c r="C96" s="602" t="inlineStr">
        <is>
          <t>内容</t>
        </is>
      </c>
      <c r="D96" s="602" t="inlineStr"/>
      <c r="E96" s="602" t="inlineStr"/>
    </row>
    <row r="97">
      <c r="B97" s="600" t="inlineStr">
        <is>
          <t>完成</t>
        </is>
      </c>
      <c r="C97" s="600" t="inlineStr">
        <is>
          <t>売上高（7事業、全60ヶ月・年次・5カ年をシート参照で自動化）</t>
        </is>
      </c>
    </row>
    <row r="98">
      <c r="B98" s="600" t="inlineStr">
        <is>
          <t>完成</t>
        </is>
      </c>
      <c r="C98" s="600" t="inlineStr">
        <is>
          <t>売上原価（費用予算と連動。原価合計への単価・社数混入を修正）</t>
        </is>
      </c>
    </row>
    <row r="99">
      <c r="B99" s="600" t="inlineStr">
        <is>
          <t>完成</t>
        </is>
      </c>
      <c r="C99" s="600" t="inlineStr">
        <is>
          <t>販管費（指定予算28科目を月次按分。SES外部リンクを全廃）</t>
        </is>
      </c>
    </row>
    <row r="100">
      <c r="B100" s="600" t="inlineStr">
        <is>
          <t>完成</t>
        </is>
      </c>
      <c r="C100" s="600" t="inlineStr">
        <is>
          <t>営業利益（AG〜CI列が空欄だったものを全月で完成）</t>
        </is>
      </c>
    </row>
    <row r="101">
      <c r="B101" s="600" t="inlineStr">
        <is>
          <t>新規</t>
        </is>
      </c>
      <c r="C101" s="600" t="inlineStr">
        <is>
          <t>営業外収益・営業外費用・経常利益・税引前当期純利益・法人税等・当期純利益、前期比・利益率</t>
        </is>
      </c>
    </row>
    <row r="102">
      <c r="B102" s="600" t="inlineStr">
        <is>
          <t>新規</t>
        </is>
      </c>
      <c r="C102" s="600" t="inlineStr">
        <is>
          <t>事業別売上（SaaS／紹介／仲介／コンサル）・SaaS KPI（契約事務所・MRR・ARR・ARPA）・法人税計算（繰越欠損金）</t>
        </is>
      </c>
    </row>
    <row r="103">
      <c r="B103" s="600" t="inlineStr">
        <is>
          <t>元の未完成</t>
        </is>
      </c>
      <c r="C103" s="600" t="inlineStr">
        <is>
          <t>販管費の月次（AG〜CI）・年次（E〜I）が空欄、営業損益がAB〜AFのみ、営業外以降が存在しない</t>
        </is>
      </c>
    </row>
    <row r="104">
      <c r="B104" s="600" t="inlineStr">
        <is>
          <t>元の不具合</t>
        </is>
      </c>
      <c r="C104" s="600" t="inlineStr">
        <is>
          <t>J〜N列の会計年度ラベル不一致（常に0）、売上総利益Y3〜Y5の集計月ずれ、＃REF!/＃DIV/0!/＃NAME? 計13セル、外部ブック2件へのリンク（SES事業計画・未添付の目標予算）</t>
        </is>
      </c>
    </row>
    <row r="106">
      <c r="B106" s="601" t="inlineStr">
        <is>
          <t>⑤ 全社PLの構造（taXel全体）</t>
        </is>
      </c>
    </row>
    <row r="107">
      <c r="B107" s="602" t="inlineStr">
        <is>
          <t>区分</t>
        </is>
      </c>
      <c r="C107" s="602" t="inlineStr">
        <is>
          <t>行</t>
        </is>
      </c>
      <c r="D107" s="602" t="inlineStr">
        <is>
          <t>計算</t>
        </is>
      </c>
      <c r="E107" s="602" t="inlineStr"/>
    </row>
    <row r="108">
      <c r="B108" s="600" t="inlineStr">
        <is>
          <t>売上高</t>
        </is>
      </c>
      <c r="C108" s="600" t="inlineStr">
        <is>
          <t>5（6〜12）</t>
        </is>
      </c>
      <c r="D108" s="600" t="inlineStr">
        <is>
          <t>事業別売上の合計。B列に事業区分タグ</t>
        </is>
      </c>
    </row>
    <row r="109">
      <c r="B109" s="600" t="inlineStr">
        <is>
          <t>売上原価</t>
        </is>
      </c>
      <c r="C109" s="600" t="inlineStr">
        <is>
          <t>14（15〜20）</t>
        </is>
      </c>
      <c r="D109" s="600" t="inlineStr">
        <is>
          <t>AI API費＋サーバー・DB費＋決済手数料＋コンサル直接経費（15,16行は単価・社数＝参考KPI）</t>
        </is>
      </c>
    </row>
    <row r="110">
      <c r="B110" s="600" t="inlineStr">
        <is>
          <t>売上総利益</t>
        </is>
      </c>
      <c r="C110" s="600" t="inlineStr">
        <is>
          <t>23</t>
        </is>
      </c>
      <c r="D110" s="600" t="inlineStr">
        <is>
          <t>売上高−売上原価</t>
        </is>
      </c>
    </row>
    <row r="111">
      <c r="B111" s="600" t="inlineStr">
        <is>
          <t>販管費</t>
        </is>
      </c>
      <c r="C111" s="600" t="inlineStr">
        <is>
          <t>25（26〜79）</t>
        </is>
      </c>
      <c r="D111" s="600" t="inlineStr">
        <is>
          <t>28勘定科目の合計。内訳行（全社／SaaS／コンサル）は全社行に計上</t>
        </is>
      </c>
    </row>
    <row r="112">
      <c r="B112" s="600" t="inlineStr">
        <is>
          <t>営業利益</t>
        </is>
      </c>
      <c r="C112" s="600" t="inlineStr">
        <is>
          <t>80</t>
        </is>
      </c>
      <c r="D112" s="600" t="inlineStr">
        <is>
          <t>売上総利益−販管費</t>
        </is>
      </c>
    </row>
    <row r="113">
      <c r="B113" s="600" t="inlineStr">
        <is>
          <t>営業外収益／費用</t>
        </is>
      </c>
      <c r="C113" s="600" t="inlineStr">
        <is>
          <t>88／89</t>
        </is>
      </c>
      <c r="D113" s="600" t="inlineStr">
        <is>
          <t>販管費予算の年額を月次按分（現状0）</t>
        </is>
      </c>
    </row>
    <row r="114">
      <c r="B114" s="600" t="inlineStr">
        <is>
          <t>経常利益</t>
        </is>
      </c>
      <c r="C114" s="600" t="inlineStr">
        <is>
          <t>90</t>
        </is>
      </c>
      <c r="D114" s="600" t="inlineStr">
        <is>
          <t>営業利益＋営業外収益−営業外費用</t>
        </is>
      </c>
    </row>
    <row r="115">
      <c r="B115" s="600" t="inlineStr">
        <is>
          <t>税引前当期純利益</t>
        </is>
      </c>
      <c r="C115" s="600" t="inlineStr">
        <is>
          <t>92</t>
        </is>
      </c>
      <c r="D115" s="600" t="inlineStr">
        <is>
          <t>経常利益（特別損益なし）</t>
        </is>
      </c>
    </row>
    <row r="116">
      <c r="B116" s="600" t="inlineStr">
        <is>
          <t>法人税等</t>
        </is>
      </c>
      <c r="C116" s="600" t="inlineStr">
        <is>
          <t>93（110〜114）</t>
        </is>
      </c>
      <c r="D116" s="600" t="inlineStr">
        <is>
          <t>年次で繰越欠損金控除後の課税所得×実効税率、月次は÷12</t>
        </is>
      </c>
    </row>
    <row r="117">
      <c r="B117" s="600" t="inlineStr">
        <is>
          <t>当期純利益</t>
        </is>
      </c>
      <c r="C117" s="600" t="inlineStr">
        <is>
          <t>94</t>
        </is>
      </c>
      <c r="D117" s="600" t="inlineStr">
        <is>
          <t>税引前当期純利益−法人税等</t>
        </is>
      </c>
    </row>
    <row r="118">
      <c r="B118" s="604" t="inlineStr">
        <is>
          <t>5カ年サマリー（taXel全体へのリンク・自動更新）</t>
        </is>
      </c>
    </row>
    <row r="119">
      <c r="B119" s="602" t="inlineStr">
        <is>
          <t>科目</t>
        </is>
      </c>
      <c r="C119" s="602" t="inlineStr">
        <is>
          <t>行</t>
        </is>
      </c>
      <c r="D119" s="602" t="inlineStr">
        <is>
          <t>Y1</t>
        </is>
      </c>
      <c r="E119" s="602" t="inlineStr">
        <is>
          <t>Y2</t>
        </is>
      </c>
      <c r="F119" s="602" t="inlineStr">
        <is>
          <t>Y3</t>
        </is>
      </c>
      <c r="G119" s="602" t="inlineStr">
        <is>
          <t>Y4</t>
        </is>
      </c>
      <c r="H119" s="602" t="inlineStr">
        <is>
          <t>Y5</t>
        </is>
      </c>
      <c r="I119" s="602" t="inlineStr">
        <is>
          <t>5カ年合計</t>
        </is>
      </c>
    </row>
    <row r="120">
      <c r="B120" s="605" t="inlineStr">
        <is>
          <t>売上高</t>
        </is>
      </c>
      <c r="C120" s="605" t="inlineStr">
        <is>
          <t>5行</t>
        </is>
      </c>
      <c r="D120" s="606">
        <f>'taXel全体'!E5</f>
        <v>23100792.0277175</v>
      </c>
      <c r="E120" s="606">
        <f>'taXel全体'!F5</f>
        <v>107598324.230985</v>
      </c>
      <c r="F120" s="606">
        <f>'taXel全体'!G5</f>
        <v>217984996.625496</v>
      </c>
      <c r="G120" s="606">
        <f>'taXel全体'!H5</f>
        <v>347061203.118584</v>
      </c>
      <c r="H120" s="606">
        <f>'taXel全体'!I5</f>
        <v>502039527.619712</v>
      </c>
      <c r="I120" s="606">
        <f>'taXel全体'!J5</f>
        <v>1197784843.62249</v>
      </c>
    </row>
    <row r="121">
      <c r="B121" s="605" t="inlineStr">
        <is>
          <t>売上原価</t>
        </is>
      </c>
      <c r="C121" s="605" t="inlineStr">
        <is>
          <t>14行</t>
        </is>
      </c>
      <c r="D121" s="606">
        <f>'taXel全体'!E14</f>
        <v>1950363.21762842</v>
      </c>
      <c r="E121" s="606">
        <f>'taXel全体'!F14</f>
        <v>8004320.49102169</v>
      </c>
      <c r="F121" s="606">
        <f>'taXel全体'!G14</f>
        <v>16231490.3971259</v>
      </c>
      <c r="G121" s="606">
        <f>'taXel全体'!H14</f>
        <v>26316702.9705331</v>
      </c>
      <c r="H121" s="606">
        <f>'taXel全体'!I14</f>
        <v>39109407.219837</v>
      </c>
      <c r="I121" s="606">
        <f>'taXel全体'!J14</f>
        <v>91612284.2961461</v>
      </c>
    </row>
    <row r="122">
      <c r="B122" s="605" t="inlineStr">
        <is>
          <t>売上総利益</t>
        </is>
      </c>
      <c r="C122" s="605" t="inlineStr">
        <is>
          <t>23行</t>
        </is>
      </c>
      <c r="D122" s="606">
        <f>'taXel全体'!E23</f>
        <v>21150428.8100891</v>
      </c>
      <c r="E122" s="606">
        <f>'taXel全体'!F23</f>
        <v>99594003.7399637</v>
      </c>
      <c r="F122" s="606">
        <f>'taXel全体'!G23</f>
        <v>201753506.22837</v>
      </c>
      <c r="G122" s="606">
        <f>'taXel全体'!H23</f>
        <v>320744500.148051</v>
      </c>
      <c r="H122" s="606">
        <f>'taXel全体'!I23</f>
        <v>462930120.399875</v>
      </c>
      <c r="I122" s="606">
        <f>'taXel全体'!J23</f>
        <v>1106172559.32635</v>
      </c>
    </row>
    <row r="123">
      <c r="B123" s="605" t="inlineStr">
        <is>
          <t>販管費</t>
        </is>
      </c>
      <c r="C123" s="605" t="inlineStr">
        <is>
          <t>25行</t>
        </is>
      </c>
      <c r="D123" s="606">
        <f>'taXel全体'!E25</f>
        <v>54400000.0</v>
      </c>
      <c r="E123" s="606">
        <f>'taXel全体'!F25</f>
        <v>111500000.0</v>
      </c>
      <c r="F123" s="606">
        <f>'taXel全体'!G25</f>
        <v>205900000.0</v>
      </c>
      <c r="G123" s="606">
        <f>'taXel全体'!H25</f>
        <v>316400000.0</v>
      </c>
      <c r="H123" s="606">
        <f>'taXel全体'!I25</f>
        <v>522100000.0</v>
      </c>
      <c r="I123" s="606">
        <f>'taXel全体'!J25</f>
        <v>1210300000.0</v>
      </c>
    </row>
    <row r="124">
      <c r="B124" s="605" t="inlineStr">
        <is>
          <t>営業利益</t>
        </is>
      </c>
      <c r="C124" s="605" t="inlineStr">
        <is>
          <t>80行</t>
        </is>
      </c>
      <c r="D124" s="606">
        <f>'taXel全体'!E80</f>
        <v>-33249571.1899109</v>
      </c>
      <c r="E124" s="606">
        <f>'taXel全体'!F80</f>
        <v>-11905996.2600363</v>
      </c>
      <c r="F124" s="606">
        <f>'taXel全体'!G80</f>
        <v>-4146493.77162999</v>
      </c>
      <c r="G124" s="606">
        <f>'taXel全体'!H80</f>
        <v>4344500.14805055</v>
      </c>
      <c r="H124" s="606">
        <f>'taXel全体'!I80</f>
        <v>-59169879.6001254</v>
      </c>
      <c r="I124" s="606">
        <f>'taXel全体'!J80</f>
        <v>-104127440.673652</v>
      </c>
    </row>
    <row r="125">
      <c r="B125" s="605" t="inlineStr">
        <is>
          <t>営業外収益</t>
        </is>
      </c>
      <c r="C125" s="605" t="inlineStr">
        <is>
          <t>88行</t>
        </is>
      </c>
      <c r="D125" s="606">
        <f>'taXel全体'!E88</f>
        <v>0.0</v>
      </c>
      <c r="E125" s="606">
        <f>'taXel全体'!F88</f>
        <v>0.0</v>
      </c>
      <c r="F125" s="606">
        <f>'taXel全体'!G88</f>
        <v>0.0</v>
      </c>
      <c r="G125" s="606">
        <f>'taXel全体'!H88</f>
        <v>0.0</v>
      </c>
      <c r="H125" s="606">
        <f>'taXel全体'!I88</f>
        <v>0.0</v>
      </c>
      <c r="I125" s="606">
        <f>'taXel全体'!J88</f>
        <v>0.0</v>
      </c>
    </row>
    <row r="126">
      <c r="B126" s="605" t="inlineStr">
        <is>
          <t>営業外費用</t>
        </is>
      </c>
      <c r="C126" s="605" t="inlineStr">
        <is>
          <t>89行</t>
        </is>
      </c>
      <c r="D126" s="606">
        <f>'taXel全体'!E89</f>
        <v>0.0</v>
      </c>
      <c r="E126" s="606">
        <f>'taXel全体'!F89</f>
        <v>0.0</v>
      </c>
      <c r="F126" s="606">
        <f>'taXel全体'!G89</f>
        <v>0.0</v>
      </c>
      <c r="G126" s="606">
        <f>'taXel全体'!H89</f>
        <v>0.0</v>
      </c>
      <c r="H126" s="606">
        <f>'taXel全体'!I89</f>
        <v>0.0</v>
      </c>
      <c r="I126" s="606">
        <f>'taXel全体'!J89</f>
        <v>0.0</v>
      </c>
    </row>
    <row r="127">
      <c r="B127" s="605" t="inlineStr">
        <is>
          <t>経常利益</t>
        </is>
      </c>
      <c r="C127" s="605" t="inlineStr">
        <is>
          <t>90行</t>
        </is>
      </c>
      <c r="D127" s="606">
        <f>'taXel全体'!E90</f>
        <v>-33249571.1899109</v>
      </c>
      <c r="E127" s="606">
        <f>'taXel全体'!F90</f>
        <v>-11905996.2600363</v>
      </c>
      <c r="F127" s="606">
        <f>'taXel全体'!G90</f>
        <v>-4146493.77162999</v>
      </c>
      <c r="G127" s="606">
        <f>'taXel全体'!H90</f>
        <v>4344500.14805055</v>
      </c>
      <c r="H127" s="606">
        <f>'taXel全体'!I90</f>
        <v>-59169879.6001254</v>
      </c>
      <c r="I127" s="606">
        <f>'taXel全体'!J90</f>
        <v>-104127440.673652</v>
      </c>
    </row>
    <row r="128">
      <c r="B128" s="605" t="inlineStr">
        <is>
          <t>税引前当期純利益</t>
        </is>
      </c>
      <c r="C128" s="605" t="inlineStr">
        <is>
          <t>92行</t>
        </is>
      </c>
      <c r="D128" s="606">
        <f>'taXel全体'!E92</f>
        <v>-33249571.1899109</v>
      </c>
      <c r="E128" s="606">
        <f>'taXel全体'!F92</f>
        <v>-11905996.2600363</v>
      </c>
      <c r="F128" s="606">
        <f>'taXel全体'!G92</f>
        <v>-4146493.77162999</v>
      </c>
      <c r="G128" s="606">
        <f>'taXel全体'!H92</f>
        <v>4344500.14805055</v>
      </c>
      <c r="H128" s="606">
        <f>'taXel全体'!I92</f>
        <v>-59169879.6001254</v>
      </c>
      <c r="I128" s="606">
        <f>'taXel全体'!J92</f>
        <v>-104127440.673652</v>
      </c>
    </row>
    <row r="129">
      <c r="B129" s="605" t="inlineStr">
        <is>
          <t>法人税等</t>
        </is>
      </c>
      <c r="C129" s="605" t="inlineStr">
        <is>
          <t>93行</t>
        </is>
      </c>
      <c r="D129" s="606">
        <f>'taXel全体'!E93</f>
        <v>0.0</v>
      </c>
      <c r="E129" s="606">
        <f>'taXel全体'!F93</f>
        <v>0.0</v>
      </c>
      <c r="F129" s="606">
        <f>'taXel全体'!G93</f>
        <v>0.0</v>
      </c>
      <c r="G129" s="606">
        <f>'taXel全体'!H93</f>
        <v>0.0</v>
      </c>
      <c r="H129" s="606">
        <f>'taXel全体'!I93</f>
        <v>0.0</v>
      </c>
      <c r="I129" s="606">
        <f>'taXel全体'!J93</f>
        <v>0.0</v>
      </c>
    </row>
    <row r="130">
      <c r="B130" s="605" t="inlineStr">
        <is>
          <t>当期純利益</t>
        </is>
      </c>
      <c r="C130" s="605" t="inlineStr">
        <is>
          <t>94行</t>
        </is>
      </c>
      <c r="D130" s="606">
        <f>'taXel全体'!E94</f>
        <v>-33249571.1899109</v>
      </c>
      <c r="E130" s="606">
        <f>'taXel全体'!F94</f>
        <v>-11905996.2600363</v>
      </c>
      <c r="F130" s="606">
        <f>'taXel全体'!G94</f>
        <v>-4146493.77162999</v>
      </c>
      <c r="G130" s="606">
        <f>'taXel全体'!H94</f>
        <v>4344500.14805055</v>
      </c>
      <c r="H130" s="606">
        <f>'taXel全体'!I94</f>
        <v>-59169879.6001254</v>
      </c>
      <c r="I130" s="606">
        <f>'taXel全体'!J94</f>
        <v>-104127440.673652</v>
      </c>
    </row>
    <row r="132">
      <c r="B132" s="601" t="inlineStr">
        <is>
          <t>⑥ 月次 → 年次 → 5カ年 集計ロジック</t>
        </is>
      </c>
    </row>
    <row r="133">
      <c r="B133" s="602" t="inlineStr">
        <is>
          <t>段階</t>
        </is>
      </c>
      <c r="C133" s="602" t="inlineStr">
        <is>
          <t>仕組み</t>
        </is>
      </c>
      <c r="D133" s="602" t="inlineStr"/>
      <c r="E133" s="602" t="inlineStr"/>
    </row>
    <row r="134">
      <c r="B134" s="600" t="inlineStr">
        <is>
          <t>月次（AB〜CI列＝M1〜M60）</t>
        </is>
      </c>
      <c r="C134" s="600" t="inlineStr">
        <is>
          <t>売上・原価は事業シート／費用予算の同じ月を参照（taXel全体AB列 ↔ 各シートF列）。販管費・営業外は 年額÷12（ROUND）、各年度12ヶ月目＝年額−11ヶ月分 で端数調整し、1〜12月合計＝年額予算を保証</t>
        </is>
      </c>
    </row>
    <row r="135">
      <c r="B135" s="600" t="inlineStr">
        <is>
          <t>年次キー</t>
        </is>
      </c>
      <c r="C135" s="600" t="inlineStr">
        <is>
          <t>3行目に各月の会計年度ラベル（AB〜AM＝23年6月期 … BX〜CI＝27年6月期）。年次列E4〜I4は =AB3,=AN3,=AZ3,=BL3,=BX3 で同じラベルを参照</t>
        </is>
      </c>
    </row>
    <row r="136">
      <c r="B136" s="600" t="inlineStr">
        <is>
          <t>年次（E〜I列＝Y1〜Y5）</t>
        </is>
      </c>
      <c r="C136" s="600" t="inlineStr">
        <is>
          <t>=SUMIF($AB$3:$CI$3,E$4,$AB行:$CI行)（サンプルE〜O列と同方式）。単価・社数は÷12で年平均、ストックKPIは期末月の値、利益は年次列同士の差引</t>
        </is>
      </c>
    </row>
    <row r="137">
      <c r="B137" s="600" t="inlineStr">
        <is>
          <t>5カ年（J列）</t>
        </is>
      </c>
      <c r="C137" s="600" t="inlineStr">
        <is>
          <t>=SUM(E:I)。前期比行はCAGR（=(Y5/Y1)^(1/4)−1）、比率行は5カ年合計ベース</t>
        </is>
      </c>
    </row>
    <row r="138">
      <c r="B138" s="600" t="inlineStr">
        <is>
          <t>販管費予算の変更</t>
        </is>
      </c>
      <c r="C138" s="600" t="inlineStr">
        <is>
          <t>販管費予算シートの年額（黄色セル）を変えると、月次→年次→5カ年→営業利益→税→当期純利益まで自動更新</t>
        </is>
      </c>
    </row>
    <row r="140">
      <c r="B140" s="601" t="inlineStr">
        <is>
          <t>⑦ 要確認事項</t>
        </is>
      </c>
    </row>
    <row r="141">
      <c r="B141" s="602" t="inlineStr">
        <is>
          <t>項目</t>
        </is>
      </c>
      <c r="C141" s="602" t="inlineStr">
        <is>
          <t>内容</t>
        </is>
      </c>
      <c r="D141" s="602" t="inlineStr"/>
      <c r="E141" s="602" t="inlineStr"/>
    </row>
    <row r="142">
      <c r="B142" s="600" t="inlineStr">
        <is>
          <t>法人税等の実効税率</t>
        </is>
      </c>
      <c r="C142" s="600" t="inlineStr">
        <is>
          <t>34%を仮置き（販管費予算シート）。税理士確認のうえ修正してください。均等割（赤字でも年7万円程度）は未計上</t>
        </is>
      </c>
    </row>
    <row r="143">
      <c r="B143" s="600" t="inlineStr">
        <is>
          <t>営業外収益・費用</t>
        </is>
      </c>
      <c r="C143" s="600" t="inlineStr">
        <is>
          <t>計画値がないため0。借入・利息・補助金等があれば販管費予算シートに入力</t>
        </is>
      </c>
    </row>
    <row r="144">
      <c r="B144" s="600" t="inlineStr">
        <is>
          <t>期首繰越欠損金</t>
        </is>
      </c>
      <c r="C144" s="600" t="inlineStr">
        <is>
          <t>0で仮置き。設立以来の欠損金があれば入力</t>
        </is>
      </c>
    </row>
    <row r="145">
      <c r="B145" s="600" t="inlineStr">
        <is>
          <t>5年目の営業赤字</t>
        </is>
      </c>
      <c r="C145" s="600" t="inlineStr">
        <is>
          <t>指定販管費（Y5 5.22億円）が売上総利益（Y5 約4.63億円）を上回るため、Y5は営業赤字（Y4のみ黒字）。数値は指定どおりで変更していません</t>
        </is>
      </c>
    </row>
    <row r="146">
      <c r="B146" s="600" t="inlineStr">
        <is>
          <t>費用予算シートとの関係</t>
        </is>
      </c>
      <c r="C146" s="600" t="inlineStr">
        <is>
          <t>費用予算（人員ベースの販管費・営業損益）は旧モデルとして残置。全社PLの販管費は指定予算（販管費予算シート）を使用。費用予算の売上原価のみPLに使用</t>
        </is>
      </c>
    </row>
    <row r="147">
      <c r="B147" s="600" t="inlineStr">
        <is>
          <t>費用予算 営業損益（50行）</t>
        </is>
      </c>
      <c r="C147" s="600" t="inlineStr">
        <is>
          <t>外部ブック[2]の旧売上合計を参照していたため、全社売上高（taXel全体5行）参照に置換。値が変動（Y1：−7,195,752→−6,344,571）。累計損益・現金残高も連動</t>
        </is>
      </c>
    </row>
    <row r="148">
      <c r="B148" s="600" t="inlineStr">
        <is>
          <t>SaaSシート 26〜27行</t>
        </is>
      </c>
      <c r="C148" s="600" t="inlineStr">
        <is>
          <t>外部リンク置換時、メモどおり「SaaS売上×3.6%」「コンサル売上×5%」に修正（旧式は空行参照で0／新規件数×5%）。全社PLでは未使用</t>
        </is>
      </c>
    </row>
    <row r="149">
      <c r="B149" s="600" t="inlineStr">
        <is>
          <t>検証ブロック（taXel全体 83〜85行）</t>
        </is>
      </c>
      <c r="C149" s="600" t="inlineStr">
        <is>
          <t>84行「PL帳簿」はサンプル（SES）の実績値が残存。既存数値のため変更していませんが、SES数値のため削除を推奨</t>
        </is>
      </c>
    </row>
    <row r="150">
      <c r="B150" s="600" t="inlineStr">
        <is>
          <t>費用予算 30行 コンサル直接経費</t>
        </is>
      </c>
      <c r="C150" s="600" t="inlineStr">
        <is>
          <t>月次値が直値（ハードコード）。メモ「コンサル売上の5%」とも一致しないため要確認（既存値のため未変更）</t>
        </is>
      </c>
    </row>
    <row r="151">
      <c r="B151" s="600" t="inlineStr">
        <is>
          <t>PB売上</t>
        </is>
      </c>
      <c r="C151" s="600" t="inlineStr">
        <is>
          <t>旧全社PLは整数に丸めた貼付値だったため、シート参照化で年間±1円未満の差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Ryoma Leo Sato</dc:creator>
  <dcterms:created xmlns:dcterms="http://purl.org/dc/terms/" xmlns:xsi="http://www.w3.org/2001/XMLSchema-instance" xsi:type="dcterms:W3CDTF">2026-09-13T10:39:56Z</dcterms:created>
  <dcterms:modified xmlns:dcterms="http://purl.org/dc/terms/" xmlns:xsi="http://www.w3.org/2001/XMLSchema-instance" xsi:type="dcterms:W3CDTF">2026-10-07T14:55:57Z</dcterms:modified>
  <cp:lastModifiedBy>佐藤 龍馬</cp:lastModifiedBy>
</cp:coreProperties>
</file>