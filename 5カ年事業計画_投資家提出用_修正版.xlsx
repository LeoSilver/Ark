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8800" windowHeight="18060" tabRatio="600" firstSheet="0" activeTab="4" autoFilterDateGrouping="1"/>
  </bookViews>
  <sheets>
    <sheet xmlns:r="http://schemas.openxmlformats.org/officeDocument/2006/relationships" name="ビジとり" sheetId="1" state="visible" r:id="rId1"/>
    <sheet xmlns:r="http://schemas.openxmlformats.org/officeDocument/2006/relationships" name="支払い.com" sheetId="2" state="visible" r:id="rId2"/>
    <sheet xmlns:r="http://schemas.openxmlformats.org/officeDocument/2006/relationships" name="PB" sheetId="3" state="visible" r:id="rId3"/>
    <sheet xmlns:r="http://schemas.openxmlformats.org/officeDocument/2006/relationships" name="電力コスト削減" sheetId="4" state="visible" r:id="rId4"/>
    <sheet xmlns:r="http://schemas.openxmlformats.org/officeDocument/2006/relationships" name=" 売掛保証（保証型ファクタリング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_);[Red]\(#,##0\)"/>
    <numFmt numFmtId="165" formatCode="0.0%"/>
    <numFmt numFmtId="166" formatCode="#,##0&quot;円&quot;;\(#,##0\);\-"/>
    <numFmt numFmtId="167" formatCode="[$¥-411]#,##0;[$¥-411]#,##0"/>
    <numFmt numFmtId="168" formatCode="#,##0.0;[Red]\-#,##0.0"/>
    <numFmt numFmtId="169" formatCode="&quot;¥&quot;#,##0_);[Red]\(&quot;¥&quot;#,##0\)"/>
    <numFmt numFmtId="170" formatCode="[$¥-411]#,##0.00;[$¥-411]#,##0.00"/>
    <numFmt numFmtId="171" formatCode="[$¥-411]#,##0;\-[$¥-411]#,##0"/>
    <numFmt numFmtId="172" formatCode="&quot;¥&quot;#,##0;[Red]&quot;¥&quot;\-#,##0"/>
    <numFmt numFmtId="173" formatCode="#,##0.0_);[Red](#,##0.0)"/>
  </numFmts>
  <fonts count="32">
    <font>
      <name val="游ゴシック"/>
      <charset val="128"/>
      <family val="2"/>
      <color theme="1"/>
      <sz val="12"/>
      <scheme val="minor"/>
    </font>
    <font>
      <name val="游ゴシック"/>
      <charset val="128"/>
      <family val="2"/>
      <color theme="1"/>
      <sz val="12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color rgb="FF000000"/>
      <sz val="12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color theme="1" tint="0.249977111117893"/>
      <sz val="10"/>
      <scheme val="minor"/>
    </font>
    <font>
      <name val="游ゴシック"/>
      <charset val="128"/>
      <family val="3"/>
      <i val="1"/>
      <color theme="1"/>
      <sz val="9"/>
      <scheme val="minor"/>
    </font>
    <font>
      <name val="游ゴシック"/>
      <charset val="128"/>
      <family val="3"/>
      <color theme="1"/>
      <sz val="10"/>
      <scheme val="minor"/>
    </font>
    <font>
      <name val="游ゴシック"/>
      <charset val="128"/>
      <family val="3"/>
      <b val="1"/>
      <color theme="1"/>
      <sz val="10"/>
      <scheme val="minor"/>
    </font>
    <font>
      <name val="游ゴシック"/>
      <charset val="128"/>
      <family val="3"/>
      <color rgb="FF000000"/>
      <sz val="10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3"/>
      <color theme="1"/>
      <sz val="12"/>
      <scheme val="minor"/>
    </font>
    <font>
      <name val="游ゴシック"/>
      <charset val="128"/>
      <family val="3"/>
      <b val="1"/>
      <color theme="1"/>
      <sz val="11"/>
      <scheme val="minor"/>
    </font>
    <font>
      <name val="游ゴシック"/>
      <charset val="128"/>
      <family val="3"/>
      <i val="1"/>
      <color rgb="FF000000"/>
      <sz val="9"/>
      <scheme val="minor"/>
    </font>
    <font>
      <name val="游ゴシック"/>
      <charset val="128"/>
      <family val="2"/>
      <color theme="10"/>
      <sz val="12"/>
      <u val="single"/>
      <scheme val="minor"/>
    </font>
    <font>
      <name val="游ゴシック"/>
      <charset val="128"/>
      <family val="3"/>
      <i val="1"/>
      <color theme="1"/>
      <sz val="11"/>
      <scheme val="minor"/>
    </font>
    <font>
      <name val="游ゴシック"/>
      <charset val="128"/>
      <family val="3"/>
      <color theme="1"/>
      <sz val="11"/>
      <u val="single"/>
      <scheme val="minor"/>
    </font>
    <font>
      <name val="游ゴシック Regular"/>
      <charset val="128"/>
      <color theme="1"/>
      <sz val="10"/>
    </font>
    <font>
      <name val="游ゴシック Regular"/>
      <charset val="128"/>
      <i val="1"/>
      <color theme="1"/>
      <sz val="9"/>
    </font>
    <font>
      <name val="游ゴシック Regular"/>
      <charset val="128"/>
      <b val="1"/>
      <color theme="1"/>
      <sz val="10"/>
    </font>
    <font>
      <name val="游ゴシック Regular"/>
      <charset val="128"/>
      <color theme="1"/>
      <sz val="11"/>
    </font>
    <font>
      <name val="BIZ UDPゴシック"/>
      <charset val="128"/>
      <family val="3"/>
      <color theme="1"/>
      <sz val="10"/>
    </font>
    <font>
      <name val="游ゴシック"/>
      <charset val="128"/>
      <family val="3"/>
      <b val="1"/>
      <color theme="1"/>
      <sz val="12"/>
      <scheme val="minor"/>
    </font>
    <font>
      <name val="游ゴシック Regular"/>
      <charset val="128"/>
      <color theme="1"/>
      <sz val="12"/>
    </font>
    <font>
      <name val="游ゴシック Regular"/>
      <charset val="128"/>
      <color rgb="FFC00000"/>
      <sz val="10"/>
    </font>
    <font>
      <name val="游ゴシック"/>
      <charset val="128"/>
      <family val="2"/>
      <sz val="6"/>
    </font>
    <font>
      <name val="游ゴシック Regular"/>
      <charset val="128"/>
      <color rgb="FF000000"/>
      <sz val="10"/>
    </font>
    <font>
      <name val="游ゴシック Regular"/>
      <charset val="128"/>
      <b val="1"/>
      <color theme="1"/>
      <sz val="12"/>
    </font>
    <font>
      <name val="游ゴシック Regular"/>
      <charset val="128"/>
      <i val="1"/>
      <color theme="1"/>
      <sz val="12"/>
    </font>
    <font>
      <name val="游ゴシック Regular"/>
      <charset val="128"/>
      <color rgb="FF000000"/>
      <sz val="12"/>
    </font>
    <font>
      <name val="游ゴシック"/>
      <charset val="128"/>
      <family val="2"/>
      <color theme="1"/>
      <sz val="12"/>
    </font>
  </fonts>
  <fills count="10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2"/>
        <bgColor rgb="FFDCEAF7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8998992889187292"/>
        <bgColor rgb="FFE8E8E8"/>
      </patternFill>
    </fill>
  </fills>
  <borders count="5">
    <border>
      <left/>
      <right/>
      <top/>
      <bottom/>
      <diagonal/>
    </border>
    <border>
      <left/>
      <right style="thin">
        <color rgb="FFD0CECE"/>
      </right>
      <top style="thin">
        <color rgb="FFD0CECE"/>
      </top>
      <bottom style="thin">
        <color rgb="FFD0CECE"/>
      </bottom>
      <diagonal/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 applyAlignment="1">
      <alignment vertical="center"/>
    </xf>
    <xf numFmtId="38" fontId="1" fillId="0" borderId="0" applyAlignment="1">
      <alignment vertical="center"/>
    </xf>
    <xf numFmtId="6" fontId="1" fillId="0" borderId="0" applyAlignment="1">
      <alignment vertical="center"/>
    </xf>
    <xf numFmtId="0" fontId="15" fillId="0" borderId="0" applyAlignment="1">
      <alignment vertical="center"/>
    </xf>
    <xf numFmtId="164" fontId="31" fillId="0" borderId="0" applyAlignment="1">
      <alignment vertical="center"/>
    </xf>
  </cellStyleXfs>
  <cellXfs count="236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4" fillId="0" borderId="2" applyAlignment="1" pivotButton="0" quotePrefix="0" xfId="0">
      <alignment vertical="center"/>
    </xf>
    <xf numFmtId="164" fontId="5" fillId="0" borderId="1" applyAlignment="1" pivotButton="0" quotePrefix="0" xfId="0">
      <alignment vertical="center"/>
    </xf>
    <xf numFmtId="164" fontId="5" fillId="0" borderId="2" applyAlignment="1" pivotButton="0" quotePrefix="0" xfId="0">
      <alignment vertical="center"/>
    </xf>
    <xf numFmtId="0" fontId="6" fillId="2" borderId="0" pivotButton="0" quotePrefix="0" xfId="0"/>
    <xf numFmtId="0" fontId="7" fillId="2" borderId="0" applyAlignment="1" pivotButton="0" quotePrefix="0" xfId="0">
      <alignment horizontal="left" vertical="center"/>
    </xf>
    <xf numFmtId="38" fontId="8" fillId="2" borderId="0" applyAlignment="1" pivotButton="0" quotePrefix="0" xfId="1">
      <alignment vertical="center"/>
    </xf>
    <xf numFmtId="0" fontId="8" fillId="0" borderId="0" applyAlignment="1" pivotButton="0" quotePrefix="0" xfId="0">
      <alignment vertical="center"/>
    </xf>
    <xf numFmtId="38" fontId="8" fillId="2" borderId="3" applyAlignment="1" pivotButton="0" quotePrefix="0" xfId="1">
      <alignment vertical="center"/>
    </xf>
    <xf numFmtId="38" fontId="8" fillId="2" borderId="0" applyAlignment="1" pivotButton="0" quotePrefix="0" xfId="1">
      <alignment vertical="center"/>
    </xf>
    <xf numFmtId="0" fontId="9" fillId="3" borderId="0" pivotButton="0" quotePrefix="0" xfId="0"/>
    <xf numFmtId="0" fontId="7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8" fillId="3" borderId="0" pivotButton="0" quotePrefix="0" xfId="0"/>
    <xf numFmtId="165" fontId="8" fillId="0" borderId="0" pivotButton="0" quotePrefix="0" xfId="0"/>
    <xf numFmtId="165" fontId="8" fillId="3" borderId="0" pivotButton="0" quotePrefix="0" xfId="0"/>
    <xf numFmtId="0" fontId="9" fillId="0" borderId="0" pivotButton="0" quotePrefix="0" xfId="0"/>
    <xf numFmtId="38" fontId="8" fillId="0" borderId="0" pivotButton="0" quotePrefix="0" xfId="1"/>
    <xf numFmtId="166" fontId="8" fillId="0" borderId="0" pivotButton="0" quotePrefix="0" xfId="0"/>
    <xf numFmtId="38" fontId="10" fillId="0" borderId="0" applyAlignment="1" pivotButton="0" quotePrefix="0" xfId="0">
      <alignment vertical="center"/>
    </xf>
    <xf numFmtId="164" fontId="11" fillId="0" borderId="1" applyAlignment="1" pivotButton="0" quotePrefix="0" xfId="0">
      <alignment vertical="center"/>
    </xf>
    <xf numFmtId="164" fontId="11" fillId="0" borderId="2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38" fontId="8" fillId="0" borderId="0" applyAlignment="1" pivotButton="0" quotePrefix="0" xfId="1">
      <alignment vertical="center"/>
    </xf>
    <xf numFmtId="38" fontId="8" fillId="0" borderId="4" applyAlignment="1" pivotButton="0" quotePrefix="0" xfId="1">
      <alignment vertical="center"/>
    </xf>
    <xf numFmtId="38" fontId="8" fillId="0" borderId="0" applyAlignment="1" pivotButton="0" quotePrefix="0" xfId="1">
      <alignment vertical="center"/>
    </xf>
    <xf numFmtId="164" fontId="13" fillId="0" borderId="2" applyAlignment="1" pivotButton="0" quotePrefix="0" xfId="0">
      <alignment vertical="center"/>
    </xf>
    <xf numFmtId="1" fontId="8" fillId="0" borderId="0" applyAlignment="1" pivotButton="0" quotePrefix="0" xfId="0">
      <alignment vertical="center"/>
    </xf>
    <xf numFmtId="9" fontId="8" fillId="0" borderId="0" applyAlignment="1" pivotButton="0" quotePrefix="0" xfId="0">
      <alignment vertical="center"/>
    </xf>
    <xf numFmtId="165" fontId="8" fillId="0" borderId="0" applyAlignment="1" pivotButton="0" quotePrefix="0" xfId="0">
      <alignment vertical="center"/>
    </xf>
    <xf numFmtId="9" fontId="8" fillId="0" borderId="4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164" fontId="5" fillId="0" borderId="1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165" fontId="8" fillId="0" borderId="3" pivotButton="0" quotePrefix="0" xfId="0"/>
    <xf numFmtId="165" fontId="8" fillId="3" borderId="3" pivotButton="0" quotePrefix="0" xfId="0"/>
    <xf numFmtId="38" fontId="8" fillId="0" borderId="3" pivotButton="0" quotePrefix="0" xfId="1"/>
    <xf numFmtId="166" fontId="8" fillId="0" borderId="3" pivotButton="0" quotePrefix="0" xfId="0"/>
    <xf numFmtId="38" fontId="10" fillId="0" borderId="3" applyAlignment="1" pivotButton="0" quotePrefix="0" xfId="0">
      <alignment vertical="center"/>
    </xf>
    <xf numFmtId="38" fontId="8" fillId="0" borderId="3" applyAlignment="1" pivotButton="0" quotePrefix="0" xfId="1">
      <alignment vertical="center"/>
    </xf>
    <xf numFmtId="167" fontId="8" fillId="2" borderId="0" applyAlignment="1" pivotButton="0" quotePrefix="0" xfId="1">
      <alignment vertical="center"/>
    </xf>
    <xf numFmtId="167" fontId="8" fillId="2" borderId="4" applyAlignment="1" pivotButton="0" quotePrefix="0" xfId="1">
      <alignment vertical="center"/>
    </xf>
    <xf numFmtId="0" fontId="11" fillId="3" borderId="0" pivotButton="0" quotePrefix="0" xfId="0"/>
    <xf numFmtId="0" fontId="16" fillId="3" borderId="0" applyAlignment="1" pivotButton="0" quotePrefix="0" xfId="0">
      <alignment horizontal="left" vertical="center"/>
    </xf>
    <xf numFmtId="0" fontId="11" fillId="3" borderId="4" pivotButton="0" quotePrefix="0" xfId="0"/>
    <xf numFmtId="0" fontId="11" fillId="0" borderId="0" pivotButton="0" quotePrefix="0" xfId="0"/>
    <xf numFmtId="0" fontId="16" fillId="0" borderId="0" applyAlignment="1" pivotButton="0" quotePrefix="0" xfId="0">
      <alignment horizontal="left" vertical="center"/>
    </xf>
    <xf numFmtId="165" fontId="11" fillId="0" borderId="0" pivotButton="0" quotePrefix="0" xfId="0"/>
    <xf numFmtId="165" fontId="11" fillId="0" borderId="4" pivotButton="0" quotePrefix="0" xfId="0"/>
    <xf numFmtId="0" fontId="16" fillId="0" borderId="0" applyAlignment="1" pivotButton="0" quotePrefix="0" xfId="0">
      <alignment horizontal="left"/>
    </xf>
    <xf numFmtId="0" fontId="13" fillId="3" borderId="0" pivotButton="0" quotePrefix="0" xfId="0"/>
    <xf numFmtId="165" fontId="11" fillId="3" borderId="0" pivotButton="0" quotePrefix="0" xfId="0"/>
    <xf numFmtId="165" fontId="11" fillId="3" borderId="4" pivotButton="0" quotePrefix="0" xfId="0"/>
    <xf numFmtId="168" fontId="11" fillId="0" borderId="0" applyAlignment="1" pivotButton="0" quotePrefix="0" xfId="1">
      <alignment vertical="center"/>
    </xf>
    <xf numFmtId="0" fontId="11" fillId="0" borderId="0" applyAlignment="1" pivotButton="0" quotePrefix="0" xfId="0">
      <alignment vertical="center"/>
    </xf>
    <xf numFmtId="38" fontId="11" fillId="0" borderId="0" applyAlignment="1" pivotButton="0" quotePrefix="0" xfId="1">
      <alignment vertical="center"/>
    </xf>
    <xf numFmtId="38" fontId="11" fillId="0" borderId="4" applyAlignment="1" pivotButton="0" quotePrefix="0" xfId="1">
      <alignment vertical="center"/>
    </xf>
    <xf numFmtId="0" fontId="17" fillId="0" borderId="0" applyAlignment="1" pivotButton="0" quotePrefix="0" xfId="3">
      <alignment horizontal="left" vertical="center"/>
    </xf>
    <xf numFmtId="10" fontId="11" fillId="0" borderId="0" applyAlignment="1" pivotButton="0" quotePrefix="0" xfId="0">
      <alignment vertical="center"/>
    </xf>
    <xf numFmtId="10" fontId="11" fillId="0" borderId="4" applyAlignment="1" pivotButton="0" quotePrefix="0" xfId="0">
      <alignment vertical="center"/>
    </xf>
    <xf numFmtId="1" fontId="8" fillId="0" borderId="4" applyAlignment="1" pivotButton="0" quotePrefix="0" xfId="0">
      <alignment vertical="center"/>
    </xf>
    <xf numFmtId="0" fontId="18" fillId="2" borderId="0" pivotButton="0" quotePrefix="0" xfId="0"/>
    <xf numFmtId="0" fontId="19" fillId="2" borderId="0" applyAlignment="1" pivotButton="0" quotePrefix="0" xfId="0">
      <alignment horizontal="left" vertical="center"/>
    </xf>
    <xf numFmtId="167" fontId="18" fillId="2" borderId="0" applyAlignment="1" pivotButton="0" quotePrefix="0" xfId="1">
      <alignment vertical="center"/>
    </xf>
    <xf numFmtId="167" fontId="18" fillId="2" borderId="3" applyAlignment="1" pivotButton="0" quotePrefix="0" xfId="1">
      <alignment vertical="center"/>
    </xf>
    <xf numFmtId="0" fontId="20" fillId="0" borderId="0" pivotButton="0" quotePrefix="0" xfId="0"/>
    <xf numFmtId="0" fontId="19" fillId="0" borderId="0" applyAlignment="1" pivotButton="0" quotePrefix="0" xfId="0">
      <alignment horizontal="left" vertical="center"/>
    </xf>
    <xf numFmtId="0" fontId="21" fillId="3" borderId="0" pivotButton="0" quotePrefix="0" xfId="0"/>
    <xf numFmtId="0" fontId="21" fillId="3" borderId="3" pivotButton="0" quotePrefix="0" xfId="0"/>
    <xf numFmtId="0" fontId="18" fillId="0" borderId="0" pivotButton="0" quotePrefix="0" xfId="0"/>
    <xf numFmtId="165" fontId="18" fillId="0" borderId="0" pivotButton="0" quotePrefix="0" xfId="0"/>
    <xf numFmtId="165" fontId="18" fillId="0" borderId="3" pivotButton="0" quotePrefix="0" xfId="0"/>
    <xf numFmtId="165" fontId="18" fillId="3" borderId="0" pivotButton="0" quotePrefix="0" xfId="0"/>
    <xf numFmtId="165" fontId="18" fillId="3" borderId="3" pivotButton="0" quotePrefix="0" xfId="0"/>
    <xf numFmtId="168" fontId="18" fillId="0" borderId="0" pivotButton="0" quotePrefix="0" xfId="1"/>
    <xf numFmtId="168" fontId="18" fillId="0" borderId="3" pivotButton="0" quotePrefix="0" xfId="1"/>
    <xf numFmtId="0" fontId="18" fillId="0" borderId="0" applyAlignment="1" pivotButton="0" quotePrefix="0" xfId="0">
      <alignment vertical="center"/>
    </xf>
    <xf numFmtId="9" fontId="8" fillId="0" borderId="3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3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0" fillId="0" borderId="3" applyAlignment="1" pivotButton="0" quotePrefix="0" xfId="0">
      <alignment vertical="center"/>
    </xf>
    <xf numFmtId="1" fontId="8" fillId="0" borderId="3" applyAlignment="1" pivotButton="0" quotePrefix="0" xfId="0">
      <alignment vertical="center"/>
    </xf>
    <xf numFmtId="167" fontId="24" fillId="2" borderId="0" applyAlignment="1" pivotButton="0" quotePrefix="0" xfId="0">
      <alignment vertical="center"/>
    </xf>
    <xf numFmtId="167" fontId="24" fillId="2" borderId="3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167" fontId="18" fillId="2" borderId="0" applyAlignment="1" pivotButton="0" quotePrefix="0" xfId="1">
      <alignment vertical="center"/>
    </xf>
    <xf numFmtId="169" fontId="0" fillId="3" borderId="0" applyAlignment="1" pivotButton="0" quotePrefix="0" xfId="1">
      <alignment vertical="center"/>
    </xf>
    <xf numFmtId="169" fontId="0" fillId="3" borderId="3" applyAlignment="1" pivotButton="0" quotePrefix="0" xfId="1">
      <alignment vertical="center"/>
    </xf>
    <xf numFmtId="167" fontId="0" fillId="3" borderId="0" applyAlignment="1" pivotButton="0" quotePrefix="0" xfId="1">
      <alignment vertical="center"/>
    </xf>
    <xf numFmtId="169" fontId="0" fillId="2" borderId="0" applyAlignment="1" pivotButton="0" quotePrefix="0" xfId="0">
      <alignment vertical="center"/>
    </xf>
    <xf numFmtId="169" fontId="0" fillId="5" borderId="3" applyAlignment="1" pivotButton="0" quotePrefix="0" xfId="0">
      <alignment vertical="center"/>
    </xf>
    <xf numFmtId="0" fontId="0" fillId="5" borderId="3" applyAlignment="1" pivotButton="0" quotePrefix="0" xfId="0">
      <alignment vertical="center"/>
    </xf>
    <xf numFmtId="167" fontId="0" fillId="5" borderId="3" applyAlignment="1" pivotButton="0" quotePrefix="0" xfId="0">
      <alignment vertical="center"/>
    </xf>
    <xf numFmtId="167" fontId="0" fillId="5" borderId="3" applyAlignment="1" pivotButton="0" quotePrefix="0" xfId="1">
      <alignment vertical="center"/>
    </xf>
    <xf numFmtId="38" fontId="10" fillId="5" borderId="3" applyAlignment="1" pivotButton="0" quotePrefix="0" xfId="0">
      <alignment vertical="center"/>
    </xf>
    <xf numFmtId="38" fontId="8" fillId="5" borderId="3" applyAlignment="1" pivotButton="0" quotePrefix="0" xfId="1">
      <alignment vertical="center"/>
    </xf>
    <xf numFmtId="9" fontId="8" fillId="5" borderId="3" applyAlignment="1" pivotButton="0" quotePrefix="0" xfId="0">
      <alignment vertical="center"/>
    </xf>
    <xf numFmtId="170" fontId="18" fillId="0" borderId="0" pivotButton="0" quotePrefix="0" xfId="1"/>
    <xf numFmtId="0" fontId="7" fillId="3" borderId="0" applyAlignment="1" pivotButton="0" quotePrefix="0" xfId="0">
      <alignment horizontal="left" vertical="center"/>
    </xf>
    <xf numFmtId="38" fontId="10" fillId="3" borderId="0" applyAlignment="1" pivotButton="0" quotePrefix="0" xfId="0">
      <alignment vertical="center"/>
    </xf>
    <xf numFmtId="38" fontId="10" fillId="3" borderId="4" applyAlignment="1" pivotButton="0" quotePrefix="0" xfId="0">
      <alignment vertical="center"/>
    </xf>
    <xf numFmtId="167" fontId="18" fillId="0" borderId="0" pivotButton="0" quotePrefix="0" xfId="1"/>
    <xf numFmtId="167" fontId="18" fillId="0" borderId="3" pivotButton="0" quotePrefix="0" xfId="1"/>
    <xf numFmtId="171" fontId="18" fillId="0" borderId="3" applyAlignment="1" pivotButton="0" quotePrefix="0" xfId="0">
      <alignment vertical="center"/>
    </xf>
    <xf numFmtId="171" fontId="18" fillId="0" borderId="0" applyAlignment="1" pivotButton="0" quotePrefix="0" xfId="0">
      <alignment vertical="center"/>
    </xf>
    <xf numFmtId="167" fontId="18" fillId="0" borderId="0" pivotButton="0" quotePrefix="0" xfId="1"/>
    <xf numFmtId="168" fontId="25" fillId="0" borderId="0" pivotButton="0" quotePrefix="0" xfId="1"/>
    <xf numFmtId="167" fontId="11" fillId="0" borderId="0" applyAlignment="1" pivotButton="0" quotePrefix="0" xfId="1">
      <alignment vertical="center"/>
    </xf>
    <xf numFmtId="167" fontId="11" fillId="0" borderId="4" applyAlignment="1" pivotButton="0" quotePrefix="0" xfId="1">
      <alignment vertical="center"/>
    </xf>
    <xf numFmtId="172" fontId="11" fillId="0" borderId="0" applyAlignment="1" pivotButton="0" quotePrefix="0" xfId="2">
      <alignment vertical="center"/>
    </xf>
    <xf numFmtId="172" fontId="11" fillId="0" borderId="4" applyAlignment="1" pivotButton="0" quotePrefix="0" xfId="2">
      <alignment vertical="center"/>
    </xf>
    <xf numFmtId="0" fontId="8" fillId="3" borderId="3" pivotButton="0" quotePrefix="0" xfId="0"/>
    <xf numFmtId="38" fontId="10" fillId="3" borderId="3" applyAlignment="1" pivotButton="0" quotePrefix="0" xfId="0">
      <alignment vertical="center"/>
    </xf>
    <xf numFmtId="38" fontId="10" fillId="6" borderId="0" applyAlignment="1" pivotButton="0" quotePrefix="0" xfId="0">
      <alignment vertical="center"/>
    </xf>
    <xf numFmtId="168" fontId="11" fillId="0" borderId="3" applyAlignment="1" pivotButton="0" quotePrefix="0" xfId="1">
      <alignment vertical="center"/>
    </xf>
    <xf numFmtId="0" fontId="24" fillId="0" borderId="0" applyAlignment="1" pivotButton="0" quotePrefix="0" xfId="0">
      <alignment vertical="center"/>
    </xf>
    <xf numFmtId="38" fontId="27" fillId="6" borderId="0" applyAlignment="1" pivotButton="0" quotePrefix="0" xfId="0">
      <alignment vertical="center"/>
    </xf>
    <xf numFmtId="38" fontId="18" fillId="2" borderId="0" applyAlignment="1" pivotButton="0" quotePrefix="0" xfId="1">
      <alignment vertical="center"/>
    </xf>
    <xf numFmtId="0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167" fontId="24" fillId="7" borderId="0" applyAlignment="1" pivotButton="0" quotePrefix="0" xfId="0">
      <alignment vertical="center"/>
    </xf>
    <xf numFmtId="167" fontId="24" fillId="7" borderId="3" applyAlignment="1" pivotButton="0" quotePrefix="0" xfId="0">
      <alignment vertical="center"/>
    </xf>
    <xf numFmtId="167" fontId="24" fillId="8" borderId="3" pivotButton="0" quotePrefix="0" xfId="0"/>
    <xf numFmtId="167" fontId="24" fillId="2" borderId="0" pivotButton="0" quotePrefix="0" xfId="0"/>
    <xf numFmtId="0" fontId="24" fillId="9" borderId="0" applyAlignment="1" pivotButton="0" quotePrefix="0" xfId="0">
      <alignment vertical="center"/>
    </xf>
    <xf numFmtId="0" fontId="24" fillId="9" borderId="3" applyAlignment="1" pivotButton="0" quotePrefix="0" xfId="0">
      <alignment vertical="center"/>
    </xf>
    <xf numFmtId="0" fontId="24" fillId="8" borderId="3" applyAlignment="1" pivotButton="0" quotePrefix="0" xfId="0">
      <alignment vertical="center"/>
    </xf>
    <xf numFmtId="0" fontId="24" fillId="3" borderId="0" applyAlignment="1" pivotButton="0" quotePrefix="0" xfId="0">
      <alignment vertical="center"/>
    </xf>
    <xf numFmtId="0" fontId="24" fillId="0" borderId="3" applyAlignment="1" pivotButton="0" quotePrefix="0" xfId="0">
      <alignment vertical="center"/>
    </xf>
    <xf numFmtId="0" fontId="28" fillId="0" borderId="0" applyAlignment="1" pivotButton="0" quotePrefix="0" xfId="0">
      <alignment vertical="center"/>
    </xf>
    <xf numFmtId="0" fontId="28" fillId="0" borderId="0" pivotButton="0" quotePrefix="0" xfId="0"/>
    <xf numFmtId="0" fontId="29" fillId="0" borderId="0" applyAlignment="1" pivotButton="0" quotePrefix="0" xfId="0">
      <alignment horizontal="left" vertical="center"/>
    </xf>
    <xf numFmtId="164" fontId="30" fillId="0" borderId="0" applyAlignment="1" pivotButton="0" quotePrefix="0" xfId="0">
      <alignment vertical="center"/>
    </xf>
    <xf numFmtId="164" fontId="30" fillId="0" borderId="3" applyAlignment="1" pivotButton="0" quotePrefix="0" xfId="0">
      <alignment vertical="center"/>
    </xf>
    <xf numFmtId="164" fontId="30" fillId="8" borderId="3" applyAlignment="1" pivotButton="0" quotePrefix="0" xfId="0">
      <alignment vertical="center"/>
    </xf>
    <xf numFmtId="164" fontId="24" fillId="0" borderId="2" applyAlignment="1" pivotButton="0" quotePrefix="0" xfId="0">
      <alignment vertical="center"/>
    </xf>
    <xf numFmtId="164" fontId="24" fillId="0" borderId="0" applyAlignment="1" pivotButton="0" quotePrefix="0" xfId="4">
      <alignment vertical="center"/>
    </xf>
    <xf numFmtId="164" fontId="24" fillId="0" borderId="3" applyAlignment="1" pivotButton="0" quotePrefix="0" xfId="4">
      <alignment vertical="center"/>
    </xf>
    <xf numFmtId="164" fontId="24" fillId="8" borderId="3" applyAlignment="1" pivotButton="0" quotePrefix="0" xfId="4">
      <alignment vertical="center"/>
    </xf>
    <xf numFmtId="1" fontId="24" fillId="0" borderId="0" applyAlignment="1" pivotButton="0" quotePrefix="0" xfId="0">
      <alignment vertical="center"/>
    </xf>
    <xf numFmtId="1" fontId="24" fillId="0" borderId="3" applyAlignment="1" pivotButton="0" quotePrefix="0" xfId="0">
      <alignment vertical="center"/>
    </xf>
    <xf numFmtId="9" fontId="24" fillId="0" borderId="0" applyAlignment="1" pivotButton="0" quotePrefix="0" xfId="0">
      <alignment vertical="center"/>
    </xf>
    <xf numFmtId="9" fontId="24" fillId="0" borderId="3" applyAlignment="1" pivotButton="0" quotePrefix="0" xfId="0">
      <alignment vertical="center"/>
    </xf>
    <xf numFmtId="165" fontId="24" fillId="0" borderId="0" applyAlignment="1" pivotButton="0" quotePrefix="0" xfId="0">
      <alignment vertical="center"/>
    </xf>
    <xf numFmtId="9" fontId="24" fillId="8" borderId="3" applyAlignment="1" pivotButton="0" quotePrefix="0" xfId="0">
      <alignment vertical="center"/>
    </xf>
    <xf numFmtId="167" fontId="24" fillId="3" borderId="0" applyAlignment="1" pivotButton="0" quotePrefix="0" xfId="0">
      <alignment vertical="center"/>
    </xf>
    <xf numFmtId="167" fontId="24" fillId="3" borderId="3" applyAlignment="1" pivotButton="0" quotePrefix="0" xfId="0">
      <alignment vertical="center"/>
    </xf>
    <xf numFmtId="164" fontId="11" fillId="0" borderId="1" applyAlignment="1" pivotButton="0" quotePrefix="0" xfId="0">
      <alignment vertical="center"/>
    </xf>
    <xf numFmtId="165" fontId="8" fillId="0" borderId="0" pivotButton="0" quotePrefix="0" xfId="0"/>
    <xf numFmtId="165" fontId="8" fillId="0" borderId="3" pivotButton="0" quotePrefix="0" xfId="0"/>
    <xf numFmtId="165" fontId="8" fillId="3" borderId="0" pivotButton="0" quotePrefix="0" xfId="0"/>
    <xf numFmtId="165" fontId="8" fillId="3" borderId="3" pivotButton="0" quotePrefix="0" xfId="0"/>
    <xf numFmtId="166" fontId="8" fillId="0" borderId="0" pivotButton="0" quotePrefix="0" xfId="0"/>
    <xf numFmtId="166" fontId="8" fillId="0" borderId="3" pivotButton="0" quotePrefix="0" xfId="0"/>
    <xf numFmtId="0" fontId="0" fillId="0" borderId="0" pivotButton="0" quotePrefix="0" xfId="0"/>
    <xf numFmtId="164" fontId="11" fillId="0" borderId="2" applyAlignment="1" pivotButton="0" quotePrefix="0" xfId="0">
      <alignment vertical="center"/>
    </xf>
    <xf numFmtId="164" fontId="13" fillId="0" borderId="2" applyAlignment="1" pivotButton="0" quotePrefix="0" xfId="0">
      <alignment vertical="center"/>
    </xf>
    <xf numFmtId="165" fontId="8" fillId="0" borderId="0" applyAlignment="1" pivotButton="0" quotePrefix="0" xfId="0">
      <alignment vertical="center"/>
    </xf>
    <xf numFmtId="164" fontId="4" fillId="0" borderId="2" applyAlignment="1" pivotButton="0" quotePrefix="0" xfId="0">
      <alignment vertical="center"/>
    </xf>
    <xf numFmtId="164" fontId="5" fillId="0" borderId="1" applyAlignment="1" pivotButton="0" quotePrefix="0" xfId="0">
      <alignment vertical="center"/>
    </xf>
    <xf numFmtId="164" fontId="5" fillId="0" borderId="2" applyAlignment="1" pivotButton="0" quotePrefix="0" xfId="0">
      <alignment vertical="center"/>
    </xf>
    <xf numFmtId="164" fontId="5" fillId="0" borderId="1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167" fontId="8" fillId="2" borderId="0" applyAlignment="1" pivotButton="0" quotePrefix="0" xfId="1">
      <alignment vertical="center"/>
    </xf>
    <xf numFmtId="167" fontId="8" fillId="2" borderId="4" applyAlignment="1" pivotButton="0" quotePrefix="0" xfId="1">
      <alignment vertical="center"/>
    </xf>
    <xf numFmtId="165" fontId="11" fillId="0" borderId="0" pivotButton="0" quotePrefix="0" xfId="0"/>
    <xf numFmtId="165" fontId="11" fillId="0" borderId="4" pivotButton="0" quotePrefix="0" xfId="0"/>
    <xf numFmtId="165" fontId="11" fillId="3" borderId="0" pivotButton="0" quotePrefix="0" xfId="0"/>
    <xf numFmtId="165" fontId="11" fillId="3" borderId="4" pivotButton="0" quotePrefix="0" xfId="0"/>
    <xf numFmtId="168" fontId="11" fillId="0" borderId="0" applyAlignment="1" pivotButton="0" quotePrefix="0" xfId="1">
      <alignment vertical="center"/>
    </xf>
    <xf numFmtId="168" fontId="11" fillId="0" borderId="3" applyAlignment="1" pivotButton="0" quotePrefix="0" xfId="1">
      <alignment vertical="center"/>
    </xf>
    <xf numFmtId="167" fontId="11" fillId="0" borderId="0" applyAlignment="1" pivotButton="0" quotePrefix="0" xfId="1">
      <alignment vertical="center"/>
    </xf>
    <xf numFmtId="167" fontId="11" fillId="0" borderId="4" applyAlignment="1" pivotButton="0" quotePrefix="0" xfId="1">
      <alignment vertical="center"/>
    </xf>
    <xf numFmtId="172" fontId="11" fillId="0" borderId="0" applyAlignment="1" pivotButton="0" quotePrefix="0" xfId="2">
      <alignment vertical="center"/>
    </xf>
    <xf numFmtId="172" fontId="11" fillId="0" borderId="4" applyAlignment="1" pivotButton="0" quotePrefix="0" xfId="2">
      <alignment vertical="center"/>
    </xf>
    <xf numFmtId="167" fontId="18" fillId="2" borderId="0" applyAlignment="1" pivotButton="0" quotePrefix="0" xfId="1">
      <alignment vertical="center"/>
    </xf>
    <xf numFmtId="167" fontId="18" fillId="2" borderId="3" applyAlignment="1" pivotButton="0" quotePrefix="0" xfId="1">
      <alignment vertical="center"/>
    </xf>
    <xf numFmtId="165" fontId="18" fillId="0" borderId="0" pivotButton="0" quotePrefix="0" xfId="0"/>
    <xf numFmtId="165" fontId="18" fillId="0" borderId="3" pivotButton="0" quotePrefix="0" xfId="0"/>
    <xf numFmtId="165" fontId="18" fillId="3" borderId="0" pivotButton="0" quotePrefix="0" xfId="0"/>
    <xf numFmtId="165" fontId="18" fillId="3" borderId="3" pivotButton="0" quotePrefix="0" xfId="0"/>
    <xf numFmtId="168" fontId="18" fillId="0" borderId="0" pivotButton="0" quotePrefix="0" xfId="1"/>
    <xf numFmtId="168" fontId="18" fillId="0" borderId="3" pivotButton="0" quotePrefix="0" xfId="1"/>
    <xf numFmtId="168" fontId="25" fillId="0" borderId="0" pivotButton="0" quotePrefix="0" xfId="1"/>
    <xf numFmtId="170" fontId="18" fillId="0" borderId="0" pivotButton="0" quotePrefix="0" xfId="1"/>
    <xf numFmtId="167" fontId="18" fillId="0" borderId="3" pivotButton="0" quotePrefix="0" xfId="1"/>
    <xf numFmtId="167" fontId="18" fillId="0" borderId="0" pivotButton="0" quotePrefix="0" xfId="1"/>
    <xf numFmtId="171" fontId="18" fillId="0" borderId="3" applyAlignment="1" pivotButton="0" quotePrefix="0" xfId="0">
      <alignment vertical="center"/>
    </xf>
    <xf numFmtId="171" fontId="18" fillId="0" borderId="0" applyAlignment="1" pivotButton="0" quotePrefix="0" xfId="0">
      <alignment vertical="center"/>
    </xf>
    <xf numFmtId="167" fontId="24" fillId="2" borderId="0" applyAlignment="1" pivotButton="0" quotePrefix="0" xfId="0">
      <alignment vertical="center"/>
    </xf>
    <xf numFmtId="167" fontId="24" fillId="2" borderId="3" applyAlignment="1" pivotButton="0" quotePrefix="0" xfId="0">
      <alignment vertical="center"/>
    </xf>
    <xf numFmtId="169" fontId="0" fillId="5" borderId="3" applyAlignment="1" pivotButton="0" quotePrefix="0" xfId="0">
      <alignment vertical="center"/>
    </xf>
    <xf numFmtId="169" fontId="0" fillId="2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0" fillId="0" borderId="3" applyAlignment="1" pivotButton="0" quotePrefix="0" xfId="0">
      <alignment vertical="center"/>
    </xf>
    <xf numFmtId="167" fontId="0" fillId="5" borderId="3" applyAlignment="1" pivotButton="0" quotePrefix="0" xfId="0">
      <alignment vertical="center"/>
    </xf>
    <xf numFmtId="169" fontId="0" fillId="3" borderId="0" applyAlignment="1" pivotButton="0" quotePrefix="0" xfId="1">
      <alignment vertical="center"/>
    </xf>
    <xf numFmtId="169" fontId="0" fillId="3" borderId="3" applyAlignment="1" pivotButton="0" quotePrefix="0" xfId="1">
      <alignment vertical="center"/>
    </xf>
    <xf numFmtId="167" fontId="0" fillId="3" borderId="0" applyAlignment="1" pivotButton="0" quotePrefix="0" xfId="1">
      <alignment vertical="center"/>
    </xf>
    <xf numFmtId="167" fontId="0" fillId="5" borderId="3" applyAlignment="1" pivotButton="0" quotePrefix="0" xfId="1">
      <alignment vertical="center"/>
    </xf>
    <xf numFmtId="167" fontId="24" fillId="7" borderId="0" applyAlignment="1" pivotButton="0" quotePrefix="0" xfId="0">
      <alignment vertical="center"/>
    </xf>
    <xf numFmtId="167" fontId="24" fillId="7" borderId="3" applyAlignment="1" pivotButton="0" quotePrefix="0" xfId="0">
      <alignment vertical="center"/>
    </xf>
    <xf numFmtId="167" fontId="24" fillId="8" borderId="3" pivotButton="0" quotePrefix="0" xfId="0"/>
    <xf numFmtId="167" fontId="24" fillId="2" borderId="0" pivotButton="0" quotePrefix="0" xfId="0"/>
    <xf numFmtId="167" fontId="24" fillId="3" borderId="0" applyAlignment="1" pivotButton="0" quotePrefix="0" xfId="0">
      <alignment vertical="center"/>
    </xf>
    <xf numFmtId="167" fontId="24" fillId="3" borderId="3" applyAlignment="1" pivotButton="0" quotePrefix="0" xfId="0">
      <alignment vertical="center"/>
    </xf>
    <xf numFmtId="164" fontId="30" fillId="0" borderId="0" applyAlignment="1" pivotButton="0" quotePrefix="0" xfId="0">
      <alignment vertical="center"/>
    </xf>
    <xf numFmtId="164" fontId="30" fillId="0" borderId="3" applyAlignment="1" pivotButton="0" quotePrefix="0" xfId="0">
      <alignment vertical="center"/>
    </xf>
    <xf numFmtId="164" fontId="30" fillId="8" borderId="3" applyAlignment="1" pivotButton="0" quotePrefix="0" xfId="0">
      <alignment vertical="center"/>
    </xf>
    <xf numFmtId="164" fontId="24" fillId="0" borderId="2" applyAlignment="1" pivotButton="0" quotePrefix="0" xfId="0">
      <alignment vertical="center"/>
    </xf>
    <xf numFmtId="164" fontId="24" fillId="0" borderId="0" applyAlignment="1" pivotButton="0" quotePrefix="0" xfId="4">
      <alignment vertical="center"/>
    </xf>
    <xf numFmtId="164" fontId="24" fillId="0" borderId="3" applyAlignment="1" pivotButton="0" quotePrefix="0" xfId="4">
      <alignment vertical="center"/>
    </xf>
    <xf numFmtId="164" fontId="24" fillId="8" borderId="3" applyAlignment="1" pivotButton="0" quotePrefix="0" xfId="4">
      <alignment vertical="center"/>
    </xf>
    <xf numFmtId="165" fontId="24" fillId="0" borderId="0" applyAlignment="1" pivotButton="0" quotePrefix="0" xfId="0">
      <alignment vertical="center"/>
    </xf>
    <xf numFmtId="0" fontId="6" fillId="0" borderId="0" pivotButton="0" quotePrefix="0" xfId="0"/>
    <xf numFmtId="0" fontId="1" fillId="0" borderId="0" pivotButton="0" quotePrefix="0" xfId="0"/>
    <xf numFmtId="173" fontId="8" fillId="0" borderId="0" pivotButton="0" quotePrefix="0" xfId="0"/>
    <xf numFmtId="173" fontId="8" fillId="0" borderId="3" pivotButton="0" quotePrefix="0" xfId="0"/>
    <xf numFmtId="173" fontId="11" fillId="0" borderId="0" applyAlignment="1" pivotButton="0" quotePrefix="0" xfId="0">
      <alignment vertical="center"/>
    </xf>
    <xf numFmtId="173" fontId="11" fillId="0" borderId="3" applyAlignment="1" pivotButton="0" quotePrefix="0" xfId="0">
      <alignment vertical="center"/>
    </xf>
    <xf numFmtId="173" fontId="18" fillId="0" borderId="0" pivotButton="0" quotePrefix="0" xfId="0"/>
    <xf numFmtId="173" fontId="18" fillId="0" borderId="3" pivotButton="0" quotePrefix="0" xfId="0"/>
    <xf numFmtId="173" fontId="25" fillId="0" borderId="0" pivotButton="0" quotePrefix="0" xfId="0"/>
    <xf numFmtId="0" fontId="1" fillId="0" borderId="0" applyAlignment="1" pivotButton="0" quotePrefix="0" xfId="0">
      <alignment vertical="center"/>
    </xf>
    <xf numFmtId="173" fontId="1" fillId="0" borderId="0" applyAlignment="1" pivotButton="0" quotePrefix="0" xfId="0">
      <alignment vertical="center"/>
    </xf>
    <xf numFmtId="173" fontId="1" fillId="0" borderId="3" applyAlignment="1" pivotButton="0" quotePrefix="0" xfId="0">
      <alignment vertical="center"/>
    </xf>
    <xf numFmtId="173" fontId="1" fillId="5" borderId="3" applyAlignment="1" pivotButton="0" quotePrefix="0" xfId="0">
      <alignment vertical="center"/>
    </xf>
    <xf numFmtId="0" fontId="24" fillId="0" borderId="0" pivotButton="0" quotePrefix="0" xfId="0"/>
    <xf numFmtId="173" fontId="24" fillId="0" borderId="0" applyAlignment="1" pivotButton="0" quotePrefix="0" xfId="0">
      <alignment vertical="center"/>
    </xf>
    <xf numFmtId="173" fontId="24" fillId="0" borderId="3" applyAlignment="1" pivotButton="0" quotePrefix="0" xfId="0">
      <alignment vertical="center"/>
    </xf>
    <xf numFmtId="173" fontId="24" fillId="8" borderId="3" applyAlignment="1" pivotButton="0" quotePrefix="0" xfId="0">
      <alignment vertical="center"/>
    </xf>
  </cellXfs>
  <cellStyles count="5">
    <cellStyle name="標準" xfId="0" builtinId="0"/>
    <cellStyle name="桁区切り" xfId="1" builtinId="6"/>
    <cellStyle name="通貨" xfId="2" builtinId="7"/>
    <cellStyle name="ハイパーリンク" xfId="3" builtinId="8"/>
    <cellStyle name="Excel Built-in Comma [0]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修正版v2</author>
  </authors>
  <commentList>
    <comment ref="C5" authorId="0" shapeId="0">
      <text>
        <t>【計算ルール】月次列＝当月売上（期末契約社数×月額単価）。Y1〜Y5列＝M1〜M12の合計(SUM)。契約社数はストック型（前月＋新規－解約）。</t>
      </text>
    </comment>
    <comment ref="C20" authorId="0" shapeId="0">
      <text>
        <t>月次解約率。Y1-2：2.0%、Y3-4：1.75%、Y5：1.5%（B2B SaaS/サブスクの現実的水準、逓減・安定化）。年次列は月次率の年平均。</t>
      </text>
    </comment>
  </commentList>
</comments>
</file>

<file path=xl/comments/comment2.xml><?xml version="1.0" encoding="utf-8"?>
<comments xmlns="http://schemas.openxmlformats.org/spreadsheetml/2006/main">
  <authors>
    <author>修正版v2</author>
  </authors>
  <commentList>
    <comment ref="C5" authorId="0" shapeId="0">
      <text>
        <t>【計算ルール】月次列＝当月売上（期末契約社数×月額単価）。Y1〜Y5列＝M1〜M12の合計(SUM)。契約社数はストック型（前月＋新規－解約）。</t>
      </text>
    </comment>
    <comment ref="C20" authorId="0" shapeId="0">
      <text>
        <t>月次解約率。Y1-2：2.0%、Y3-4：1.75%、Y5：1.5%（B2B SaaS/サブスクの現実的水準、逓減・安定化）。年次列は月次率の年平均。</t>
      </text>
    </comment>
  </commentList>
</comments>
</file>

<file path=xl/comments/comment3.xml><?xml version="1.0" encoding="utf-8"?>
<comments xmlns="http://schemas.openxmlformats.org/spreadsheetml/2006/main">
  <authors>
    <author>修正版v2</author>
  </authors>
  <commentList>
    <comment ref="C5" authorId="0" shapeId="0">
      <text>
        <t>【計算ルール】月次列＝当月売上（期末契約社数×月額単価）。Y1〜Y5列＝M1〜M12の合計(SUM)。契約社数はストック型（前月＋新規－解約）。</t>
      </text>
    </comment>
    <comment ref="C18" authorId="0" shapeId="0">
      <text>
        <t>月次解約率。Y1-2：2.0%、Y3-4：1.75%、Y5：1.5%（B2B SaaS/サブスクの現実的水準、逓減・安定化）。年次列は月次率の年平均。</t>
      </text>
    </comment>
  </commentList>
</comments>
</file>

<file path=xl/comments/comment4.xml><?xml version="1.0" encoding="utf-8"?>
<comments xmlns="http://schemas.openxmlformats.org/spreadsheetml/2006/main">
  <authors>
    <author>修正版</author>
    <author>修正版v2</author>
  </authors>
  <commentList>
    <comment ref="C4" authorId="0" shapeId="0">
      <text>
        <t>【要確認】「※Y2から開拓」だがY1にも売上（受注）が計上されている。Y1＝テスト販売/先行導入か、記載修正かを要判断。数値・記載は未変更。</t>
      </text>
    </comment>
    <comment ref="C5" authorId="1" shapeId="0">
      <text>
        <t>【計算ルール】月次列＝当月売上（期末契約社数×月額単価）。Y1〜Y5列＝M1〜M12の合計(SUM)。契約社数はストック型（前月＋新規－解約）。</t>
      </text>
    </comment>
    <comment ref="C21" authorId="1" shapeId="0">
      <text>
        <t>月次解約率。Y1-2：2.0%、Y3-4：1.75%、Y5：1.5%（B2B SaaS/サブスクの現実的水準、逓減・安定化）。年次列は月次率の年平均。</t>
      </text>
    </comment>
  </commentList>
</comments>
</file>

<file path=xl/comments/comment5.xml><?xml version="1.0" encoding="utf-8"?>
<comments xmlns="http://schemas.openxmlformats.org/spreadsheetml/2006/main">
  <authors>
    <author>修正版v2</author>
  </authors>
  <commentList>
    <comment ref="C5" authorId="0" shapeId="0">
      <text>
        <t>【計算ルール】月次列＝当月売上（期末契約社数×月額単価）。Y1〜Y5列＝M1〜M12の合計(SUM)。契約社数はストック型（前月＋新規－解約）。</t>
      </text>
    </comment>
    <comment ref="C21" authorId="0" shapeId="0">
      <text>
        <t>月次解約率。Y1-2：2.0%、Y3-4：1.75%、Y5：1.5%（B2B SaaS/サブスクの現実的水準、逓減・安定化）。年次列は月次率の年平均。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https://www.e-stat.go.jp/stat-search/files?tclass=000001230645&amp;cycle=7&amp;year=20240" TargetMode="Externa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R25"/>
  <sheetViews>
    <sheetView topLeftCell="C1" zoomScale="111" zoomScaleNormal="111" workbookViewId="0">
      <selection activeCell="Q12" sqref="Q12"/>
    </sheetView>
  </sheetViews>
  <sheetFormatPr baseColWidth="10" defaultRowHeight="20" outlineLevelRow="1"/>
  <cols>
    <col width="10.7109375" customWidth="1" style="23" min="1" max="69"/>
    <col width="10.7109375" customWidth="1" style="23" min="70" max="70"/>
    <col width="10.7109375" customWidth="1" style="23" min="71" max="16384"/>
  </cols>
  <sheetData>
    <row r="4" outlineLevel="1" ht="17" customFormat="1" customHeight="1" s="8">
      <c r="C4" s="5" t="inlineStr">
        <is>
          <t>■ ① ビジとり（旅費規程）</t>
        </is>
      </c>
      <c r="D4" s="6" t="n"/>
      <c r="E4" s="6" t="n"/>
      <c r="F4" s="10" t="inlineStr">
        <is>
          <t>Y1_M1</t>
        </is>
      </c>
      <c r="G4" s="10" t="inlineStr">
        <is>
          <t>Y1_M2</t>
        </is>
      </c>
      <c r="H4" s="10" t="inlineStr">
        <is>
          <t>Y1_M3</t>
        </is>
      </c>
      <c r="I4" s="10" t="inlineStr">
        <is>
          <t>Y1_M4</t>
        </is>
      </c>
      <c r="J4" s="10" t="inlineStr">
        <is>
          <t>Y1_M5</t>
        </is>
      </c>
      <c r="K4" s="10" t="inlineStr">
        <is>
          <t>Y1_M6</t>
        </is>
      </c>
      <c r="L4" s="10" t="inlineStr">
        <is>
          <t>Y1_M7</t>
        </is>
      </c>
      <c r="M4" s="10" t="inlineStr">
        <is>
          <t>Y1_M8</t>
        </is>
      </c>
      <c r="N4" s="10" t="inlineStr">
        <is>
          <t>Y1_M9</t>
        </is>
      </c>
      <c r="O4" s="10" t="inlineStr">
        <is>
          <t>Y1_M10</t>
        </is>
      </c>
      <c r="P4" s="10" t="inlineStr">
        <is>
          <t>Y1_M11</t>
        </is>
      </c>
      <c r="Q4" s="10" t="inlineStr">
        <is>
          <t>Y1_M12</t>
        </is>
      </c>
      <c r="R4" s="10" t="inlineStr">
        <is>
          <t>Y2_M1</t>
        </is>
      </c>
      <c r="S4" s="10" t="inlineStr">
        <is>
          <t>Y2_M2</t>
        </is>
      </c>
      <c r="T4" s="10" t="inlineStr">
        <is>
          <t>Y2_M3</t>
        </is>
      </c>
      <c r="U4" s="10" t="inlineStr">
        <is>
          <t>Y2_M4</t>
        </is>
      </c>
      <c r="V4" s="10" t="inlineStr">
        <is>
          <t>Y2_M5</t>
        </is>
      </c>
      <c r="W4" s="10" t="inlineStr">
        <is>
          <t>Y2_M6</t>
        </is>
      </c>
      <c r="X4" s="10" t="inlineStr">
        <is>
          <t>Y2_M7</t>
        </is>
      </c>
      <c r="Y4" s="10" t="inlineStr">
        <is>
          <t>Y2_M8</t>
        </is>
      </c>
      <c r="Z4" s="10" t="inlineStr">
        <is>
          <t>Y2_M9</t>
        </is>
      </c>
      <c r="AA4" s="10" t="inlineStr">
        <is>
          <t>Y2_M10</t>
        </is>
      </c>
      <c r="AB4" s="10" t="inlineStr">
        <is>
          <t>Y2_M11</t>
        </is>
      </c>
      <c r="AC4" s="10" t="inlineStr">
        <is>
          <t>Y2_M12</t>
        </is>
      </c>
      <c r="AD4" s="10" t="inlineStr">
        <is>
          <t>Y3_M1</t>
        </is>
      </c>
      <c r="AE4" s="10" t="inlineStr">
        <is>
          <t>Y3_M2</t>
        </is>
      </c>
      <c r="AF4" s="10" t="inlineStr">
        <is>
          <t>Y3_M3</t>
        </is>
      </c>
      <c r="AG4" s="10" t="inlineStr">
        <is>
          <t>Y3_M4</t>
        </is>
      </c>
      <c r="AH4" s="10" t="inlineStr">
        <is>
          <t>Y3_M5</t>
        </is>
      </c>
      <c r="AI4" s="10" t="inlineStr">
        <is>
          <t>Y3_M6</t>
        </is>
      </c>
      <c r="AJ4" s="10" t="inlineStr">
        <is>
          <t>Y3_M7</t>
        </is>
      </c>
      <c r="AK4" s="10" t="inlineStr">
        <is>
          <t>Y3_M8</t>
        </is>
      </c>
      <c r="AL4" s="10" t="inlineStr">
        <is>
          <t>Y3_M9</t>
        </is>
      </c>
      <c r="AM4" s="10" t="inlineStr">
        <is>
          <t>Y3_M10</t>
        </is>
      </c>
      <c r="AN4" s="10" t="inlineStr">
        <is>
          <t>Y3_M11</t>
        </is>
      </c>
      <c r="AO4" s="10" t="inlineStr">
        <is>
          <t>Y3_M12</t>
        </is>
      </c>
      <c r="AP4" s="10" t="inlineStr">
        <is>
          <t>Y4_M1</t>
        </is>
      </c>
      <c r="AQ4" s="10" t="inlineStr">
        <is>
          <t>Y4_M2</t>
        </is>
      </c>
      <c r="AR4" s="10" t="inlineStr">
        <is>
          <t>Y4_M3</t>
        </is>
      </c>
      <c r="AS4" s="10" t="inlineStr">
        <is>
          <t>Y4_M4</t>
        </is>
      </c>
      <c r="AT4" s="10" t="inlineStr">
        <is>
          <t>Y4_M5</t>
        </is>
      </c>
      <c r="AU4" s="10" t="inlineStr">
        <is>
          <t>Y4_M6</t>
        </is>
      </c>
      <c r="AV4" s="10" t="inlineStr">
        <is>
          <t>Y4_M7</t>
        </is>
      </c>
      <c r="AW4" s="10" t="inlineStr">
        <is>
          <t>Y4_M8</t>
        </is>
      </c>
      <c r="AX4" s="10" t="inlineStr">
        <is>
          <t>Y4_M9</t>
        </is>
      </c>
      <c r="AY4" s="10" t="inlineStr">
        <is>
          <t>Y4_M10</t>
        </is>
      </c>
      <c r="AZ4" s="10" t="inlineStr">
        <is>
          <t>Y4_M11</t>
        </is>
      </c>
      <c r="BA4" s="10" t="inlineStr">
        <is>
          <t>Y4_M12</t>
        </is>
      </c>
      <c r="BB4" s="10" t="inlineStr">
        <is>
          <t>Y5_M1</t>
        </is>
      </c>
      <c r="BC4" s="10" t="inlineStr">
        <is>
          <t>Y5_M2</t>
        </is>
      </c>
      <c r="BD4" s="10" t="inlineStr">
        <is>
          <t>Y5_M3</t>
        </is>
      </c>
      <c r="BE4" s="10" t="inlineStr">
        <is>
          <t>Y5_M4</t>
        </is>
      </c>
      <c r="BF4" s="10" t="inlineStr">
        <is>
          <t>Y5_M5</t>
        </is>
      </c>
      <c r="BG4" s="10" t="inlineStr">
        <is>
          <t>Y5_M6</t>
        </is>
      </c>
      <c r="BH4" s="10" t="inlineStr">
        <is>
          <t>Y5_M7</t>
        </is>
      </c>
      <c r="BI4" s="10" t="inlineStr">
        <is>
          <t>Y5_M8</t>
        </is>
      </c>
      <c r="BJ4" s="10" t="inlineStr">
        <is>
          <t>Y5_M9</t>
        </is>
      </c>
      <c r="BK4" s="10" t="inlineStr">
        <is>
          <t>Y5_M10</t>
        </is>
      </c>
      <c r="BL4" s="10" t="inlineStr">
        <is>
          <t>Y5_M11</t>
        </is>
      </c>
      <c r="BM4" s="10" t="inlineStr">
        <is>
          <t>Y5_M12</t>
        </is>
      </c>
      <c r="BN4" s="10" t="inlineStr">
        <is>
          <t>Y1</t>
        </is>
      </c>
      <c r="BO4" s="10" t="inlineStr">
        <is>
          <t>Y2</t>
        </is>
      </c>
      <c r="BP4" s="10" t="inlineStr">
        <is>
          <t>Y3</t>
        </is>
      </c>
      <c r="BQ4" s="10" t="inlineStr">
        <is>
          <t>Y4</t>
        </is>
      </c>
      <c r="BR4" s="10" t="inlineStr">
        <is>
          <t>Y5</t>
        </is>
      </c>
    </row>
    <row r="5" outlineLevel="1" ht="17" customFormat="1" customHeight="1" s="8">
      <c r="C5" s="5" t="inlineStr">
        <is>
          <t>売上</t>
        </is>
      </c>
      <c r="D5" s="6" t="n"/>
      <c r="E5" s="6" t="n"/>
      <c r="F5" s="10">
        <f>F25*F14</f>
        <v>0.0</v>
      </c>
      <c r="G5" s="10">
        <f>G25*G14</f>
        <v>1929.375</v>
      </c>
      <c r="H5" s="10">
        <f>H25*H14</f>
        <v>10572.975</v>
      </c>
      <c r="I5" s="10">
        <f>I25*I14</f>
        <v>19043.703</v>
      </c>
      <c r="J5" s="10">
        <f>J25*J14</f>
        <v>26380.32894</v>
      </c>
      <c r="K5" s="10">
        <f>K25*K14</f>
        <v>35499.5973612</v>
      </c>
      <c r="L5" s="10">
        <f>L25*L14</f>
        <v>44436.480413976</v>
      </c>
      <c r="M5" s="10">
        <f>M25*M14</f>
        <v>53194.6258056965</v>
      </c>
      <c r="N5" s="10">
        <f>N25*N14</f>
        <v>63706.9832895825</v>
      </c>
      <c r="O5" s="10">
        <f>O25*O14</f>
        <v>73044.4061237909</v>
      </c>
      <c r="P5" s="10">
        <f>P25*P14</f>
        <v>82195.0805013151</v>
      </c>
      <c r="Q5" s="10">
        <f>Q25*Q14</f>
        <v>93092.1163912888</v>
      </c>
      <c r="R5" s="10">
        <f>R25*R14</f>
        <v>102806.524063463</v>
      </c>
      <c r="S5" s="10">
        <f>S25*S14</f>
        <v>112326.643582194</v>
      </c>
      <c r="T5" s="10">
        <f>T25*T14</f>
        <v>123585.73571055</v>
      </c>
      <c r="U5" s="10">
        <f>U25*U14</f>
        <v>133654.958496339</v>
      </c>
      <c r="V5" s="10">
        <f>V25*V14</f>
        <v>143522.796826412</v>
      </c>
      <c r="W5" s="10">
        <f>W25*W14</f>
        <v>155122.653389884</v>
      </c>
      <c r="X5" s="10">
        <f>X25*X14</f>
        <v>165525.825322086</v>
      </c>
      <c r="Y5" s="10">
        <f>Y25*Y14</f>
        <v>175720.933815644</v>
      </c>
      <c r="Z5" s="10">
        <f>Z25*Z14</f>
        <v>187641.515139332</v>
      </c>
      <c r="AA5" s="10">
        <f>AA25*AA14</f>
        <v>198358.997336545</v>
      </c>
      <c r="AB5" s="10">
        <f>AB25*AB14</f>
        <v>208862.129889814</v>
      </c>
      <c r="AC5" s="10">
        <f>AC25*AC14</f>
        <v>220119.887292018</v>
      </c>
      <c r="AD5" s="10">
        <f>AD25*AD14</f>
        <v>233632.164264407</v>
      </c>
      <c r="AE5" s="10">
        <f>AE25*AE14</f>
        <v>245943.28888978</v>
      </c>
      <c r="AF5" s="10">
        <f>AF25*AF14</f>
        <v>259968.343834209</v>
      </c>
      <c r="AG5" s="10">
        <f>AG25*AG14</f>
        <v>272783.27281711</v>
      </c>
      <c r="AH5" s="10">
        <f>AH25*AH14</f>
        <v>286338.628042811</v>
      </c>
      <c r="AI5" s="10">
        <f>AI25*AI14</f>
        <v>299656.764552062</v>
      </c>
      <c r="AJ5" s="10">
        <f>AJ25*AJ14</f>
        <v>313706.521172401</v>
      </c>
      <c r="AK5" s="10">
        <f>AK25*AK14</f>
        <v>326545.719551884</v>
      </c>
      <c r="AL5" s="10">
        <f>AL25*AL14</f>
        <v>341089.606959726</v>
      </c>
      <c r="AM5" s="10">
        <f>AM25*AM14</f>
        <v>354414.288837931</v>
      </c>
      <c r="AN5" s="10">
        <f>AN25*AN14</f>
        <v>367505.788783267</v>
      </c>
      <c r="AO5" s="10">
        <f>AO25*AO14</f>
        <v>382297.562479559</v>
      </c>
      <c r="AP5" s="10">
        <f>AP25*AP14</f>
        <v>395865.792636167</v>
      </c>
      <c r="AQ5" s="10">
        <f>AQ25*AQ14</f>
        <v>409196.578765034</v>
      </c>
      <c r="AR5" s="10">
        <f>AR25*AR14</f>
        <v>423258.763636646</v>
      </c>
      <c r="AS5" s="10">
        <f>AS25*AS14</f>
        <v>437074.860273005</v>
      </c>
      <c r="AT5" s="10">
        <f>AT25*AT14</f>
        <v>450649.175218227</v>
      </c>
      <c r="AU5" s="10">
        <f>AU25*AU14</f>
        <v>464950.627151908</v>
      </c>
      <c r="AV5" s="10">
        <f>AV25*AV14</f>
        <v>479001.80367675</v>
      </c>
      <c r="AW5" s="10">
        <f>AW25*AW14</f>
        <v>492807.084612407</v>
      </c>
      <c r="AX5" s="10">
        <f>AX25*AX14</f>
        <v>507335.46063169</v>
      </c>
      <c r="AY5" s="10">
        <f>AY25*AY14</f>
        <v>520644.902570635</v>
      </c>
      <c r="AZ5" s="10">
        <f>AZ25*AZ14</f>
        <v>534686.116775649</v>
      </c>
      <c r="BA5" s="10">
        <f>BA25*BA14</f>
        <v>548481.609732075</v>
      </c>
      <c r="BB5" s="10">
        <f>BB25*BB14</f>
        <v>568230.323086094</v>
      </c>
      <c r="BC5" s="10">
        <f>BC25*BC14</f>
        <v>586718.118239802</v>
      </c>
      <c r="BD5" s="10">
        <f>BD25*BD14</f>
        <v>605893.283966205</v>
      </c>
      <c r="BE5" s="10">
        <f>BE25*BE14</f>
        <v>624780.822206713</v>
      </c>
      <c r="BF5" s="10">
        <f>BF25*BF14</f>
        <v>643385.047373612</v>
      </c>
      <c r="BG5" s="10">
        <f>BG25*BG14</f>
        <v>663639.584163007</v>
      </c>
      <c r="BH5" s="10">
        <f>BH25*BH14</f>
        <v>682625.615400562</v>
      </c>
      <c r="BI5" s="10">
        <f>BI25*BI14</f>
        <v>701326.856169554</v>
      </c>
      <c r="BJ5" s="10">
        <f>BJ25*BJ14</f>
        <v>720712.265827011</v>
      </c>
      <c r="BK5" s="10">
        <f>BK25*BK14</f>
        <v>739806.894339606</v>
      </c>
      <c r="BL5" s="10">
        <f>BL25*BL14</f>
        <v>758615.103424511</v>
      </c>
      <c r="BM5" s="10">
        <f>BM25*BM14</f>
        <v>778105.876873144</v>
      </c>
      <c r="BN5" s="9">
        <f>SUM(F5:Q5)</f>
        <v>503095.67182685</v>
      </c>
      <c r="BO5" s="10">
        <f>SUM(R5:AC5)</f>
        <v>1927248.60086428</v>
      </c>
      <c r="BP5" s="10">
        <f>SUM(AD5:AO5)</f>
        <v>3683881.95018515</v>
      </c>
      <c r="BQ5" s="10">
        <f>SUM(AP5:BA5)</f>
        <v>5663952.77568019</v>
      </c>
      <c r="BR5" s="10">
        <f>SUM(BB5:BM5)</f>
        <v>8073839.79106982</v>
      </c>
    </row>
    <row r="6" outlineLevel="1" ht="18" customFormat="1" customHeight="1" s="8">
      <c r="A6" s="152" t="inlineStr">
        <is>
          <t>KPI</t>
        </is>
      </c>
      <c r="C6" s="11" t="inlineStr">
        <is>
          <t>顧問先</t>
        </is>
      </c>
      <c r="D6" s="12" t="n"/>
      <c r="E6" s="12" t="n"/>
      <c r="F6" s="14">
        <f>35*F17</f>
        <v>0.0</v>
      </c>
      <c r="G6" s="14">
        <f>35*G17</f>
        <v>70.0</v>
      </c>
      <c r="H6" s="14">
        <f>35*H17</f>
        <v>385.0</v>
      </c>
      <c r="I6" s="14">
        <f>35*I17</f>
        <v>700.0</v>
      </c>
      <c r="J6" s="14">
        <f>35*J17</f>
        <v>980.0</v>
      </c>
      <c r="K6" s="14">
        <f>35*K17</f>
        <v>1330.0</v>
      </c>
      <c r="L6" s="14">
        <f>35*L17</f>
        <v>1680.0</v>
      </c>
      <c r="M6" s="14">
        <f>35*M17</f>
        <v>2030.0</v>
      </c>
      <c r="N6" s="14">
        <f>35*N17</f>
        <v>2450.0</v>
      </c>
      <c r="O6" s="14">
        <f>35*O17</f>
        <v>2835.0</v>
      </c>
      <c r="P6" s="14">
        <f>35*P17</f>
        <v>3220.0</v>
      </c>
      <c r="Q6" s="14">
        <f>35*Q17</f>
        <v>3675.0</v>
      </c>
      <c r="R6" s="14">
        <f>35*R17</f>
        <v>4095.0</v>
      </c>
      <c r="S6" s="14">
        <f>35*S17</f>
        <v>4515.0</v>
      </c>
      <c r="T6" s="14">
        <f>35*T17</f>
        <v>5005.0</v>
      </c>
      <c r="U6" s="14">
        <f>35*U17</f>
        <v>5460.0</v>
      </c>
      <c r="V6" s="14">
        <f>35*V17</f>
        <v>5915.0</v>
      </c>
      <c r="W6" s="14">
        <f>35*W17</f>
        <v>6440.0</v>
      </c>
      <c r="X6" s="14">
        <f>35*X17</f>
        <v>6930.0</v>
      </c>
      <c r="Y6" s="14">
        <f>35*Y17</f>
        <v>7420.0</v>
      </c>
      <c r="Z6" s="14">
        <f>35*Z17</f>
        <v>7980.0</v>
      </c>
      <c r="AA6" s="14">
        <f>35*AA17</f>
        <v>8505.0</v>
      </c>
      <c r="AB6" s="14">
        <f>35*AB17</f>
        <v>9030.0</v>
      </c>
      <c r="AC6" s="14">
        <f>35*AC17</f>
        <v>9590.0</v>
      </c>
      <c r="AD6" s="14">
        <f>35*AD17</f>
        <v>10220.0</v>
      </c>
      <c r="AE6" s="14">
        <f>35*AE17</f>
        <v>10815.0</v>
      </c>
      <c r="AF6" s="14">
        <f>35*AF17</f>
        <v>11480.0</v>
      </c>
      <c r="AG6" s="14">
        <f>35*AG17</f>
        <v>12110.0</v>
      </c>
      <c r="AH6" s="14">
        <f>35*AH17</f>
        <v>12775.0</v>
      </c>
      <c r="AI6" s="14">
        <f>35*AI17</f>
        <v>13440.0</v>
      </c>
      <c r="AJ6" s="14">
        <f>35*AJ17</f>
        <v>14140.0</v>
      </c>
      <c r="AK6" s="14">
        <f>35*AK17</f>
        <v>14805.0</v>
      </c>
      <c r="AL6" s="14">
        <f>35*AL17</f>
        <v>15540.0</v>
      </c>
      <c r="AM6" s="14">
        <f>35*AM17</f>
        <v>16240.0</v>
      </c>
      <c r="AN6" s="14">
        <f>35*AN17</f>
        <v>16940.0</v>
      </c>
      <c r="AO6" s="14">
        <f>35*AO17</f>
        <v>17710.0</v>
      </c>
      <c r="AP6" s="14">
        <f>35*AP17</f>
        <v>18445.0</v>
      </c>
      <c r="AQ6" s="14">
        <f>35*AQ17</f>
        <v>19180.0</v>
      </c>
      <c r="AR6" s="14">
        <f>35*AR17</f>
        <v>19950.0</v>
      </c>
      <c r="AS6" s="14">
        <f>35*AS17</f>
        <v>20720.0</v>
      </c>
      <c r="AT6" s="14">
        <f>35*AT17</f>
        <v>21490.0</v>
      </c>
      <c r="AU6" s="14">
        <f>35*AU17</f>
        <v>22295.0</v>
      </c>
      <c r="AV6" s="14">
        <f>35*AV17</f>
        <v>23100.0</v>
      </c>
      <c r="AW6" s="14">
        <f>35*AW17</f>
        <v>23905.0</v>
      </c>
      <c r="AX6" s="14">
        <f>35*AX17</f>
        <v>24745.0</v>
      </c>
      <c r="AY6" s="14">
        <f>35*AY17</f>
        <v>25550.0</v>
      </c>
      <c r="AZ6" s="14">
        <f>35*AZ17</f>
        <v>26390.0</v>
      </c>
      <c r="BA6" s="14">
        <f>35*BA17</f>
        <v>27230.0</v>
      </c>
      <c r="BB6" s="14">
        <f>35*BB17</f>
        <v>28245.0</v>
      </c>
      <c r="BC6" s="14">
        <f>35*BC17</f>
        <v>29225.0</v>
      </c>
      <c r="BD6" s="14">
        <f>35*BD17</f>
        <v>30240.0</v>
      </c>
      <c r="BE6" s="14">
        <f>35*BE17</f>
        <v>31255.0</v>
      </c>
      <c r="BF6" s="14">
        <f>35*BF17</f>
        <v>32270.0</v>
      </c>
      <c r="BG6" s="14">
        <f>35*BG17</f>
        <v>33355.0</v>
      </c>
      <c r="BH6" s="14">
        <f>35*BH17</f>
        <v>34405.0</v>
      </c>
      <c r="BI6" s="14">
        <f>35*BI17</f>
        <v>35455.0</v>
      </c>
      <c r="BJ6" s="14">
        <f>35*BJ17</f>
        <v>36540.0</v>
      </c>
      <c r="BK6" s="14">
        <f>35*BK17</f>
        <v>37625.0</v>
      </c>
      <c r="BL6" s="14">
        <f>35*BL17</f>
        <v>38710.0</v>
      </c>
      <c r="BM6" s="14">
        <f>35*BM17</f>
        <v>39830.0</v>
      </c>
      <c r="BN6" s="116">
        <f>35*BN17</f>
        <v>3675.0</v>
      </c>
      <c r="BO6" s="14">
        <f>35*BO17</f>
        <v>9590.0</v>
      </c>
      <c r="BP6" s="14">
        <f>35*BP17</f>
        <v>17710.0</v>
      </c>
      <c r="BQ6" s="14">
        <f>35*BQ17</f>
        <v>27230.0</v>
      </c>
      <c r="BR6" s="14">
        <f>35*BR17</f>
        <v>39830.0</v>
      </c>
    </row>
    <row r="7" outlineLevel="1" ht="17" customFormat="1" customHeight="1" s="8">
      <c r="C7" s="13" t="inlineStr">
        <is>
          <t>役員報酬250万円以上割合</t>
        </is>
      </c>
      <c r="D7" s="12" t="n"/>
      <c r="E7" s="12" t="n"/>
      <c r="F7" s="153" t="n">
        <v>0.75</v>
      </c>
      <c r="G7" s="153" t="n">
        <v>0.75</v>
      </c>
      <c r="H7" s="153" t="n">
        <v>0.75</v>
      </c>
      <c r="I7" s="153" t="n">
        <v>0.75</v>
      </c>
      <c r="J7" s="153" t="n">
        <v>0.75</v>
      </c>
      <c r="K7" s="153" t="n">
        <v>0.75</v>
      </c>
      <c r="L7" s="153" t="n">
        <v>0.75</v>
      </c>
      <c r="M7" s="153" t="n">
        <v>0.75</v>
      </c>
      <c r="N7" s="153" t="n">
        <v>0.75</v>
      </c>
      <c r="O7" s="153" t="n">
        <v>0.75</v>
      </c>
      <c r="P7" s="153" t="n">
        <v>0.75</v>
      </c>
      <c r="Q7" s="153" t="n">
        <v>0.75</v>
      </c>
      <c r="R7" s="153" t="n">
        <v>0.75</v>
      </c>
      <c r="S7" s="153" t="n">
        <v>0.75</v>
      </c>
      <c r="T7" s="153" t="n">
        <v>0.75</v>
      </c>
      <c r="U7" s="153" t="n">
        <v>0.75</v>
      </c>
      <c r="V7" s="153" t="n">
        <v>0.75</v>
      </c>
      <c r="W7" s="153" t="n">
        <v>0.75</v>
      </c>
      <c r="X7" s="153" t="n">
        <v>0.75</v>
      </c>
      <c r="Y7" s="153" t="n">
        <v>0.75</v>
      </c>
      <c r="Z7" s="153" t="n">
        <v>0.75</v>
      </c>
      <c r="AA7" s="153" t="n">
        <v>0.75</v>
      </c>
      <c r="AB7" s="153" t="n">
        <v>0.75</v>
      </c>
      <c r="AC7" s="153" t="n">
        <v>0.75</v>
      </c>
      <c r="AD7" s="153" t="n">
        <v>0.75</v>
      </c>
      <c r="AE7" s="153" t="n">
        <v>0.75</v>
      </c>
      <c r="AF7" s="153" t="n">
        <v>0.75</v>
      </c>
      <c r="AG7" s="153" t="n">
        <v>0.75</v>
      </c>
      <c r="AH7" s="153" t="n">
        <v>0.75</v>
      </c>
      <c r="AI7" s="153" t="n">
        <v>0.75</v>
      </c>
      <c r="AJ7" s="153" t="n">
        <v>0.75</v>
      </c>
      <c r="AK7" s="153" t="n">
        <v>0.75</v>
      </c>
      <c r="AL7" s="153" t="n">
        <v>0.75</v>
      </c>
      <c r="AM7" s="153" t="n">
        <v>0.75</v>
      </c>
      <c r="AN7" s="153" t="n">
        <v>0.75</v>
      </c>
      <c r="AO7" s="153" t="n">
        <v>0.75</v>
      </c>
      <c r="AP7" s="153" t="n">
        <v>0.75</v>
      </c>
      <c r="AQ7" s="153" t="n">
        <v>0.75</v>
      </c>
      <c r="AR7" s="153" t="n">
        <v>0.75</v>
      </c>
      <c r="AS7" s="153" t="n">
        <v>0.75</v>
      </c>
      <c r="AT7" s="153" t="n">
        <v>0.75</v>
      </c>
      <c r="AU7" s="153" t="n">
        <v>0.75</v>
      </c>
      <c r="AV7" s="153" t="n">
        <v>0.75</v>
      </c>
      <c r="AW7" s="153" t="n">
        <v>0.75</v>
      </c>
      <c r="AX7" s="153" t="n">
        <v>0.75</v>
      </c>
      <c r="AY7" s="153" t="n">
        <v>0.75</v>
      </c>
      <c r="AZ7" s="153" t="n">
        <v>0.75</v>
      </c>
      <c r="BA7" s="153" t="n">
        <v>0.75</v>
      </c>
      <c r="BB7" s="153" t="n">
        <v>0.75</v>
      </c>
      <c r="BC7" s="153" t="n">
        <v>0.75</v>
      </c>
      <c r="BD7" s="153" t="n">
        <v>0.75</v>
      </c>
      <c r="BE7" s="153" t="n">
        <v>0.75</v>
      </c>
      <c r="BF7" s="153" t="n">
        <v>0.75</v>
      </c>
      <c r="BG7" s="153" t="n">
        <v>0.75</v>
      </c>
      <c r="BH7" s="153" t="n">
        <v>0.75</v>
      </c>
      <c r="BI7" s="153" t="n">
        <v>0.75</v>
      </c>
      <c r="BJ7" s="153" t="n">
        <v>0.75</v>
      </c>
      <c r="BK7" s="153" t="n">
        <v>0.75</v>
      </c>
      <c r="BL7" s="153" t="n">
        <v>0.75</v>
      </c>
      <c r="BM7" s="153" t="n">
        <v>0.75</v>
      </c>
      <c r="BN7" s="154" t="n">
        <v>0.75</v>
      </c>
      <c r="BO7" s="153" t="n">
        <v>0.75</v>
      </c>
      <c r="BP7" s="153" t="n">
        <v>0.75</v>
      </c>
      <c r="BQ7" s="153" t="n">
        <v>0.75</v>
      </c>
      <c r="BR7" s="153" t="n">
        <v>0.75</v>
      </c>
    </row>
    <row r="8" outlineLevel="1" ht="17" customFormat="1" customHeight="1" s="8">
      <c r="C8" s="13" t="inlineStr">
        <is>
          <t>出張・営業活動がある割アリ</t>
        </is>
      </c>
      <c r="D8" s="12" t="n"/>
      <c r="E8" s="12" t="n"/>
      <c r="F8" s="153" t="n">
        <v>0.7</v>
      </c>
      <c r="G8" s="153" t="n">
        <v>0.7</v>
      </c>
      <c r="H8" s="153" t="n">
        <v>0.7</v>
      </c>
      <c r="I8" s="153" t="n">
        <v>0.7</v>
      </c>
      <c r="J8" s="153" t="n">
        <v>0.7</v>
      </c>
      <c r="K8" s="153" t="n">
        <v>0.7</v>
      </c>
      <c r="L8" s="153" t="n">
        <v>0.7</v>
      </c>
      <c r="M8" s="153" t="n">
        <v>0.7</v>
      </c>
      <c r="N8" s="153" t="n">
        <v>0.7</v>
      </c>
      <c r="O8" s="153" t="n">
        <v>0.7</v>
      </c>
      <c r="P8" s="153" t="n">
        <v>0.7</v>
      </c>
      <c r="Q8" s="153" t="n">
        <v>0.7</v>
      </c>
      <c r="R8" s="153" t="n">
        <v>0.7</v>
      </c>
      <c r="S8" s="153" t="n">
        <v>0.7</v>
      </c>
      <c r="T8" s="153" t="n">
        <v>0.7</v>
      </c>
      <c r="U8" s="153" t="n">
        <v>0.7</v>
      </c>
      <c r="V8" s="153" t="n">
        <v>0.7</v>
      </c>
      <c r="W8" s="153" t="n">
        <v>0.7</v>
      </c>
      <c r="X8" s="153" t="n">
        <v>0.7</v>
      </c>
      <c r="Y8" s="153" t="n">
        <v>0.7</v>
      </c>
      <c r="Z8" s="153" t="n">
        <v>0.7</v>
      </c>
      <c r="AA8" s="153" t="n">
        <v>0.7</v>
      </c>
      <c r="AB8" s="153" t="n">
        <v>0.7</v>
      </c>
      <c r="AC8" s="153" t="n">
        <v>0.7</v>
      </c>
      <c r="AD8" s="153" t="n">
        <v>0.7</v>
      </c>
      <c r="AE8" s="153" t="n">
        <v>0.7</v>
      </c>
      <c r="AF8" s="153" t="n">
        <v>0.7</v>
      </c>
      <c r="AG8" s="153" t="n">
        <v>0.7</v>
      </c>
      <c r="AH8" s="153" t="n">
        <v>0.7</v>
      </c>
      <c r="AI8" s="153" t="n">
        <v>0.7</v>
      </c>
      <c r="AJ8" s="153" t="n">
        <v>0.7</v>
      </c>
      <c r="AK8" s="153" t="n">
        <v>0.7</v>
      </c>
      <c r="AL8" s="153" t="n">
        <v>0.7</v>
      </c>
      <c r="AM8" s="153" t="n">
        <v>0.7</v>
      </c>
      <c r="AN8" s="153" t="n">
        <v>0.7</v>
      </c>
      <c r="AO8" s="153" t="n">
        <v>0.7</v>
      </c>
      <c r="AP8" s="153" t="n">
        <v>0.7</v>
      </c>
      <c r="AQ8" s="153" t="n">
        <v>0.7</v>
      </c>
      <c r="AR8" s="153" t="n">
        <v>0.7</v>
      </c>
      <c r="AS8" s="153" t="n">
        <v>0.7</v>
      </c>
      <c r="AT8" s="153" t="n">
        <v>0.7</v>
      </c>
      <c r="AU8" s="153" t="n">
        <v>0.7</v>
      </c>
      <c r="AV8" s="153" t="n">
        <v>0.7</v>
      </c>
      <c r="AW8" s="153" t="n">
        <v>0.7</v>
      </c>
      <c r="AX8" s="153" t="n">
        <v>0.7</v>
      </c>
      <c r="AY8" s="153" t="n">
        <v>0.7</v>
      </c>
      <c r="AZ8" s="153" t="n">
        <v>0.7</v>
      </c>
      <c r="BA8" s="153" t="n">
        <v>0.7</v>
      </c>
      <c r="BB8" s="153" t="n">
        <v>0.7</v>
      </c>
      <c r="BC8" s="153" t="n">
        <v>0.7</v>
      </c>
      <c r="BD8" s="153" t="n">
        <v>0.7</v>
      </c>
      <c r="BE8" s="153" t="n">
        <v>0.7</v>
      </c>
      <c r="BF8" s="153" t="n">
        <v>0.7</v>
      </c>
      <c r="BG8" s="153" t="n">
        <v>0.7</v>
      </c>
      <c r="BH8" s="153" t="n">
        <v>0.7</v>
      </c>
      <c r="BI8" s="153" t="n">
        <v>0.7</v>
      </c>
      <c r="BJ8" s="153" t="n">
        <v>0.7</v>
      </c>
      <c r="BK8" s="153" t="n">
        <v>0.7</v>
      </c>
      <c r="BL8" s="153" t="n">
        <v>0.7</v>
      </c>
      <c r="BM8" s="153" t="n">
        <v>0.7</v>
      </c>
      <c r="BN8" s="154" t="n">
        <v>0.7</v>
      </c>
      <c r="BO8" s="153" t="n">
        <v>0.7</v>
      </c>
      <c r="BP8" s="153" t="n">
        <v>0.7</v>
      </c>
      <c r="BQ8" s="153" t="n">
        <v>0.7</v>
      </c>
      <c r="BR8" s="153" t="n">
        <v>0.7</v>
      </c>
    </row>
    <row r="9" outlineLevel="1" ht="17" customFormat="1" customHeight="1" s="8">
      <c r="C9" s="13" t="inlineStr">
        <is>
          <t>旅費規程が未整備</t>
        </is>
      </c>
      <c r="D9" s="12" t="n"/>
      <c r="E9" s="12" t="n"/>
      <c r="F9" s="153" t="n">
        <v>0.7</v>
      </c>
      <c r="G9" s="153" t="n">
        <v>0.7</v>
      </c>
      <c r="H9" s="153" t="n">
        <v>0.7</v>
      </c>
      <c r="I9" s="153" t="n">
        <v>0.7</v>
      </c>
      <c r="J9" s="153" t="n">
        <v>0.7</v>
      </c>
      <c r="K9" s="153" t="n">
        <v>0.7</v>
      </c>
      <c r="L9" s="153" t="n">
        <v>0.7</v>
      </c>
      <c r="M9" s="153" t="n">
        <v>0.7</v>
      </c>
      <c r="N9" s="153" t="n">
        <v>0.7</v>
      </c>
      <c r="O9" s="153" t="n">
        <v>0.7</v>
      </c>
      <c r="P9" s="153" t="n">
        <v>0.7</v>
      </c>
      <c r="Q9" s="153" t="n">
        <v>0.7</v>
      </c>
      <c r="R9" s="153" t="n">
        <v>0.7</v>
      </c>
      <c r="S9" s="153" t="n">
        <v>0.7</v>
      </c>
      <c r="T9" s="153" t="n">
        <v>0.7</v>
      </c>
      <c r="U9" s="153" t="n">
        <v>0.7</v>
      </c>
      <c r="V9" s="153" t="n">
        <v>0.7</v>
      </c>
      <c r="W9" s="153" t="n">
        <v>0.7</v>
      </c>
      <c r="X9" s="153" t="n">
        <v>0.7</v>
      </c>
      <c r="Y9" s="153" t="n">
        <v>0.7</v>
      </c>
      <c r="Z9" s="153" t="n">
        <v>0.7</v>
      </c>
      <c r="AA9" s="153" t="n">
        <v>0.7</v>
      </c>
      <c r="AB9" s="153" t="n">
        <v>0.7</v>
      </c>
      <c r="AC9" s="153" t="n">
        <v>0.7</v>
      </c>
      <c r="AD9" s="153" t="n">
        <v>0.7</v>
      </c>
      <c r="AE9" s="153" t="n">
        <v>0.7</v>
      </c>
      <c r="AF9" s="153" t="n">
        <v>0.7</v>
      </c>
      <c r="AG9" s="153" t="n">
        <v>0.7</v>
      </c>
      <c r="AH9" s="153" t="n">
        <v>0.7</v>
      </c>
      <c r="AI9" s="153" t="n">
        <v>0.7</v>
      </c>
      <c r="AJ9" s="153" t="n">
        <v>0.7</v>
      </c>
      <c r="AK9" s="153" t="n">
        <v>0.7</v>
      </c>
      <c r="AL9" s="153" t="n">
        <v>0.7</v>
      </c>
      <c r="AM9" s="153" t="n">
        <v>0.7</v>
      </c>
      <c r="AN9" s="153" t="n">
        <v>0.7</v>
      </c>
      <c r="AO9" s="153" t="n">
        <v>0.7</v>
      </c>
      <c r="AP9" s="153" t="n">
        <v>0.7</v>
      </c>
      <c r="AQ9" s="153" t="n">
        <v>0.7</v>
      </c>
      <c r="AR9" s="153" t="n">
        <v>0.7</v>
      </c>
      <c r="AS9" s="153" t="n">
        <v>0.7</v>
      </c>
      <c r="AT9" s="153" t="n">
        <v>0.7</v>
      </c>
      <c r="AU9" s="153" t="n">
        <v>0.7</v>
      </c>
      <c r="AV9" s="153" t="n">
        <v>0.7</v>
      </c>
      <c r="AW9" s="153" t="n">
        <v>0.7</v>
      </c>
      <c r="AX9" s="153" t="n">
        <v>0.7</v>
      </c>
      <c r="AY9" s="153" t="n">
        <v>0.7</v>
      </c>
      <c r="AZ9" s="153" t="n">
        <v>0.7</v>
      </c>
      <c r="BA9" s="153" t="n">
        <v>0.7</v>
      </c>
      <c r="BB9" s="153" t="n">
        <v>0.7</v>
      </c>
      <c r="BC9" s="153" t="n">
        <v>0.7</v>
      </c>
      <c r="BD9" s="153" t="n">
        <v>0.7</v>
      </c>
      <c r="BE9" s="153" t="n">
        <v>0.7</v>
      </c>
      <c r="BF9" s="153" t="n">
        <v>0.7</v>
      </c>
      <c r="BG9" s="153" t="n">
        <v>0.7</v>
      </c>
      <c r="BH9" s="153" t="n">
        <v>0.7</v>
      </c>
      <c r="BI9" s="153" t="n">
        <v>0.7</v>
      </c>
      <c r="BJ9" s="153" t="n">
        <v>0.7</v>
      </c>
      <c r="BK9" s="153" t="n">
        <v>0.7</v>
      </c>
      <c r="BL9" s="153" t="n">
        <v>0.7</v>
      </c>
      <c r="BM9" s="153" t="n">
        <v>0.7</v>
      </c>
      <c r="BN9" s="154" t="n">
        <v>0.7</v>
      </c>
      <c r="BO9" s="153" t="n">
        <v>0.7</v>
      </c>
      <c r="BP9" s="153" t="n">
        <v>0.7</v>
      </c>
      <c r="BQ9" s="153" t="n">
        <v>0.7</v>
      </c>
      <c r="BR9" s="153" t="n">
        <v>0.7</v>
      </c>
    </row>
    <row r="10" outlineLevel="1" ht="17" customFormat="1" customHeight="1" s="8">
      <c r="C10" s="13" t="inlineStr">
        <is>
          <t>税理士 ➡ 企業提案</t>
        </is>
      </c>
      <c r="D10" s="12" t="n"/>
      <c r="E10" s="12" t="n"/>
      <c r="F10" s="153" t="n">
        <v>0.6</v>
      </c>
      <c r="G10" s="153" t="n">
        <v>0.6</v>
      </c>
      <c r="H10" s="153" t="n">
        <v>0.6</v>
      </c>
      <c r="I10" s="153" t="n">
        <v>0.6</v>
      </c>
      <c r="J10" s="153" t="n">
        <v>0.6</v>
      </c>
      <c r="K10" s="153" t="n">
        <v>0.6</v>
      </c>
      <c r="L10" s="153" t="n">
        <v>0.6</v>
      </c>
      <c r="M10" s="153" t="n">
        <v>0.6</v>
      </c>
      <c r="N10" s="153" t="n">
        <v>0.6</v>
      </c>
      <c r="O10" s="153" t="n">
        <v>0.6</v>
      </c>
      <c r="P10" s="153" t="n">
        <v>0.6</v>
      </c>
      <c r="Q10" s="153" t="n">
        <v>0.6</v>
      </c>
      <c r="R10" s="153" t="n">
        <v>0.6</v>
      </c>
      <c r="S10" s="153" t="n">
        <v>0.6</v>
      </c>
      <c r="T10" s="153" t="n">
        <v>0.6</v>
      </c>
      <c r="U10" s="153" t="n">
        <v>0.6</v>
      </c>
      <c r="V10" s="153" t="n">
        <v>0.6</v>
      </c>
      <c r="W10" s="153" t="n">
        <v>0.6</v>
      </c>
      <c r="X10" s="153" t="n">
        <v>0.6</v>
      </c>
      <c r="Y10" s="153" t="n">
        <v>0.6</v>
      </c>
      <c r="Z10" s="153" t="n">
        <v>0.6</v>
      </c>
      <c r="AA10" s="153" t="n">
        <v>0.6</v>
      </c>
      <c r="AB10" s="153" t="n">
        <v>0.6</v>
      </c>
      <c r="AC10" s="153" t="n">
        <v>0.6</v>
      </c>
      <c r="AD10" s="153" t="n">
        <v>0.6</v>
      </c>
      <c r="AE10" s="153" t="n">
        <v>0.6</v>
      </c>
      <c r="AF10" s="153" t="n">
        <v>0.6</v>
      </c>
      <c r="AG10" s="153" t="n">
        <v>0.6</v>
      </c>
      <c r="AH10" s="153" t="n">
        <v>0.6</v>
      </c>
      <c r="AI10" s="153" t="n">
        <v>0.6</v>
      </c>
      <c r="AJ10" s="153" t="n">
        <v>0.6</v>
      </c>
      <c r="AK10" s="153" t="n">
        <v>0.6</v>
      </c>
      <c r="AL10" s="153" t="n">
        <v>0.6</v>
      </c>
      <c r="AM10" s="153" t="n">
        <v>0.6</v>
      </c>
      <c r="AN10" s="153" t="n">
        <v>0.6</v>
      </c>
      <c r="AO10" s="153" t="n">
        <v>0.6</v>
      </c>
      <c r="AP10" s="153" t="n">
        <v>0.6</v>
      </c>
      <c r="AQ10" s="153" t="n">
        <v>0.6</v>
      </c>
      <c r="AR10" s="153" t="n">
        <v>0.6</v>
      </c>
      <c r="AS10" s="153" t="n">
        <v>0.6</v>
      </c>
      <c r="AT10" s="153" t="n">
        <v>0.6</v>
      </c>
      <c r="AU10" s="153" t="n">
        <v>0.6</v>
      </c>
      <c r="AV10" s="153" t="n">
        <v>0.6</v>
      </c>
      <c r="AW10" s="153" t="n">
        <v>0.6</v>
      </c>
      <c r="AX10" s="153" t="n">
        <v>0.6</v>
      </c>
      <c r="AY10" s="153" t="n">
        <v>0.6</v>
      </c>
      <c r="AZ10" s="153" t="n">
        <v>0.6</v>
      </c>
      <c r="BA10" s="153" t="n">
        <v>0.6</v>
      </c>
      <c r="BB10" s="153" t="n">
        <v>0.6</v>
      </c>
      <c r="BC10" s="153" t="n">
        <v>0.6</v>
      </c>
      <c r="BD10" s="153" t="n">
        <v>0.6</v>
      </c>
      <c r="BE10" s="153" t="n">
        <v>0.6</v>
      </c>
      <c r="BF10" s="153" t="n">
        <v>0.6</v>
      </c>
      <c r="BG10" s="153" t="n">
        <v>0.6</v>
      </c>
      <c r="BH10" s="153" t="n">
        <v>0.6</v>
      </c>
      <c r="BI10" s="153" t="n">
        <v>0.6</v>
      </c>
      <c r="BJ10" s="153" t="n">
        <v>0.6</v>
      </c>
      <c r="BK10" s="153" t="n">
        <v>0.6</v>
      </c>
      <c r="BL10" s="153" t="n">
        <v>0.6</v>
      </c>
      <c r="BM10" s="153" t="n">
        <v>0.6</v>
      </c>
      <c r="BN10" s="154" t="n">
        <v>0.6</v>
      </c>
      <c r="BO10" s="153" t="n">
        <v>0.6</v>
      </c>
      <c r="BP10" s="153" t="n">
        <v>0.6</v>
      </c>
      <c r="BQ10" s="153" t="n">
        <v>0.6</v>
      </c>
      <c r="BR10" s="153" t="n">
        <v>0.6</v>
      </c>
    </row>
    <row r="11" outlineLevel="1" ht="18" customFormat="1" customHeight="1" s="8">
      <c r="A11" s="152" t="inlineStr">
        <is>
          <t>KPI</t>
        </is>
      </c>
      <c r="C11" s="11" t="inlineStr">
        <is>
          <t>受注率</t>
        </is>
      </c>
      <c r="D11" s="12" t="n"/>
      <c r="E11" s="12" t="n"/>
      <c r="F11" s="155" t="n">
        <v>0.25</v>
      </c>
      <c r="G11" s="155" t="n">
        <v>0.25</v>
      </c>
      <c r="H11" s="155" t="n">
        <v>0.25</v>
      </c>
      <c r="I11" s="155" t="n">
        <v>0.25</v>
      </c>
      <c r="J11" s="155" t="n">
        <v>0.25</v>
      </c>
      <c r="K11" s="155" t="n">
        <v>0.25</v>
      </c>
      <c r="L11" s="155" t="n">
        <v>0.25</v>
      </c>
      <c r="M11" s="155" t="n">
        <v>0.25</v>
      </c>
      <c r="N11" s="155" t="n">
        <v>0.25</v>
      </c>
      <c r="O11" s="155" t="n">
        <v>0.25</v>
      </c>
      <c r="P11" s="155" t="n">
        <v>0.25</v>
      </c>
      <c r="Q11" s="155" t="n">
        <v>0.25</v>
      </c>
      <c r="R11" s="155" t="n">
        <v>0.25</v>
      </c>
      <c r="S11" s="155" t="n">
        <v>0.25</v>
      </c>
      <c r="T11" s="155" t="n">
        <v>0.25</v>
      </c>
      <c r="U11" s="155" t="n">
        <v>0.25</v>
      </c>
      <c r="V11" s="155" t="n">
        <v>0.25</v>
      </c>
      <c r="W11" s="155" t="n">
        <v>0.25</v>
      </c>
      <c r="X11" s="155" t="n">
        <v>0.25</v>
      </c>
      <c r="Y11" s="155" t="n">
        <v>0.25</v>
      </c>
      <c r="Z11" s="155" t="n">
        <v>0.25</v>
      </c>
      <c r="AA11" s="155" t="n">
        <v>0.25</v>
      </c>
      <c r="AB11" s="155" t="n">
        <v>0.25</v>
      </c>
      <c r="AC11" s="155" t="n">
        <v>0.25</v>
      </c>
      <c r="AD11" s="155" t="n">
        <v>0.25</v>
      </c>
      <c r="AE11" s="155" t="n">
        <v>0.25</v>
      </c>
      <c r="AF11" s="155" t="n">
        <v>0.25</v>
      </c>
      <c r="AG11" s="155" t="n">
        <v>0.25</v>
      </c>
      <c r="AH11" s="155" t="n">
        <v>0.25</v>
      </c>
      <c r="AI11" s="155" t="n">
        <v>0.25</v>
      </c>
      <c r="AJ11" s="155" t="n">
        <v>0.25</v>
      </c>
      <c r="AK11" s="155" t="n">
        <v>0.25</v>
      </c>
      <c r="AL11" s="155" t="n">
        <v>0.25</v>
      </c>
      <c r="AM11" s="155" t="n">
        <v>0.25</v>
      </c>
      <c r="AN11" s="155" t="n">
        <v>0.25</v>
      </c>
      <c r="AO11" s="155" t="n">
        <v>0.25</v>
      </c>
      <c r="AP11" s="155" t="n">
        <v>0.25</v>
      </c>
      <c r="AQ11" s="155" t="n">
        <v>0.25</v>
      </c>
      <c r="AR11" s="155" t="n">
        <v>0.25</v>
      </c>
      <c r="AS11" s="155" t="n">
        <v>0.25</v>
      </c>
      <c r="AT11" s="155" t="n">
        <v>0.25</v>
      </c>
      <c r="AU11" s="155" t="n">
        <v>0.25</v>
      </c>
      <c r="AV11" s="155" t="n">
        <v>0.25</v>
      </c>
      <c r="AW11" s="155" t="n">
        <v>0.25</v>
      </c>
      <c r="AX11" s="155" t="n">
        <v>0.25</v>
      </c>
      <c r="AY11" s="155" t="n">
        <v>0.25</v>
      </c>
      <c r="AZ11" s="155" t="n">
        <v>0.25</v>
      </c>
      <c r="BA11" s="155" t="n">
        <v>0.25</v>
      </c>
      <c r="BB11" s="155" t="n">
        <v>0.25</v>
      </c>
      <c r="BC11" s="155" t="n">
        <v>0.25</v>
      </c>
      <c r="BD11" s="155" t="n">
        <v>0.25</v>
      </c>
      <c r="BE11" s="155" t="n">
        <v>0.25</v>
      </c>
      <c r="BF11" s="155" t="n">
        <v>0.25</v>
      </c>
      <c r="BG11" s="155" t="n">
        <v>0.25</v>
      </c>
      <c r="BH11" s="155" t="n">
        <v>0.25</v>
      </c>
      <c r="BI11" s="155" t="n">
        <v>0.25</v>
      </c>
      <c r="BJ11" s="155" t="n">
        <v>0.25</v>
      </c>
      <c r="BK11" s="155" t="n">
        <v>0.25</v>
      </c>
      <c r="BL11" s="155" t="n">
        <v>0.25</v>
      </c>
      <c r="BM11" s="155" t="n">
        <v>0.25</v>
      </c>
      <c r="BN11" s="156" t="n">
        <v>0.25</v>
      </c>
      <c r="BO11" s="155" t="n">
        <v>0.25</v>
      </c>
      <c r="BP11" s="155" t="n">
        <v>0.25</v>
      </c>
      <c r="BQ11" s="155" t="n">
        <v>0.25</v>
      </c>
      <c r="BR11" s="155" t="n">
        <v>0.25</v>
      </c>
    </row>
    <row r="12" outlineLevel="1" ht="18" customFormat="1" customHeight="1" s="8">
      <c r="A12" s="152" t="inlineStr">
        <is>
          <t>KPI</t>
        </is>
      </c>
      <c r="C12" s="17" t="inlineStr">
        <is>
          <t>１税理士 / 受注数（累計獲得数・解約前）</t>
        </is>
      </c>
      <c r="D12" s="12" t="n"/>
      <c r="E12" s="12" t="n"/>
      <c r="F12" s="18">
        <f>PRODUCT(F6:F11)</f>
        <v>0.0</v>
      </c>
      <c r="G12" s="18">
        <f>PRODUCT(G6:G11)</f>
        <v>3.85875</v>
      </c>
      <c r="H12" s="18">
        <f>PRODUCT(H6:H11)</f>
        <v>21.223125</v>
      </c>
      <c r="I12" s="18">
        <f>PRODUCT(I6:I11)</f>
        <v>38.5875</v>
      </c>
      <c r="J12" s="18">
        <f>PRODUCT(J6:J11)</f>
        <v>54.0225</v>
      </c>
      <c r="K12" s="18">
        <f>PRODUCT(K6:K11)</f>
        <v>73.31625</v>
      </c>
      <c r="L12" s="18">
        <f>PRODUCT(L6:L11)</f>
        <v>92.61</v>
      </c>
      <c r="M12" s="18">
        <f>PRODUCT(M6:M11)</f>
        <v>111.90375</v>
      </c>
      <c r="N12" s="18">
        <f>PRODUCT(N6:N11)</f>
        <v>135.05625</v>
      </c>
      <c r="O12" s="18">
        <f>PRODUCT(O6:O11)</f>
        <v>156.279375</v>
      </c>
      <c r="P12" s="18">
        <f>PRODUCT(P6:P11)</f>
        <v>177.5025</v>
      </c>
      <c r="Q12" s="18">
        <f>PRODUCT(Q6:Q11)</f>
        <v>202.584375</v>
      </c>
      <c r="R12" s="18">
        <f>PRODUCT(R6:R11)</f>
        <v>225.736875</v>
      </c>
      <c r="S12" s="18">
        <f>PRODUCT(S6:S11)</f>
        <v>248.889375</v>
      </c>
      <c r="T12" s="18">
        <f>PRODUCT(T6:T11)</f>
        <v>275.900625</v>
      </c>
      <c r="U12" s="18">
        <f>PRODUCT(U6:U11)</f>
        <v>300.9825</v>
      </c>
      <c r="V12" s="18">
        <f>PRODUCT(V6:V11)</f>
        <v>326.064375</v>
      </c>
      <c r="W12" s="18">
        <f>PRODUCT(W6:W11)</f>
        <v>355.005</v>
      </c>
      <c r="X12" s="18">
        <f>PRODUCT(X6:X11)</f>
        <v>382.01625</v>
      </c>
      <c r="Y12" s="18">
        <f>PRODUCT(Y6:Y11)</f>
        <v>409.0275</v>
      </c>
      <c r="Z12" s="18">
        <f>PRODUCT(Z6:Z11)</f>
        <v>439.8975</v>
      </c>
      <c r="AA12" s="18">
        <f>PRODUCT(AA6:AA11)</f>
        <v>468.838125</v>
      </c>
      <c r="AB12" s="18">
        <f>PRODUCT(AB6:AB11)</f>
        <v>497.77875</v>
      </c>
      <c r="AC12" s="18">
        <f>PRODUCT(AC6:AC11)</f>
        <v>528.64875</v>
      </c>
      <c r="AD12" s="18">
        <f>PRODUCT(AD6:AD11)</f>
        <v>563.3775</v>
      </c>
      <c r="AE12" s="18">
        <f>PRODUCT(AE6:AE11)</f>
        <v>596.176875</v>
      </c>
      <c r="AF12" s="18">
        <f>PRODUCT(AF6:AF11)</f>
        <v>632.835</v>
      </c>
      <c r="AG12" s="18">
        <f>PRODUCT(AG6:AG11)</f>
        <v>667.56375</v>
      </c>
      <c r="AH12" s="18">
        <f>PRODUCT(AH6:AH11)</f>
        <v>704.221875</v>
      </c>
      <c r="AI12" s="18">
        <f>PRODUCT(AI6:AI11)</f>
        <v>740.88</v>
      </c>
      <c r="AJ12" s="18">
        <f>PRODUCT(AJ6:AJ11)</f>
        <v>779.4675</v>
      </c>
      <c r="AK12" s="18">
        <f>PRODUCT(AK6:AK11)</f>
        <v>816.125625</v>
      </c>
      <c r="AL12" s="18">
        <f>PRODUCT(AL6:AL11)</f>
        <v>856.6425</v>
      </c>
      <c r="AM12" s="18">
        <f>PRODUCT(AM6:AM11)</f>
        <v>895.23</v>
      </c>
      <c r="AN12" s="18">
        <f>PRODUCT(AN6:AN11)</f>
        <v>933.8175</v>
      </c>
      <c r="AO12" s="18">
        <f>PRODUCT(AO6:AO11)</f>
        <v>976.26375</v>
      </c>
      <c r="AP12" s="18">
        <f>PRODUCT(AP6:AP11)</f>
        <v>1016.780625</v>
      </c>
      <c r="AQ12" s="18">
        <f>PRODUCT(AQ6:AQ11)</f>
        <v>1057.2975</v>
      </c>
      <c r="AR12" s="18">
        <f>PRODUCT(AR6:AR11)</f>
        <v>1099.74375</v>
      </c>
      <c r="AS12" s="18">
        <f>PRODUCT(AS6:AS11)</f>
        <v>1142.19</v>
      </c>
      <c r="AT12" s="18">
        <f>PRODUCT(AT6:AT11)</f>
        <v>1184.63625</v>
      </c>
      <c r="AU12" s="18">
        <f>PRODUCT(AU6:AU11)</f>
        <v>1229.011875</v>
      </c>
      <c r="AV12" s="18">
        <f>PRODUCT(AV6:AV11)</f>
        <v>1273.3875</v>
      </c>
      <c r="AW12" s="18">
        <f>PRODUCT(AW6:AW11)</f>
        <v>1317.763125</v>
      </c>
      <c r="AX12" s="18">
        <f>PRODUCT(AX6:AX11)</f>
        <v>1364.068125</v>
      </c>
      <c r="AY12" s="18">
        <f>PRODUCT(AY6:AY11)</f>
        <v>1408.44375</v>
      </c>
      <c r="AZ12" s="18">
        <f>PRODUCT(AZ6:AZ11)</f>
        <v>1454.74875</v>
      </c>
      <c r="BA12" s="18">
        <f>PRODUCT(BA6:BA11)</f>
        <v>1501.05375</v>
      </c>
      <c r="BB12" s="18">
        <f>PRODUCT(BB6:BB11)</f>
        <v>1557.005625</v>
      </c>
      <c r="BC12" s="18">
        <f>PRODUCT(BC6:BC11)</f>
        <v>1611.028125</v>
      </c>
      <c r="BD12" s="18">
        <f>PRODUCT(BD6:BD11)</f>
        <v>1666.98</v>
      </c>
      <c r="BE12" s="18">
        <f>PRODUCT(BE6:BE11)</f>
        <v>1722.931875</v>
      </c>
      <c r="BF12" s="18">
        <f>PRODUCT(BF6:BF11)</f>
        <v>1778.88375</v>
      </c>
      <c r="BG12" s="18">
        <f>PRODUCT(BG6:BG11)</f>
        <v>1838.694375</v>
      </c>
      <c r="BH12" s="18">
        <f>PRODUCT(BH6:BH11)</f>
        <v>1896.575625</v>
      </c>
      <c r="BI12" s="18">
        <f>PRODUCT(BI6:BI11)</f>
        <v>1954.456875</v>
      </c>
      <c r="BJ12" s="18">
        <f>PRODUCT(BJ6:BJ11)</f>
        <v>2014.2675</v>
      </c>
      <c r="BK12" s="18">
        <f>PRODUCT(BK6:BK11)</f>
        <v>2074.078125</v>
      </c>
      <c r="BL12" s="18">
        <f>PRODUCT(BL6:BL11)</f>
        <v>2133.88875</v>
      </c>
      <c r="BM12" s="18">
        <f>PRODUCT(BM6:BM11)</f>
        <v>2195.62875</v>
      </c>
      <c r="BN12" s="37">
        <f>PRODUCT(BN6:BN11)</f>
        <v>202.584375</v>
      </c>
      <c r="BO12" s="18">
        <f>PRODUCT(BO6:BO11)</f>
        <v>528.64875</v>
      </c>
      <c r="BP12" s="18">
        <f>PRODUCT(BP6:BP11)</f>
        <v>976.26375</v>
      </c>
      <c r="BQ12" s="18">
        <f>PRODUCT(BQ6:BQ11)</f>
        <v>1501.05375</v>
      </c>
      <c r="BR12" s="18">
        <f>PRODUCT(BR6:BR11)</f>
        <v>2195.62875</v>
      </c>
    </row>
    <row r="13" outlineLevel="1" ht="17" customFormat="1" customHeight="1" s="8">
      <c r="C13" s="13" t="inlineStr">
        <is>
          <t>ビジとり 税理士（月/社）</t>
        </is>
      </c>
      <c r="D13" s="12" t="n"/>
      <c r="E13" s="12" t="n"/>
      <c r="F13" s="157" t="n">
        <v>2500</v>
      </c>
      <c r="G13" s="157" t="n">
        <v>2500</v>
      </c>
      <c r="H13" s="157" t="n">
        <v>2500</v>
      </c>
      <c r="I13" s="157" t="n">
        <v>2500</v>
      </c>
      <c r="J13" s="157" t="n">
        <v>2500</v>
      </c>
      <c r="K13" s="157" t="n">
        <v>2500</v>
      </c>
      <c r="L13" s="157" t="n">
        <v>2500</v>
      </c>
      <c r="M13" s="157" t="n">
        <v>2500</v>
      </c>
      <c r="N13" s="157" t="n">
        <v>2500</v>
      </c>
      <c r="O13" s="157" t="n">
        <v>2500</v>
      </c>
      <c r="P13" s="157" t="n">
        <v>2500</v>
      </c>
      <c r="Q13" s="157" t="n">
        <v>2500</v>
      </c>
      <c r="R13" s="157" t="n">
        <v>2500</v>
      </c>
      <c r="S13" s="157" t="n">
        <v>2500</v>
      </c>
      <c r="T13" s="157" t="n">
        <v>2500</v>
      </c>
      <c r="U13" s="157" t="n">
        <v>2500</v>
      </c>
      <c r="V13" s="157" t="n">
        <v>2500</v>
      </c>
      <c r="W13" s="157" t="n">
        <v>2500</v>
      </c>
      <c r="X13" s="157" t="n">
        <v>2500</v>
      </c>
      <c r="Y13" s="157" t="n">
        <v>2500</v>
      </c>
      <c r="Z13" s="157" t="n">
        <v>2500</v>
      </c>
      <c r="AA13" s="157" t="n">
        <v>2500</v>
      </c>
      <c r="AB13" s="157" t="n">
        <v>2500</v>
      </c>
      <c r="AC13" s="157" t="n">
        <v>2500</v>
      </c>
      <c r="AD13" s="157" t="n">
        <v>2500</v>
      </c>
      <c r="AE13" s="157" t="n">
        <v>2500</v>
      </c>
      <c r="AF13" s="157" t="n">
        <v>2500</v>
      </c>
      <c r="AG13" s="157" t="n">
        <v>2500</v>
      </c>
      <c r="AH13" s="157" t="n">
        <v>2500</v>
      </c>
      <c r="AI13" s="157" t="n">
        <v>2500</v>
      </c>
      <c r="AJ13" s="157" t="n">
        <v>2500</v>
      </c>
      <c r="AK13" s="157" t="n">
        <v>2500</v>
      </c>
      <c r="AL13" s="157" t="n">
        <v>2500</v>
      </c>
      <c r="AM13" s="157" t="n">
        <v>2500</v>
      </c>
      <c r="AN13" s="157" t="n">
        <v>2500</v>
      </c>
      <c r="AO13" s="157" t="n">
        <v>2500</v>
      </c>
      <c r="AP13" s="157" t="n">
        <v>2500</v>
      </c>
      <c r="AQ13" s="157" t="n">
        <v>2500</v>
      </c>
      <c r="AR13" s="157" t="n">
        <v>2500</v>
      </c>
      <c r="AS13" s="157" t="n">
        <v>2500</v>
      </c>
      <c r="AT13" s="157" t="n">
        <v>2500</v>
      </c>
      <c r="AU13" s="157" t="n">
        <v>2500</v>
      </c>
      <c r="AV13" s="157" t="n">
        <v>2500</v>
      </c>
      <c r="AW13" s="157" t="n">
        <v>2500</v>
      </c>
      <c r="AX13" s="157" t="n">
        <v>2500</v>
      </c>
      <c r="AY13" s="157" t="n">
        <v>2500</v>
      </c>
      <c r="AZ13" s="157" t="n">
        <v>2500</v>
      </c>
      <c r="BA13" s="157" t="n">
        <v>2500</v>
      </c>
      <c r="BB13" s="157" t="n">
        <v>2500</v>
      </c>
      <c r="BC13" s="157" t="n">
        <v>2500</v>
      </c>
      <c r="BD13" s="157" t="n">
        <v>2500</v>
      </c>
      <c r="BE13" s="157" t="n">
        <v>2500</v>
      </c>
      <c r="BF13" s="157" t="n">
        <v>2500</v>
      </c>
      <c r="BG13" s="157" t="n">
        <v>2500</v>
      </c>
      <c r="BH13" s="157" t="n">
        <v>2500</v>
      </c>
      <c r="BI13" s="157" t="n">
        <v>2500</v>
      </c>
      <c r="BJ13" s="157" t="n">
        <v>2500</v>
      </c>
      <c r="BK13" s="157" t="n">
        <v>2500</v>
      </c>
      <c r="BL13" s="157" t="n">
        <v>2500</v>
      </c>
      <c r="BM13" s="157" t="n">
        <v>2500</v>
      </c>
      <c r="BN13" s="158" t="n">
        <v>2500</v>
      </c>
      <c r="BO13" s="157" t="n">
        <v>2500</v>
      </c>
      <c r="BP13" s="157" t="n">
        <v>2500</v>
      </c>
      <c r="BQ13" s="157" t="n">
        <v>2500</v>
      </c>
      <c r="BR13" s="157" t="n">
        <v>2500</v>
      </c>
    </row>
    <row r="14" outlineLevel="1" ht="17" customFormat="1" customHeight="1" s="8">
      <c r="C14" s="13" t="inlineStr">
        <is>
          <t>ビジとり Taxel（月/社）</t>
        </is>
      </c>
      <c r="D14" s="12" t="n"/>
      <c r="E14" s="12" t="n"/>
      <c r="F14" s="157" t="n">
        <v>500</v>
      </c>
      <c r="G14" s="157" t="n">
        <v>500</v>
      </c>
      <c r="H14" s="157" t="n">
        <v>500</v>
      </c>
      <c r="I14" s="157" t="n">
        <v>500</v>
      </c>
      <c r="J14" s="157" t="n">
        <v>500</v>
      </c>
      <c r="K14" s="157" t="n">
        <v>500</v>
      </c>
      <c r="L14" s="157" t="n">
        <v>500</v>
      </c>
      <c r="M14" s="157" t="n">
        <v>500</v>
      </c>
      <c r="N14" s="157" t="n">
        <v>500</v>
      </c>
      <c r="O14" s="157" t="n">
        <v>500</v>
      </c>
      <c r="P14" s="157" t="n">
        <v>500</v>
      </c>
      <c r="Q14" s="157" t="n">
        <v>500</v>
      </c>
      <c r="R14" s="157" t="n">
        <v>500</v>
      </c>
      <c r="S14" s="157" t="n">
        <v>500</v>
      </c>
      <c r="T14" s="157" t="n">
        <v>500</v>
      </c>
      <c r="U14" s="157" t="n">
        <v>500</v>
      </c>
      <c r="V14" s="157" t="n">
        <v>500</v>
      </c>
      <c r="W14" s="157" t="n">
        <v>500</v>
      </c>
      <c r="X14" s="157" t="n">
        <v>500</v>
      </c>
      <c r="Y14" s="157" t="n">
        <v>500</v>
      </c>
      <c r="Z14" s="157" t="n">
        <v>500</v>
      </c>
      <c r="AA14" s="157" t="n">
        <v>500</v>
      </c>
      <c r="AB14" s="157" t="n">
        <v>500</v>
      </c>
      <c r="AC14" s="157" t="n">
        <v>500</v>
      </c>
      <c r="AD14" s="157" t="n">
        <v>500</v>
      </c>
      <c r="AE14" s="157" t="n">
        <v>500</v>
      </c>
      <c r="AF14" s="157" t="n">
        <v>500</v>
      </c>
      <c r="AG14" s="157" t="n">
        <v>500</v>
      </c>
      <c r="AH14" s="157" t="n">
        <v>500</v>
      </c>
      <c r="AI14" s="157" t="n">
        <v>500</v>
      </c>
      <c r="AJ14" s="157" t="n">
        <v>500</v>
      </c>
      <c r="AK14" s="157" t="n">
        <v>500</v>
      </c>
      <c r="AL14" s="157" t="n">
        <v>500</v>
      </c>
      <c r="AM14" s="157" t="n">
        <v>500</v>
      </c>
      <c r="AN14" s="157" t="n">
        <v>500</v>
      </c>
      <c r="AO14" s="157" t="n">
        <v>500</v>
      </c>
      <c r="AP14" s="157" t="n">
        <v>500</v>
      </c>
      <c r="AQ14" s="157" t="n">
        <v>500</v>
      </c>
      <c r="AR14" s="157" t="n">
        <v>500</v>
      </c>
      <c r="AS14" s="157" t="n">
        <v>500</v>
      </c>
      <c r="AT14" s="157" t="n">
        <v>500</v>
      </c>
      <c r="AU14" s="157" t="n">
        <v>500</v>
      </c>
      <c r="AV14" s="157" t="n">
        <v>500</v>
      </c>
      <c r="AW14" s="157" t="n">
        <v>500</v>
      </c>
      <c r="AX14" s="157" t="n">
        <v>500</v>
      </c>
      <c r="AY14" s="157" t="n">
        <v>500</v>
      </c>
      <c r="AZ14" s="157" t="n">
        <v>500</v>
      </c>
      <c r="BA14" s="157" t="n">
        <v>500</v>
      </c>
      <c r="BB14" s="157" t="n">
        <v>500</v>
      </c>
      <c r="BC14" s="157" t="n">
        <v>500</v>
      </c>
      <c r="BD14" s="157" t="n">
        <v>500</v>
      </c>
      <c r="BE14" s="157" t="n">
        <v>500</v>
      </c>
      <c r="BF14" s="157" t="n">
        <v>500</v>
      </c>
      <c r="BG14" s="157" t="n">
        <v>500</v>
      </c>
      <c r="BH14" s="157" t="n">
        <v>500</v>
      </c>
      <c r="BI14" s="157" t="n">
        <v>500</v>
      </c>
      <c r="BJ14" s="157" t="n">
        <v>500</v>
      </c>
      <c r="BK14" s="157" t="n">
        <v>500</v>
      </c>
      <c r="BL14" s="157" t="n">
        <v>500</v>
      </c>
      <c r="BM14" s="157" t="n">
        <v>500</v>
      </c>
      <c r="BN14" s="158" t="n">
        <v>500</v>
      </c>
      <c r="BO14" s="157" t="n">
        <v>500</v>
      </c>
      <c r="BP14" s="157" t="n">
        <v>500</v>
      </c>
      <c r="BQ14" s="157" t="n">
        <v>500</v>
      </c>
      <c r="BR14" s="157" t="n">
        <v>500</v>
      </c>
    </row>
    <row r="15" outlineLevel="1" ht="17" customFormat="1" customHeight="1" s="8">
      <c r="C15" s="13" t="inlineStr">
        <is>
          <t>ビジとり 定常浸透率（対象社数に対して）</t>
        </is>
      </c>
      <c r="D15" s="12" t="n"/>
      <c r="E15" s="12" t="n"/>
      <c r="F15" s="153" t="n">
        <v>0.7</v>
      </c>
      <c r="G15" s="153" t="n">
        <v>0.7</v>
      </c>
      <c r="H15" s="153" t="n">
        <v>0.7</v>
      </c>
      <c r="I15" s="153" t="n">
        <v>0.7</v>
      </c>
      <c r="J15" s="153" t="n">
        <v>0.7</v>
      </c>
      <c r="K15" s="153" t="n">
        <v>0.7</v>
      </c>
      <c r="L15" s="153" t="n">
        <v>0.7</v>
      </c>
      <c r="M15" s="153" t="n">
        <v>0.7</v>
      </c>
      <c r="N15" s="153" t="n">
        <v>0.7</v>
      </c>
      <c r="O15" s="153" t="n">
        <v>0.7</v>
      </c>
      <c r="P15" s="153" t="n">
        <v>0.7</v>
      </c>
      <c r="Q15" s="153" t="n">
        <v>0.7</v>
      </c>
      <c r="R15" s="153" t="n">
        <v>0.7</v>
      </c>
      <c r="S15" s="153" t="n">
        <v>0.7</v>
      </c>
      <c r="T15" s="153" t="n">
        <v>0.7</v>
      </c>
      <c r="U15" s="153" t="n">
        <v>0.7</v>
      </c>
      <c r="V15" s="153" t="n">
        <v>0.7</v>
      </c>
      <c r="W15" s="153" t="n">
        <v>0.7</v>
      </c>
      <c r="X15" s="153" t="n">
        <v>0.7</v>
      </c>
      <c r="Y15" s="153" t="n">
        <v>0.7</v>
      </c>
      <c r="Z15" s="153" t="n">
        <v>0.7</v>
      </c>
      <c r="AA15" s="153" t="n">
        <v>0.7</v>
      </c>
      <c r="AB15" s="153" t="n">
        <v>0.7</v>
      </c>
      <c r="AC15" s="153" t="n">
        <v>0.7</v>
      </c>
      <c r="AD15" s="153" t="n">
        <v>0.7</v>
      </c>
      <c r="AE15" s="153" t="n">
        <v>0.7</v>
      </c>
      <c r="AF15" s="153" t="n">
        <v>0.7</v>
      </c>
      <c r="AG15" s="153" t="n">
        <v>0.7</v>
      </c>
      <c r="AH15" s="153" t="n">
        <v>0.7</v>
      </c>
      <c r="AI15" s="153" t="n">
        <v>0.7</v>
      </c>
      <c r="AJ15" s="153" t="n">
        <v>0.7</v>
      </c>
      <c r="AK15" s="153" t="n">
        <v>0.7</v>
      </c>
      <c r="AL15" s="153" t="n">
        <v>0.7</v>
      </c>
      <c r="AM15" s="153" t="n">
        <v>0.7</v>
      </c>
      <c r="AN15" s="153" t="n">
        <v>0.7</v>
      </c>
      <c r="AO15" s="153" t="n">
        <v>0.7</v>
      </c>
      <c r="AP15" s="153" t="n">
        <v>0.7</v>
      </c>
      <c r="AQ15" s="153" t="n">
        <v>0.7</v>
      </c>
      <c r="AR15" s="153" t="n">
        <v>0.7</v>
      </c>
      <c r="AS15" s="153" t="n">
        <v>0.7</v>
      </c>
      <c r="AT15" s="153" t="n">
        <v>0.7</v>
      </c>
      <c r="AU15" s="153" t="n">
        <v>0.7</v>
      </c>
      <c r="AV15" s="153" t="n">
        <v>0.7</v>
      </c>
      <c r="AW15" s="153" t="n">
        <v>0.7</v>
      </c>
      <c r="AX15" s="153" t="n">
        <v>0.7</v>
      </c>
      <c r="AY15" s="153" t="n">
        <v>0.7</v>
      </c>
      <c r="AZ15" s="153" t="n">
        <v>0.7</v>
      </c>
      <c r="BA15" s="153" t="n">
        <v>0.7</v>
      </c>
      <c r="BB15" s="153" t="n">
        <v>0.7</v>
      </c>
      <c r="BC15" s="153" t="n">
        <v>0.7</v>
      </c>
      <c r="BD15" s="153" t="n">
        <v>0.7</v>
      </c>
      <c r="BE15" s="153" t="n">
        <v>0.7</v>
      </c>
      <c r="BF15" s="153" t="n">
        <v>0.7</v>
      </c>
      <c r="BG15" s="153" t="n">
        <v>0.7</v>
      </c>
      <c r="BH15" s="153" t="n">
        <v>0.7</v>
      </c>
      <c r="BI15" s="153" t="n">
        <v>0.7</v>
      </c>
      <c r="BJ15" s="153" t="n">
        <v>0.7</v>
      </c>
      <c r="BK15" s="153" t="n">
        <v>0.7</v>
      </c>
      <c r="BL15" s="153" t="n">
        <v>0.7</v>
      </c>
      <c r="BM15" s="153" t="n">
        <v>0.7</v>
      </c>
      <c r="BN15" s="154" t="n">
        <v>0.7</v>
      </c>
      <c r="BO15" s="153" t="n">
        <v>0.7</v>
      </c>
      <c r="BP15" s="153" t="n">
        <v>0.7</v>
      </c>
      <c r="BQ15" s="153" t="n">
        <v>0.7</v>
      </c>
      <c r="BR15" s="153" t="n">
        <v>0.7</v>
      </c>
    </row>
    <row r="16" outlineLevel="1" ht="17" customFormat="1" customHeight="1" s="8">
      <c r="C16" s="13" t="inlineStr">
        <is>
          <t>１税理士 / 紹介費用</t>
        </is>
      </c>
      <c r="D16" s="12" t="n"/>
      <c r="E16" s="12" t="n"/>
      <c r="F16" s="18">
        <f>F13*F25</f>
        <v>0.0</v>
      </c>
      <c r="G16" s="18">
        <f>G13*G25</f>
        <v>9646.875</v>
      </c>
      <c r="H16" s="18">
        <f>H13*H25</f>
        <v>52864.875</v>
      </c>
      <c r="I16" s="18">
        <f>I13*I25</f>
        <v>95218.515</v>
      </c>
      <c r="J16" s="18">
        <f>J13*J25</f>
        <v>131901.6447</v>
      </c>
      <c r="K16" s="18">
        <f>K13*K25</f>
        <v>177497.986806</v>
      </c>
      <c r="L16" s="18">
        <f>L13*L25</f>
        <v>222182.40206988</v>
      </c>
      <c r="M16" s="18">
        <f>M13*M25</f>
        <v>265973.129028482</v>
      </c>
      <c r="N16" s="18">
        <f>N13*N25</f>
        <v>318534.916447913</v>
      </c>
      <c r="O16" s="18">
        <f>O13*O25</f>
        <v>365222.030618954</v>
      </c>
      <c r="P16" s="18">
        <f>P13*P25</f>
        <v>410975.402506575</v>
      </c>
      <c r="Q16" s="18">
        <f>Q13*Q25</f>
        <v>465460.581956444</v>
      </c>
      <c r="R16" s="18">
        <f>R13*R25</f>
        <v>514032.620317315</v>
      </c>
      <c r="S16" s="18">
        <f>S13*S25</f>
        <v>561633.217910969</v>
      </c>
      <c r="T16" s="18">
        <f>T13*T25</f>
        <v>617928.678552749</v>
      </c>
      <c r="U16" s="18">
        <f>U13*U25</f>
        <v>668274.792481694</v>
      </c>
      <c r="V16" s="18">
        <f>V13*V25</f>
        <v>717613.98413206</v>
      </c>
      <c r="W16" s="18">
        <f>W13*W25</f>
        <v>775613.266949419</v>
      </c>
      <c r="X16" s="18">
        <f>X13*X25</f>
        <v>827629.126610431</v>
      </c>
      <c r="Y16" s="18">
        <f>Y13*Y25</f>
        <v>878604.669078222</v>
      </c>
      <c r="Z16" s="18">
        <f>Z13*Z25</f>
        <v>938207.575696657</v>
      </c>
      <c r="AA16" s="18">
        <f>AA13*AA25</f>
        <v>991794.986682724</v>
      </c>
      <c r="AB16" s="18">
        <f>AB13*AB25</f>
        <v>1044310.64944907</v>
      </c>
      <c r="AC16" s="18">
        <f>AC13*AC25</f>
        <v>1100599.43646009</v>
      </c>
      <c r="AD16" s="18">
        <f>AD13*AD25</f>
        <v>1168160.82132204</v>
      </c>
      <c r="AE16" s="18">
        <f>AE13*AE25</f>
        <v>1229716.4444489</v>
      </c>
      <c r="AF16" s="18">
        <f>AF13*AF25</f>
        <v>1299841.71917105</v>
      </c>
      <c r="AG16" s="18">
        <f>AG13*AG25</f>
        <v>1363916.36408555</v>
      </c>
      <c r="AH16" s="18">
        <f>AH13*AH25</f>
        <v>1431693.14021405</v>
      </c>
      <c r="AI16" s="18">
        <f>AI13*AI25</f>
        <v>1498283.82276031</v>
      </c>
      <c r="AJ16" s="18">
        <f>AJ13*AJ25</f>
        <v>1568532.605862</v>
      </c>
      <c r="AK16" s="18">
        <f>AK13*AK25</f>
        <v>1632728.59775942</v>
      </c>
      <c r="AL16" s="18">
        <f>AL13*AL25</f>
        <v>1705448.03479863</v>
      </c>
      <c r="AM16" s="18">
        <f>AM13*AM25</f>
        <v>1772071.44418965</v>
      </c>
      <c r="AN16" s="18">
        <f>AN13*AN25</f>
        <v>1837528.94391633</v>
      </c>
      <c r="AO16" s="18">
        <f>AO13*AO25</f>
        <v>1911487.8123978</v>
      </c>
      <c r="AP16" s="18">
        <f>AP13*AP25</f>
        <v>1979328.96318084</v>
      </c>
      <c r="AQ16" s="18">
        <f>AQ13*AQ25</f>
        <v>2045982.89382517</v>
      </c>
      <c r="AR16" s="18">
        <f>AR13*AR25</f>
        <v>2116293.81818323</v>
      </c>
      <c r="AS16" s="18">
        <f>AS13*AS25</f>
        <v>2185374.30136502</v>
      </c>
      <c r="AT16" s="18">
        <f>AT13*AT25</f>
        <v>2253245.87609114</v>
      </c>
      <c r="AU16" s="18">
        <f>AU13*AU25</f>
        <v>2324753.13575954</v>
      </c>
      <c r="AV16" s="18">
        <f>AV13*AV25</f>
        <v>2395009.01838375</v>
      </c>
      <c r="AW16" s="18">
        <f>AW13*AW25</f>
        <v>2464035.42306203</v>
      </c>
      <c r="AX16" s="18">
        <f>AX13*AX25</f>
        <v>2536677.30315845</v>
      </c>
      <c r="AY16" s="18">
        <f>AY13*AY25</f>
        <v>2603224.51285318</v>
      </c>
      <c r="AZ16" s="18">
        <f>AZ13*AZ25</f>
        <v>2673430.58387824</v>
      </c>
      <c r="BA16" s="18">
        <f>BA13*BA25</f>
        <v>2742408.04866038</v>
      </c>
      <c r="BB16" s="18">
        <f>BB13*BB25</f>
        <v>2841151.61543047</v>
      </c>
      <c r="BC16" s="18">
        <f>BC13*BC25</f>
        <v>2933590.59119901</v>
      </c>
      <c r="BD16" s="18">
        <f>BD13*BD25</f>
        <v>3029466.41983103</v>
      </c>
      <c r="BE16" s="18">
        <f>BE13*BE25</f>
        <v>3123904.11103356</v>
      </c>
      <c r="BF16" s="18">
        <f>BF13*BF25</f>
        <v>3216925.23686806</v>
      </c>
      <c r="BG16" s="18">
        <f>BG13*BG25</f>
        <v>3318197.92081504</v>
      </c>
      <c r="BH16" s="18">
        <f>BH13*BH25</f>
        <v>3413128.07700281</v>
      </c>
      <c r="BI16" s="18">
        <f>BI13*BI25</f>
        <v>3506634.28084777</v>
      </c>
      <c r="BJ16" s="18">
        <f>BJ13*BJ25</f>
        <v>3603561.32913505</v>
      </c>
      <c r="BK16" s="18">
        <f>BK13*BK25</f>
        <v>3699034.47169803</v>
      </c>
      <c r="BL16" s="18">
        <f>BL13*BL25</f>
        <v>3793075.51712256</v>
      </c>
      <c r="BM16" s="18">
        <f>BM13*BM25</f>
        <v>3890529.38436572</v>
      </c>
      <c r="BN16" s="37">
        <f>SUM(F16:Q16)</f>
        <v>2515478.35913425</v>
      </c>
      <c r="BO16" s="18">
        <f>SUM(R16:AC16)</f>
        <v>9636243.0043214</v>
      </c>
      <c r="BP16" s="18">
        <f>SUM(AD16:AO16)</f>
        <v>18419409.7509257</v>
      </c>
      <c r="BQ16" s="18">
        <f>SUM(AP16:BA16)</f>
        <v>28319763.878401</v>
      </c>
      <c r="BR16" s="18">
        <f>SUM(BB16:BM16)</f>
        <v>40369198.9553491</v>
      </c>
    </row>
    <row r="17" outlineLevel="1" ht="17" customFormat="1" customHeight="1" s="8">
      <c r="C17" s="17" t="inlineStr">
        <is>
          <t>税理士数＝アカウト数</t>
        </is>
      </c>
      <c r="D17" s="12" t="n"/>
      <c r="E17" s="12" t="n"/>
      <c r="F17" s="104" t="n">
        <v>0</v>
      </c>
      <c r="G17" s="104" t="n">
        <v>2</v>
      </c>
      <c r="H17" s="104" t="n">
        <v>11</v>
      </c>
      <c r="I17" s="104" t="n">
        <v>20</v>
      </c>
      <c r="J17" s="104" t="n">
        <v>28</v>
      </c>
      <c r="K17" s="104" t="n">
        <v>38</v>
      </c>
      <c r="L17" s="104" t="n">
        <v>48</v>
      </c>
      <c r="M17" s="104" t="n">
        <v>58</v>
      </c>
      <c r="N17" s="104" t="n">
        <v>70</v>
      </c>
      <c r="O17" s="104" t="n">
        <v>81</v>
      </c>
      <c r="P17" s="104" t="n">
        <v>92</v>
      </c>
      <c r="Q17" s="104" t="n">
        <v>105</v>
      </c>
      <c r="R17" s="104" t="n">
        <v>117</v>
      </c>
      <c r="S17" s="104" t="n">
        <v>129</v>
      </c>
      <c r="T17" s="104" t="n">
        <v>143</v>
      </c>
      <c r="U17" s="104" t="n">
        <v>156</v>
      </c>
      <c r="V17" s="104" t="n">
        <v>169</v>
      </c>
      <c r="W17" s="104" t="n">
        <v>184</v>
      </c>
      <c r="X17" s="104" t="n">
        <v>198</v>
      </c>
      <c r="Y17" s="104" t="n">
        <v>212</v>
      </c>
      <c r="Z17" s="104" t="n">
        <v>228</v>
      </c>
      <c r="AA17" s="104" t="n">
        <v>243</v>
      </c>
      <c r="AB17" s="104" t="n">
        <v>258</v>
      </c>
      <c r="AC17" s="104" t="n">
        <v>274</v>
      </c>
      <c r="AD17" s="104" t="n">
        <v>292</v>
      </c>
      <c r="AE17" s="104" t="n">
        <v>309</v>
      </c>
      <c r="AF17" s="104" t="n">
        <v>328</v>
      </c>
      <c r="AG17" s="104" t="n">
        <v>346</v>
      </c>
      <c r="AH17" s="104" t="n">
        <v>365</v>
      </c>
      <c r="AI17" s="104" t="n">
        <v>384</v>
      </c>
      <c r="AJ17" s="104" t="n">
        <v>404</v>
      </c>
      <c r="AK17" s="104" t="n">
        <v>423</v>
      </c>
      <c r="AL17" s="104" t="n">
        <v>444</v>
      </c>
      <c r="AM17" s="104" t="n">
        <v>464</v>
      </c>
      <c r="AN17" s="104" t="n">
        <v>484</v>
      </c>
      <c r="AO17" s="104" t="n">
        <v>506</v>
      </c>
      <c r="AP17" s="104" t="n">
        <v>527</v>
      </c>
      <c r="AQ17" s="104" t="n">
        <v>548</v>
      </c>
      <c r="AR17" s="104" t="n">
        <v>570</v>
      </c>
      <c r="AS17" s="104" t="n">
        <v>592</v>
      </c>
      <c r="AT17" s="104" t="n">
        <v>614</v>
      </c>
      <c r="AU17" s="104" t="n">
        <v>637</v>
      </c>
      <c r="AV17" s="104" t="n">
        <v>660</v>
      </c>
      <c r="AW17" s="104" t="n">
        <v>683</v>
      </c>
      <c r="AX17" s="104" t="n">
        <v>707</v>
      </c>
      <c r="AY17" s="104" t="n">
        <v>730</v>
      </c>
      <c r="AZ17" s="104" t="n">
        <v>754</v>
      </c>
      <c r="BA17" s="104" t="n">
        <v>778</v>
      </c>
      <c r="BB17" s="104" t="n">
        <v>807</v>
      </c>
      <c r="BC17" s="104" t="n">
        <v>835</v>
      </c>
      <c r="BD17" s="104" t="n">
        <v>864</v>
      </c>
      <c r="BE17" s="104" t="n">
        <v>893</v>
      </c>
      <c r="BF17" s="104" t="n">
        <v>922</v>
      </c>
      <c r="BG17" s="104" t="n">
        <v>953</v>
      </c>
      <c r="BH17" s="104" t="n">
        <v>983</v>
      </c>
      <c r="BI17" s="104" t="n">
        <v>1013</v>
      </c>
      <c r="BJ17" s="104" t="n">
        <v>1044</v>
      </c>
      <c r="BK17" s="104" t="n">
        <v>1075</v>
      </c>
      <c r="BL17" s="104" t="n">
        <v>1106</v>
      </c>
      <c r="BM17" s="104" t="n">
        <v>1138</v>
      </c>
      <c r="BN17" s="117">
        <f>Q17</f>
        <v>105.0</v>
      </c>
      <c r="BO17" s="104">
        <f>AC17</f>
        <v>274.0</v>
      </c>
      <c r="BP17" s="104">
        <f>AO17</f>
        <v>506.0</v>
      </c>
      <c r="BQ17" s="104">
        <f>BA17</f>
        <v>778.0</v>
      </c>
      <c r="BR17" s="104">
        <f>BM17</f>
        <v>1138.0</v>
      </c>
    </row>
    <row r="18" ht="18" customHeight="1" s="159">
      <c r="A18" s="152" t="inlineStr">
        <is>
          <t>KPI</t>
        </is>
      </c>
      <c r="B18" s="160" t="n"/>
      <c r="C18" s="160" t="inlineStr">
        <is>
          <t>新規</t>
        </is>
      </c>
      <c r="D18" s="12" t="n"/>
      <c r="E18" s="160" t="n"/>
      <c r="F18" s="8" t="n">
        <v>0</v>
      </c>
      <c r="G18" s="26" t="n">
        <v>4</v>
      </c>
      <c r="H18" s="26">
        <f>PRODUCT(H6:H11)-G18</f>
        <v>17.223125</v>
      </c>
      <c r="I18" s="26" t="n">
        <v>5</v>
      </c>
      <c r="J18" s="26" t="n">
        <v>5</v>
      </c>
      <c r="K18" s="26">
        <f>H18+1</f>
        <v>18.223125</v>
      </c>
      <c r="L18" s="26">
        <f>I18+1</f>
        <v>6.0</v>
      </c>
      <c r="M18" s="26">
        <f>J18+1</f>
        <v>6.0</v>
      </c>
      <c r="N18" s="26">
        <f>K18+1</f>
        <v>19.223125</v>
      </c>
      <c r="O18" s="26">
        <f>L18+1</f>
        <v>7.0</v>
      </c>
      <c r="P18" s="26">
        <f>M18+1</f>
        <v>7.0</v>
      </c>
      <c r="Q18" s="26">
        <f>N18+1</f>
        <v>20.223125</v>
      </c>
      <c r="R18" s="26">
        <f>O18+1</f>
        <v>8.0</v>
      </c>
      <c r="S18" s="26">
        <f>P18+1</f>
        <v>8.0</v>
      </c>
      <c r="T18" s="26">
        <f>Q18+1</f>
        <v>21.223125</v>
      </c>
      <c r="U18" s="26">
        <f>R18+1</f>
        <v>9.0</v>
      </c>
      <c r="V18" s="26">
        <f>S18+1</f>
        <v>9.0</v>
      </c>
      <c r="W18" s="26">
        <f>T18+1</f>
        <v>22.223125</v>
      </c>
      <c r="X18" s="26">
        <f>U18+1</f>
        <v>10.0</v>
      </c>
      <c r="Y18" s="26">
        <f>V18+1</f>
        <v>10.0</v>
      </c>
      <c r="Z18" s="26">
        <f>W18+1</f>
        <v>23.223125</v>
      </c>
      <c r="AA18" s="26">
        <f>X18+1</f>
        <v>11.0</v>
      </c>
      <c r="AB18" s="26">
        <f>Y18+1</f>
        <v>11.0</v>
      </c>
      <c r="AC18" s="26">
        <f>Z18+1</f>
        <v>24.223125</v>
      </c>
      <c r="AD18" s="26">
        <f>AA18+1</f>
        <v>12.0</v>
      </c>
      <c r="AE18" s="26">
        <f>AB18+1</f>
        <v>12.0</v>
      </c>
      <c r="AF18" s="26">
        <f>AC18+1</f>
        <v>25.223125</v>
      </c>
      <c r="AG18" s="26">
        <f>AD18+1</f>
        <v>13.0</v>
      </c>
      <c r="AH18" s="26">
        <f>AE18+1</f>
        <v>13.0</v>
      </c>
      <c r="AI18" s="26">
        <f>AF18+1</f>
        <v>26.223125</v>
      </c>
      <c r="AJ18" s="26">
        <f>AG18+1</f>
        <v>14.0</v>
      </c>
      <c r="AK18" s="26">
        <f>AH18+1</f>
        <v>14.0</v>
      </c>
      <c r="AL18" s="26">
        <f>AI18+1</f>
        <v>27.223125</v>
      </c>
      <c r="AM18" s="26">
        <f>AJ18+1</f>
        <v>15.0</v>
      </c>
      <c r="AN18" s="26">
        <f>AK18+1</f>
        <v>15.0</v>
      </c>
      <c r="AO18" s="26">
        <f>AL18+1</f>
        <v>28.223125</v>
      </c>
      <c r="AP18" s="26">
        <f>AM18+1</f>
        <v>16.0</v>
      </c>
      <c r="AQ18" s="26">
        <f>AN18+1</f>
        <v>16.0</v>
      </c>
      <c r="AR18" s="26">
        <f>AO18+1</f>
        <v>29.223125</v>
      </c>
      <c r="AS18" s="26">
        <f>AP18+1</f>
        <v>17.0</v>
      </c>
      <c r="AT18" s="26">
        <f>AQ18+1</f>
        <v>17.0</v>
      </c>
      <c r="AU18" s="26">
        <f>AR18+1</f>
        <v>30.223125</v>
      </c>
      <c r="AV18" s="26">
        <f>AS18+1</f>
        <v>18.0</v>
      </c>
      <c r="AW18" s="26">
        <f>AT18+1</f>
        <v>18.0</v>
      </c>
      <c r="AX18" s="26">
        <f>AU18+1</f>
        <v>31.223125</v>
      </c>
      <c r="AY18" s="26">
        <f>AV18+1</f>
        <v>19.0</v>
      </c>
      <c r="AZ18" s="26">
        <f>AW18+1</f>
        <v>19.0</v>
      </c>
      <c r="BA18" s="26">
        <f>AX18+1</f>
        <v>32.223125</v>
      </c>
      <c r="BB18" s="26">
        <f>AY18+1</f>
        <v>20.0</v>
      </c>
      <c r="BC18" s="26">
        <f>AZ18+1</f>
        <v>20.0</v>
      </c>
      <c r="BD18" s="26">
        <f>BA18+1</f>
        <v>33.223125</v>
      </c>
      <c r="BE18" s="26">
        <f>BB18+1</f>
        <v>21.0</v>
      </c>
      <c r="BF18" s="26">
        <f>BC18+1</f>
        <v>21.0</v>
      </c>
      <c r="BG18" s="26">
        <f>BD18+1</f>
        <v>34.223125</v>
      </c>
      <c r="BH18" s="26">
        <f>BE18+1</f>
        <v>22.0</v>
      </c>
      <c r="BI18" s="26">
        <f>BF18+1</f>
        <v>22.0</v>
      </c>
      <c r="BJ18" s="26">
        <f>BG18+1</f>
        <v>35.223125</v>
      </c>
      <c r="BK18" s="26">
        <f>BH18+1</f>
        <v>23.0</v>
      </c>
      <c r="BL18" s="26">
        <f>BI18+1</f>
        <v>23.0</v>
      </c>
      <c r="BM18" s="25">
        <f>BJ18+1</f>
        <v>36.223125</v>
      </c>
      <c r="BN18" s="26">
        <f>SUM(F18:Q18)</f>
        <v>114.8925</v>
      </c>
      <c r="BO18" s="26">
        <f>SUM(R18:AC18)</f>
        <v>166.8925</v>
      </c>
      <c r="BP18" s="26">
        <f>SUM(AD18:AO18)</f>
        <v>214.8925</v>
      </c>
      <c r="BQ18" s="26">
        <f>SUM(AP18:BA18)</f>
        <v>262.8925</v>
      </c>
      <c r="BR18" s="26">
        <f>SUM(BB18:BM18)</f>
        <v>310.8925</v>
      </c>
    </row>
    <row r="19" ht="18" customHeight="1" s="159">
      <c r="A19" s="152" t="n"/>
      <c r="B19" s="161" t="n"/>
      <c r="C19" s="160" t="inlineStr">
        <is>
          <t>解約予想数</t>
        </is>
      </c>
      <c r="D19" s="12" t="n"/>
      <c r="E19" s="160" t="n"/>
      <c r="F19" s="28" t="n">
        <v>0</v>
      </c>
      <c r="G19" s="28">
        <f>F25*G20</f>
        <v>0.0</v>
      </c>
      <c r="H19" s="28">
        <f>G25*H20</f>
        <v>0.077175</v>
      </c>
      <c r="I19" s="28">
        <f>H25*I20</f>
        <v>0.422919</v>
      </c>
      <c r="J19" s="28">
        <f>I25*J20</f>
        <v>0.76174812</v>
      </c>
      <c r="K19" s="28">
        <f>J25*K20</f>
        <v>1.0552131576</v>
      </c>
      <c r="L19" s="28">
        <f>K25*L20</f>
        <v>1.419983894448</v>
      </c>
      <c r="M19" s="28">
        <f>L25*M20</f>
        <v>1.77745921655904</v>
      </c>
      <c r="N19" s="28">
        <f>M25*N20</f>
        <v>2.12778503222786</v>
      </c>
      <c r="O19" s="28">
        <f>N25*O20</f>
        <v>2.5482793315833</v>
      </c>
      <c r="P19" s="28">
        <f>O25*P20</f>
        <v>2.92177624495164</v>
      </c>
      <c r="Q19" s="28">
        <f>P25*Q20</f>
        <v>3.2878032200526</v>
      </c>
      <c r="R19" s="28">
        <f>Q25*R20</f>
        <v>3.72368465565155</v>
      </c>
      <c r="S19" s="28">
        <f>R25*S20</f>
        <v>4.11226096253852</v>
      </c>
      <c r="T19" s="28">
        <f>S25*T20</f>
        <v>4.49306574328775</v>
      </c>
      <c r="U19" s="28">
        <f>T25*U20</f>
        <v>4.94342942842199</v>
      </c>
      <c r="V19" s="28">
        <f>U25*V20</f>
        <v>5.34619833985355</v>
      </c>
      <c r="W19" s="28">
        <f>V25*W20</f>
        <v>5.74091187305648</v>
      </c>
      <c r="X19" s="28">
        <f>W25*X20</f>
        <v>6.20490613559535</v>
      </c>
      <c r="Y19" s="28">
        <f>X25*Y20</f>
        <v>6.62103301288345</v>
      </c>
      <c r="Z19" s="28">
        <f>Y25*Z20</f>
        <v>7.02883735262578</v>
      </c>
      <c r="AA19" s="28">
        <f>Z25*AA20</f>
        <v>7.50566060557326</v>
      </c>
      <c r="AB19" s="28">
        <f>AA25*AB20</f>
        <v>7.9343598934618</v>
      </c>
      <c r="AC19" s="28">
        <f>AB25*AC20</f>
        <v>8.35448519559256</v>
      </c>
      <c r="AD19" s="28">
        <f>AC25*AD20</f>
        <v>7.70419605522062</v>
      </c>
      <c r="AE19" s="28">
        <f>AD25*AE20</f>
        <v>8.17712574925426</v>
      </c>
      <c r="AF19" s="28">
        <f>AE25*AF20</f>
        <v>8.60801511114231</v>
      </c>
      <c r="AG19" s="28">
        <f>AF25*AG20</f>
        <v>9.09889203419732</v>
      </c>
      <c r="AH19" s="28">
        <f>AG25*AH20</f>
        <v>9.54741454859887</v>
      </c>
      <c r="AI19" s="28">
        <f>AH25*AI20</f>
        <v>10.0218519814984</v>
      </c>
      <c r="AJ19" s="28">
        <f>AI25*AJ20</f>
        <v>10.4879867593222</v>
      </c>
      <c r="AK19" s="28">
        <f>AJ25*AK20</f>
        <v>10.979728241034</v>
      </c>
      <c r="AL19" s="28">
        <f>AK25*AL20</f>
        <v>11.4291001843159</v>
      </c>
      <c r="AM19" s="28">
        <f>AL25*AM20</f>
        <v>11.9381362435904</v>
      </c>
      <c r="AN19" s="28">
        <f>AM25*AN20</f>
        <v>12.4045001093276</v>
      </c>
      <c r="AO19" s="28">
        <f>AN25*AO20</f>
        <v>12.8627026074143</v>
      </c>
      <c r="AP19" s="28">
        <f>AO25*AP20</f>
        <v>13.3804146867846</v>
      </c>
      <c r="AQ19" s="28">
        <f>AP25*AQ20</f>
        <v>13.8553027422659</v>
      </c>
      <c r="AR19" s="28">
        <f>AQ25*AR20</f>
        <v>14.3218802567762</v>
      </c>
      <c r="AS19" s="28">
        <f>AR25*AS20</f>
        <v>14.8140567272826</v>
      </c>
      <c r="AT19" s="28">
        <f>AS25*AT20</f>
        <v>15.2976201095552</v>
      </c>
      <c r="AU19" s="28">
        <f>AT25*AU20</f>
        <v>15.772721132638</v>
      </c>
      <c r="AV19" s="28">
        <f>AU25*AV20</f>
        <v>16.2732719503168</v>
      </c>
      <c r="AW19" s="28">
        <f>AV25*AW20</f>
        <v>16.7650631286863</v>
      </c>
      <c r="AX19" s="28">
        <f>AW25*AX20</f>
        <v>17.2482479614342</v>
      </c>
      <c r="AY19" s="28">
        <f>AX25*AY20</f>
        <v>17.7567411221091</v>
      </c>
      <c r="AZ19" s="28">
        <f>AY25*AZ20</f>
        <v>18.2225715899722</v>
      </c>
      <c r="BA19" s="28">
        <f>AZ25*BA20</f>
        <v>18.7140140871477</v>
      </c>
      <c r="BB19" s="28">
        <f>BA25*BB20</f>
        <v>16.4544482919623</v>
      </c>
      <c r="BC19" s="28">
        <f>BB25*BC20</f>
        <v>17.0469096925828</v>
      </c>
      <c r="BD19" s="28">
        <f>BC25*BD20</f>
        <v>17.6015435471941</v>
      </c>
      <c r="BE19" s="28">
        <f>BD25*BE20</f>
        <v>18.1767985189862</v>
      </c>
      <c r="BF19" s="28">
        <f>BE25*BF20</f>
        <v>18.7434246662014</v>
      </c>
      <c r="BG19" s="28">
        <f>BF25*BG20</f>
        <v>19.3015514212083</v>
      </c>
      <c r="BH19" s="28">
        <f>BG25*BH20</f>
        <v>19.9091875248902</v>
      </c>
      <c r="BI19" s="28">
        <f>BH25*BI20</f>
        <v>20.4787684620169</v>
      </c>
      <c r="BJ19" s="28">
        <f>BI25*BJ20</f>
        <v>21.0398056850866</v>
      </c>
      <c r="BK19" s="28">
        <f>BJ25*BK20</f>
        <v>21.6213679748103</v>
      </c>
      <c r="BL19" s="28">
        <f>BK25*BL20</f>
        <v>22.1942068301882</v>
      </c>
      <c r="BM19" s="28">
        <f>BL25*BM20</f>
        <v>22.7584531027353</v>
      </c>
      <c r="BN19" s="40">
        <f>SUM(F19:Q19)</f>
        <v>16.4001422174224</v>
      </c>
      <c r="BO19" s="26">
        <f>SUM(R19:AC19)</f>
        <v>72.008833198542</v>
      </c>
      <c r="BP19" s="26">
        <f>SUM(AD19:AO19)</f>
        <v>123.259649624916</v>
      </c>
      <c r="BQ19" s="26">
        <f>SUM(AP19:BA19)</f>
        <v>192.421905494969</v>
      </c>
      <c r="BR19" s="26">
        <f>SUM(BB19:BM19)</f>
        <v>235.326465717863</v>
      </c>
    </row>
    <row r="20" ht="18" customHeight="1" s="159">
      <c r="A20" s="152" t="n"/>
      <c r="B20" s="161" t="n"/>
      <c r="C20" s="160" t="inlineStr">
        <is>
          <t>解約率</t>
        </is>
      </c>
      <c r="D20" s="12" t="inlineStr">
        <is>
          <t>F&amp;M オフィスステーション1.01%</t>
        </is>
      </c>
      <c r="E20" s="160" t="n"/>
      <c r="F20" s="29" t="n">
        <v>0.02</v>
      </c>
      <c r="G20" s="29" t="n">
        <v>0.02</v>
      </c>
      <c r="H20" s="29" t="n">
        <v>0.02</v>
      </c>
      <c r="I20" s="29" t="n">
        <v>0.02</v>
      </c>
      <c r="J20" s="29" t="n">
        <v>0.02</v>
      </c>
      <c r="K20" s="29" t="n">
        <v>0.02</v>
      </c>
      <c r="L20" s="29" t="n">
        <v>0.02</v>
      </c>
      <c r="M20" s="29" t="n">
        <v>0.02</v>
      </c>
      <c r="N20" s="29" t="n">
        <v>0.02</v>
      </c>
      <c r="O20" s="29" t="n">
        <v>0.02</v>
      </c>
      <c r="P20" s="29" t="n">
        <v>0.02</v>
      </c>
      <c r="Q20" s="29" t="n">
        <v>0.02</v>
      </c>
      <c r="R20" s="29" t="n">
        <v>0.02</v>
      </c>
      <c r="S20" s="29" t="n">
        <v>0.02</v>
      </c>
      <c r="T20" s="29" t="n">
        <v>0.02</v>
      </c>
      <c r="U20" s="29" t="n">
        <v>0.02</v>
      </c>
      <c r="V20" s="29" t="n">
        <v>0.02</v>
      </c>
      <c r="W20" s="29" t="n">
        <v>0.02</v>
      </c>
      <c r="X20" s="29" t="n">
        <v>0.02</v>
      </c>
      <c r="Y20" s="29" t="n">
        <v>0.02</v>
      </c>
      <c r="Z20" s="29" t="n">
        <v>0.02</v>
      </c>
      <c r="AA20" s="29" t="n">
        <v>0.02</v>
      </c>
      <c r="AB20" s="29" t="n">
        <v>0.02</v>
      </c>
      <c r="AC20" s="29" t="n">
        <v>0.02</v>
      </c>
      <c r="AD20" s="162" t="n">
        <v>0.0175</v>
      </c>
      <c r="AE20" s="162" t="n">
        <v>0.0175</v>
      </c>
      <c r="AF20" s="162" t="n">
        <v>0.0175</v>
      </c>
      <c r="AG20" s="162" t="n">
        <v>0.0175</v>
      </c>
      <c r="AH20" s="162" t="n">
        <v>0.0175</v>
      </c>
      <c r="AI20" s="162" t="n">
        <v>0.0175</v>
      </c>
      <c r="AJ20" s="162" t="n">
        <v>0.0175</v>
      </c>
      <c r="AK20" s="162" t="n">
        <v>0.0175</v>
      </c>
      <c r="AL20" s="162" t="n">
        <v>0.0175</v>
      </c>
      <c r="AM20" s="162" t="n">
        <v>0.0175</v>
      </c>
      <c r="AN20" s="162" t="n">
        <v>0.0175</v>
      </c>
      <c r="AO20" s="162" t="n">
        <v>0.0175</v>
      </c>
      <c r="AP20" s="162" t="n">
        <v>0.0175</v>
      </c>
      <c r="AQ20" s="162" t="n">
        <v>0.0175</v>
      </c>
      <c r="AR20" s="162" t="n">
        <v>0.0175</v>
      </c>
      <c r="AS20" s="162" t="n">
        <v>0.0175</v>
      </c>
      <c r="AT20" s="162" t="n">
        <v>0.0175</v>
      </c>
      <c r="AU20" s="162" t="n">
        <v>0.0175</v>
      </c>
      <c r="AV20" s="162" t="n">
        <v>0.0175</v>
      </c>
      <c r="AW20" s="162" t="n">
        <v>0.0175</v>
      </c>
      <c r="AX20" s="162" t="n">
        <v>0.0175</v>
      </c>
      <c r="AY20" s="162" t="n">
        <v>0.0175</v>
      </c>
      <c r="AZ20" s="162" t="n">
        <v>0.0175</v>
      </c>
      <c r="BA20" s="162" t="n">
        <v>0.0175</v>
      </c>
      <c r="BB20" s="29" t="n">
        <v>0.015</v>
      </c>
      <c r="BC20" s="29" t="n">
        <v>0.015</v>
      </c>
      <c r="BD20" s="29" t="n">
        <v>0.015</v>
      </c>
      <c r="BE20" s="29" t="n">
        <v>0.015</v>
      </c>
      <c r="BF20" s="29" t="n">
        <v>0.015</v>
      </c>
      <c r="BG20" s="29" t="n">
        <v>0.015</v>
      </c>
      <c r="BH20" s="29" t="n">
        <v>0.015</v>
      </c>
      <c r="BI20" s="29" t="n">
        <v>0.015</v>
      </c>
      <c r="BJ20" s="29" t="n">
        <v>0.015</v>
      </c>
      <c r="BK20" s="29" t="n">
        <v>0.015</v>
      </c>
      <c r="BL20" s="29" t="n">
        <v>0.015</v>
      </c>
      <c r="BM20" s="31" t="n">
        <v>0.015</v>
      </c>
      <c r="BN20" s="29">
        <f>AVERAGE(F20:Q20)</f>
        <v>0.02</v>
      </c>
      <c r="BO20" s="29">
        <f>AVERAGE(R20:AC20)</f>
        <v>0.02</v>
      </c>
      <c r="BP20" s="29">
        <f>AVERAGE(AD20:AO20)</f>
        <v>0.0175</v>
      </c>
      <c r="BQ20" s="29">
        <f>AVERAGE(AP20:BA20)</f>
        <v>0.0175</v>
      </c>
      <c r="BR20" s="29">
        <f>AVERAGE(BB20:BM20)</f>
        <v>0.015</v>
      </c>
    </row>
    <row r="21">
      <c r="A21" s="1" t="n"/>
      <c r="B21" s="163" t="n"/>
      <c r="C21" s="164" t="n"/>
      <c r="D21" s="32" t="n"/>
      <c r="E21" s="165" t="n"/>
      <c r="F21" s="164" t="n"/>
      <c r="G21" s="166" t="n"/>
      <c r="H21" s="166" t="n"/>
      <c r="I21" s="167" t="n"/>
    </row>
    <row r="23">
      <c r="C23" s="219" t="inlineStr">
        <is>
          <t>■ ストック計算（契約社数＝前月契約社数＋当月新規受注－当月解約）</t>
        </is>
      </c>
    </row>
    <row r="24" ht="18" customHeight="1" s="159">
      <c r="A24" s="152" t="n"/>
      <c r="B24" s="220" t="n"/>
      <c r="C24" s="17" t="inlineStr">
        <is>
          <t>新規受注数（当月）</t>
        </is>
      </c>
      <c r="D24" s="12" t="inlineStr">
        <is>
          <t>＝当月の累計獲得数(12行)－前月の累計獲得数。税理士獲得ロジック(×35等)は別途検討中のため、既存ファネルを流用</t>
        </is>
      </c>
      <c r="E24" s="12" t="n"/>
      <c r="F24" s="221">
        <f>F12</f>
        <v>0.0</v>
      </c>
      <c r="G24" s="221">
        <f>G12-F12</f>
        <v>3.85875</v>
      </c>
      <c r="H24" s="221">
        <f>H12-G12</f>
        <v>17.364375</v>
      </c>
      <c r="I24" s="221">
        <f>I12-H12</f>
        <v>17.364375</v>
      </c>
      <c r="J24" s="221">
        <f>J12-I12</f>
        <v>15.435</v>
      </c>
      <c r="K24" s="221">
        <f>K12-J12</f>
        <v>19.29375</v>
      </c>
      <c r="L24" s="221">
        <f>L12-K12</f>
        <v>19.29375</v>
      </c>
      <c r="M24" s="221">
        <f>M12-L12</f>
        <v>19.29375</v>
      </c>
      <c r="N24" s="221">
        <f>N12-M12</f>
        <v>23.1525</v>
      </c>
      <c r="O24" s="221">
        <f>O12-N12</f>
        <v>21.223125</v>
      </c>
      <c r="P24" s="221">
        <f>P12-O12</f>
        <v>21.223125</v>
      </c>
      <c r="Q24" s="221">
        <f>Q12-P12</f>
        <v>25.081875</v>
      </c>
      <c r="R24" s="221">
        <f>R12-Q12</f>
        <v>23.1525</v>
      </c>
      <c r="S24" s="221">
        <f>S12-R12</f>
        <v>23.1525</v>
      </c>
      <c r="T24" s="221">
        <f>T12-S12</f>
        <v>27.01125</v>
      </c>
      <c r="U24" s="221">
        <f>U12-T12</f>
        <v>25.081875</v>
      </c>
      <c r="V24" s="221">
        <f>V12-U12</f>
        <v>25.081875</v>
      </c>
      <c r="W24" s="221">
        <f>W12-V12</f>
        <v>28.940625</v>
      </c>
      <c r="X24" s="221">
        <f>X12-W12</f>
        <v>27.01125</v>
      </c>
      <c r="Y24" s="221">
        <f>Y12-X12</f>
        <v>27.01125</v>
      </c>
      <c r="Z24" s="221">
        <f>Z12-Y12</f>
        <v>30.87</v>
      </c>
      <c r="AA24" s="221">
        <f>AA12-Z12</f>
        <v>28.940625</v>
      </c>
      <c r="AB24" s="221">
        <f>AB12-AA12</f>
        <v>28.940625</v>
      </c>
      <c r="AC24" s="221">
        <f>AC12-AB12</f>
        <v>30.87</v>
      </c>
      <c r="AD24" s="221">
        <f>AD12-AC12</f>
        <v>34.72875</v>
      </c>
      <c r="AE24" s="221">
        <f>AE12-AD12</f>
        <v>32.7993750000001</v>
      </c>
      <c r="AF24" s="221">
        <f>AF12-AE12</f>
        <v>36.6581249999999</v>
      </c>
      <c r="AG24" s="221">
        <f>AG12-AF12</f>
        <v>34.72875</v>
      </c>
      <c r="AH24" s="221">
        <f>AH12-AG12</f>
        <v>36.658125</v>
      </c>
      <c r="AI24" s="221">
        <f>AI12-AH12</f>
        <v>36.658125</v>
      </c>
      <c r="AJ24" s="221">
        <f>AJ12-AI12</f>
        <v>38.5874999999999</v>
      </c>
      <c r="AK24" s="221">
        <f>AK12-AJ12</f>
        <v>36.6581249999999</v>
      </c>
      <c r="AL24" s="221">
        <f>AL12-AK12</f>
        <v>40.516875</v>
      </c>
      <c r="AM24" s="221">
        <f>AM12-AL12</f>
        <v>38.5875000000001</v>
      </c>
      <c r="AN24" s="221">
        <f>AN12-AM12</f>
        <v>38.5875</v>
      </c>
      <c r="AO24" s="221">
        <f>AO12-AN12</f>
        <v>42.44625</v>
      </c>
      <c r="AP24" s="221">
        <f>AP12-AO12</f>
        <v>40.516875</v>
      </c>
      <c r="AQ24" s="221">
        <f>AQ12-AP12</f>
        <v>40.516875</v>
      </c>
      <c r="AR24" s="221">
        <f>AR12-AQ12</f>
        <v>42.44625</v>
      </c>
      <c r="AS24" s="221">
        <f>AS12-AR12</f>
        <v>42.44625</v>
      </c>
      <c r="AT24" s="221">
        <f>AT12-AS12</f>
        <v>42.4462500000002</v>
      </c>
      <c r="AU24" s="221">
        <f>AU12-AT12</f>
        <v>44.3756249999999</v>
      </c>
      <c r="AV24" s="221">
        <f>AV12-AU12</f>
        <v>44.3756250000001</v>
      </c>
      <c r="AW24" s="221">
        <f>AW12-AV12</f>
        <v>44.3756249999999</v>
      </c>
      <c r="AX24" s="221">
        <f>AX12-AW12</f>
        <v>46.3049999999998</v>
      </c>
      <c r="AY24" s="221">
        <f>AY12-AX12</f>
        <v>44.3756250000001</v>
      </c>
      <c r="AZ24" s="221">
        <f>AZ12-AY12</f>
        <v>46.3049999999998</v>
      </c>
      <c r="BA24" s="221">
        <f>BA12-AZ12</f>
        <v>46.3050000000001</v>
      </c>
      <c r="BB24" s="221">
        <f>BB12-BA12</f>
        <v>55.951875</v>
      </c>
      <c r="BC24" s="221">
        <f>BC12-BB12</f>
        <v>54.0224999999998</v>
      </c>
      <c r="BD24" s="221">
        <f>BD12-BC12</f>
        <v>55.9518750000002</v>
      </c>
      <c r="BE24" s="221">
        <f>BE12-BD12</f>
        <v>55.9518750000002</v>
      </c>
      <c r="BF24" s="221">
        <f>BF12-BE12</f>
        <v>55.9518749999997</v>
      </c>
      <c r="BG24" s="221">
        <f>BG12-BF12</f>
        <v>59.8106250000001</v>
      </c>
      <c r="BH24" s="221">
        <f>BH12-BG12</f>
        <v>57.8812500000001</v>
      </c>
      <c r="BI24" s="221">
        <f>BI12-BH12</f>
        <v>57.8812499999999</v>
      </c>
      <c r="BJ24" s="221">
        <f>BJ12-BI12</f>
        <v>59.8106249999998</v>
      </c>
      <c r="BK24" s="221">
        <f>BK12-BJ12</f>
        <v>59.8106250000003</v>
      </c>
      <c r="BL24" s="221">
        <f>BL12-BK12</f>
        <v>59.8106249999996</v>
      </c>
      <c r="BM24" s="221">
        <f>BM12-BL12</f>
        <v>61.7400000000002</v>
      </c>
      <c r="BN24" s="222">
        <f>SUM(F24:Q24)</f>
        <v>202.584375</v>
      </c>
      <c r="BO24" s="221">
        <f>SUM(R24:AC24)</f>
        <v>326.064375</v>
      </c>
      <c r="BP24" s="221">
        <f>SUM(AD24:AO24)</f>
        <v>447.615</v>
      </c>
      <c r="BQ24" s="221">
        <f>SUM(AP24:BA24)</f>
        <v>524.79</v>
      </c>
      <c r="BR24" s="221">
        <f>SUM(BB24:BM24)</f>
        <v>694.575</v>
      </c>
    </row>
    <row r="25" ht="18" customHeight="1" s="159">
      <c r="A25" s="152" t="n"/>
      <c r="B25" s="220" t="n"/>
      <c r="C25" s="17" t="inlineStr">
        <is>
          <t>期末契約社数（ストック）</t>
        </is>
      </c>
      <c r="D25" s="12" t="inlineStr">
        <is>
          <t>＝前月末契約社数＋新規受注数－解約予想数。売上＝本行×単価</t>
        </is>
      </c>
      <c r="E25" s="12" t="n"/>
      <c r="F25" s="221">
        <f>F24-F19</f>
        <v>0.0</v>
      </c>
      <c r="G25" s="221">
        <f>F25+G24-G19</f>
        <v>3.85875</v>
      </c>
      <c r="H25" s="221">
        <f>G25+H24-H19</f>
        <v>21.14595</v>
      </c>
      <c r="I25" s="221">
        <f>H25+I24-I19</f>
        <v>38.087406</v>
      </c>
      <c r="J25" s="221">
        <f>I25+J24-J19</f>
        <v>52.76065788</v>
      </c>
      <c r="K25" s="221">
        <f>J25+K24-K19</f>
        <v>70.9991947224</v>
      </c>
      <c r="L25" s="221">
        <f>K25+L24-L19</f>
        <v>88.872960827952</v>
      </c>
      <c r="M25" s="221">
        <f>L25+M24-M19</f>
        <v>106.389251611393</v>
      </c>
      <c r="N25" s="221">
        <f>M25+N24-N19</f>
        <v>127.413966579165</v>
      </c>
      <c r="O25" s="221">
        <f>N25+O24-O19</f>
        <v>146.088812247582</v>
      </c>
      <c r="P25" s="221">
        <f>O25+P24-P19</f>
        <v>164.39016100263</v>
      </c>
      <c r="Q25" s="221">
        <f>P25+Q24-Q19</f>
        <v>186.184232782578</v>
      </c>
      <c r="R25" s="221">
        <f>Q25+R24-R19</f>
        <v>205.613048126926</v>
      </c>
      <c r="S25" s="221">
        <f>R25+S24-S19</f>
        <v>224.653287164387</v>
      </c>
      <c r="T25" s="221">
        <f>S25+T24-T19</f>
        <v>247.1714714211</v>
      </c>
      <c r="U25" s="221">
        <f>T25+U24-U19</f>
        <v>267.309916992678</v>
      </c>
      <c r="V25" s="221">
        <f>U25+V24-V19</f>
        <v>287.045593652824</v>
      </c>
      <c r="W25" s="221">
        <f>V25+W24-W19</f>
        <v>310.245306779768</v>
      </c>
      <c r="X25" s="221">
        <f>W25+X24-X19</f>
        <v>331.051650644172</v>
      </c>
      <c r="Y25" s="221">
        <f>X25+Y24-Y19</f>
        <v>351.441867631289</v>
      </c>
      <c r="Z25" s="221">
        <f>Y25+Z24-Z19</f>
        <v>375.283030278663</v>
      </c>
      <c r="AA25" s="221">
        <f>Z25+AA24-AA19</f>
        <v>396.71799467309</v>
      </c>
      <c r="AB25" s="221">
        <f>AA25+AB24-AB19</f>
        <v>417.724259779628</v>
      </c>
      <c r="AC25" s="221">
        <f>AB25+AC24-AC19</f>
        <v>440.239774584035</v>
      </c>
      <c r="AD25" s="221">
        <f>AC25+AD24-AD19</f>
        <v>467.264328528815</v>
      </c>
      <c r="AE25" s="221">
        <f>AD25+AE24-AE19</f>
        <v>491.886577779561</v>
      </c>
      <c r="AF25" s="221">
        <f>AE25+AF24-AF19</f>
        <v>519.936687668418</v>
      </c>
      <c r="AG25" s="221">
        <f>AF25+AG24-AG19</f>
        <v>545.566545634221</v>
      </c>
      <c r="AH25" s="221">
        <f>AG25+AH24-AH19</f>
        <v>572.677256085622</v>
      </c>
      <c r="AI25" s="221">
        <f>AH25+AI24-AI19</f>
        <v>599.313529104124</v>
      </c>
      <c r="AJ25" s="221">
        <f>AI25+AJ24-AJ19</f>
        <v>627.413042344801</v>
      </c>
      <c r="AK25" s="221">
        <f>AJ25+AK24-AK19</f>
        <v>653.091439103767</v>
      </c>
      <c r="AL25" s="221">
        <f>AK25+AL24-AL19</f>
        <v>682.179213919451</v>
      </c>
      <c r="AM25" s="221">
        <f>AL25+AM24-AM19</f>
        <v>708.828577675861</v>
      </c>
      <c r="AN25" s="221">
        <f>AM25+AN24-AN19</f>
        <v>735.011577566533</v>
      </c>
      <c r="AO25" s="221">
        <f>AN25+AO24-AO19</f>
        <v>764.595124959119</v>
      </c>
      <c r="AP25" s="221">
        <f>AO25+AP24-AP19</f>
        <v>791.731585272334</v>
      </c>
      <c r="AQ25" s="221">
        <f>AP25+AQ24-AQ19</f>
        <v>818.393157530069</v>
      </c>
      <c r="AR25" s="221">
        <f>AQ25+AR24-AR19</f>
        <v>846.517527273292</v>
      </c>
      <c r="AS25" s="221">
        <f>AR25+AS24-AS19</f>
        <v>874.14972054601</v>
      </c>
      <c r="AT25" s="221">
        <f>AS25+AT24-AT19</f>
        <v>901.298350436455</v>
      </c>
      <c r="AU25" s="221">
        <f>AT25+AU24-AU19</f>
        <v>929.901254303817</v>
      </c>
      <c r="AV25" s="221">
        <f>AU25+AV24-AV19</f>
        <v>958.0036073535</v>
      </c>
      <c r="AW25" s="221">
        <f>AV25+AW24-AW19</f>
        <v>985.614169224814</v>
      </c>
      <c r="AX25" s="221">
        <f>AW25+AX24-AX19</f>
        <v>1014.67092126338</v>
      </c>
      <c r="AY25" s="221">
        <f>AX25+AY24-AY19</f>
        <v>1041.28980514127</v>
      </c>
      <c r="AZ25" s="221">
        <f>AY25+AZ24-AZ19</f>
        <v>1069.3722335513</v>
      </c>
      <c r="BA25" s="221">
        <f>AZ25+BA24-BA19</f>
        <v>1096.96321946415</v>
      </c>
      <c r="BB25" s="221">
        <f>BA25+BB24-BB19</f>
        <v>1136.46064617219</v>
      </c>
      <c r="BC25" s="221">
        <f>BB25+BC24-BC19</f>
        <v>1173.4362364796</v>
      </c>
      <c r="BD25" s="221">
        <f>BC25+BD24-BD19</f>
        <v>1211.78656793241</v>
      </c>
      <c r="BE25" s="221">
        <f>BD25+BE24-BE19</f>
        <v>1249.56164441343</v>
      </c>
      <c r="BF25" s="221">
        <f>BE25+BF24-BF19</f>
        <v>1286.77009474722</v>
      </c>
      <c r="BG25" s="221">
        <f>BF25+BG24-BG19</f>
        <v>1327.27916832602</v>
      </c>
      <c r="BH25" s="221">
        <f>BG25+BH24-BH19</f>
        <v>1365.25123080112</v>
      </c>
      <c r="BI25" s="221">
        <f>BH25+BI24-BI19</f>
        <v>1402.65371233911</v>
      </c>
      <c r="BJ25" s="221">
        <f>BI25+BJ24-BJ19</f>
        <v>1441.42453165402</v>
      </c>
      <c r="BK25" s="221">
        <f>BJ25+BK24-BK19</f>
        <v>1479.61378867921</v>
      </c>
      <c r="BL25" s="221">
        <f>BK25+BL24-BL19</f>
        <v>1517.23020684902</v>
      </c>
      <c r="BM25" s="221">
        <f>BL25+BM24-BM19</f>
        <v>1556.21175374629</v>
      </c>
      <c r="BN25" s="222">
        <f>Q25</f>
        <v>186.184232782578</v>
      </c>
      <c r="BO25" s="221">
        <f>AC25</f>
        <v>440.239774584035</v>
      </c>
      <c r="BP25" s="221">
        <f>AO25</f>
        <v>764.595124959119</v>
      </c>
      <c r="BQ25" s="221">
        <f>BA25</f>
        <v>1096.96321946415</v>
      </c>
      <c r="BR25" s="221">
        <f>BM25</f>
        <v>1556.21175374629</v>
      </c>
    </row>
  </sheetData>
  <pageMargins left="0.7" right="0.7" top="0.75" bottom="0.75" header="0.3" footer="0.3"/>
  <pageSetup orientation="portrait" paperSize="9" horizontalDpi="0" verticalDpi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BR24"/>
  <sheetViews>
    <sheetView topLeftCell="AL1" zoomScale="125" workbookViewId="0">
      <selection activeCell="AZ24" sqref="AZ24"/>
    </sheetView>
  </sheetViews>
  <sheetFormatPr baseColWidth="10" defaultRowHeight="20"/>
  <sheetData>
    <row r="4">
      <c r="C4" s="5" t="inlineStr">
        <is>
          <t>■ 支払い.com　 ➡ 　請求書クレカ払い</t>
        </is>
      </c>
      <c r="D4" s="6" t="n"/>
      <c r="E4" s="6" t="n"/>
      <c r="F4" s="10" t="inlineStr">
        <is>
          <t>Y1_M1</t>
        </is>
      </c>
      <c r="G4" s="10" t="inlineStr">
        <is>
          <t>Y1_M2</t>
        </is>
      </c>
      <c r="H4" s="10" t="inlineStr">
        <is>
          <t>Y1_M3</t>
        </is>
      </c>
      <c r="I4" s="10" t="inlineStr">
        <is>
          <t>Y1_M4</t>
        </is>
      </c>
      <c r="J4" s="10" t="inlineStr">
        <is>
          <t>Y1_M5</t>
        </is>
      </c>
      <c r="K4" s="10" t="inlineStr">
        <is>
          <t>Y1_M6</t>
        </is>
      </c>
      <c r="L4" s="10" t="inlineStr">
        <is>
          <t>Y1_M7</t>
        </is>
      </c>
      <c r="M4" s="10" t="inlineStr">
        <is>
          <t>Y1_M8</t>
        </is>
      </c>
      <c r="N4" s="10" t="inlineStr">
        <is>
          <t>Y1_M9</t>
        </is>
      </c>
      <c r="O4" s="10" t="inlineStr">
        <is>
          <t>Y1_M10</t>
        </is>
      </c>
      <c r="P4" s="10" t="inlineStr">
        <is>
          <t>Y1_M11</t>
        </is>
      </c>
      <c r="Q4" s="10" t="inlineStr">
        <is>
          <t>Y1_M12</t>
        </is>
      </c>
      <c r="R4" s="10" t="inlineStr">
        <is>
          <t>Y2_M1</t>
        </is>
      </c>
      <c r="S4" s="10" t="inlineStr">
        <is>
          <t>Y2_M2</t>
        </is>
      </c>
      <c r="T4" s="10" t="inlineStr">
        <is>
          <t>Y2_M3</t>
        </is>
      </c>
      <c r="U4" s="10" t="inlineStr">
        <is>
          <t>Y2_M4</t>
        </is>
      </c>
      <c r="V4" s="10" t="inlineStr">
        <is>
          <t>Y2_M5</t>
        </is>
      </c>
      <c r="W4" s="10" t="inlineStr">
        <is>
          <t>Y2_M6</t>
        </is>
      </c>
      <c r="X4" s="10" t="inlineStr">
        <is>
          <t>Y2_M7</t>
        </is>
      </c>
      <c r="Y4" s="10" t="inlineStr">
        <is>
          <t>Y2_M8</t>
        </is>
      </c>
      <c r="Z4" s="10" t="inlineStr">
        <is>
          <t>Y2_M9</t>
        </is>
      </c>
      <c r="AA4" s="10" t="inlineStr">
        <is>
          <t>Y2_M10</t>
        </is>
      </c>
      <c r="AB4" s="10" t="inlineStr">
        <is>
          <t>Y2_M11</t>
        </is>
      </c>
      <c r="AC4" s="10" t="inlineStr">
        <is>
          <t>Y2_M12</t>
        </is>
      </c>
      <c r="AD4" s="10" t="inlineStr">
        <is>
          <t>Y3_M1</t>
        </is>
      </c>
      <c r="AE4" s="10" t="inlineStr">
        <is>
          <t>Y3_M2</t>
        </is>
      </c>
      <c r="AF4" s="10" t="inlineStr">
        <is>
          <t>Y3_M3</t>
        </is>
      </c>
      <c r="AG4" s="10" t="inlineStr">
        <is>
          <t>Y3_M4</t>
        </is>
      </c>
      <c r="AH4" s="10" t="inlineStr">
        <is>
          <t>Y3_M5</t>
        </is>
      </c>
      <c r="AI4" s="10" t="inlineStr">
        <is>
          <t>Y3_M6</t>
        </is>
      </c>
      <c r="AJ4" s="10" t="inlineStr">
        <is>
          <t>Y3_M7</t>
        </is>
      </c>
      <c r="AK4" s="10" t="inlineStr">
        <is>
          <t>Y3_M8</t>
        </is>
      </c>
      <c r="AL4" s="10" t="inlineStr">
        <is>
          <t>Y3_M9</t>
        </is>
      </c>
      <c r="AM4" s="10" t="inlineStr">
        <is>
          <t>Y3_M10</t>
        </is>
      </c>
      <c r="AN4" s="10" t="inlineStr">
        <is>
          <t>Y3_M11</t>
        </is>
      </c>
      <c r="AO4" s="10" t="inlineStr">
        <is>
          <t>Y3_M12</t>
        </is>
      </c>
      <c r="AP4" s="10" t="inlineStr">
        <is>
          <t>Y4_M1</t>
        </is>
      </c>
      <c r="AQ4" s="10" t="inlineStr">
        <is>
          <t>Y4_M2</t>
        </is>
      </c>
      <c r="AR4" s="10" t="inlineStr">
        <is>
          <t>Y4_M3</t>
        </is>
      </c>
      <c r="AS4" s="10" t="inlineStr">
        <is>
          <t>Y4_M4</t>
        </is>
      </c>
      <c r="AT4" s="10" t="inlineStr">
        <is>
          <t>Y4_M5</t>
        </is>
      </c>
      <c r="AU4" s="10" t="inlineStr">
        <is>
          <t>Y4_M6</t>
        </is>
      </c>
      <c r="AV4" s="10" t="inlineStr">
        <is>
          <t>Y4_M7</t>
        </is>
      </c>
      <c r="AW4" s="10" t="inlineStr">
        <is>
          <t>Y4_M8</t>
        </is>
      </c>
      <c r="AX4" s="10" t="inlineStr">
        <is>
          <t>Y4_M9</t>
        </is>
      </c>
      <c r="AY4" s="10" t="inlineStr">
        <is>
          <t>Y4_M10</t>
        </is>
      </c>
      <c r="AZ4" s="10" t="inlineStr">
        <is>
          <t>Y4_M11</t>
        </is>
      </c>
      <c r="BA4" s="10" t="inlineStr">
        <is>
          <t>Y4_M12</t>
        </is>
      </c>
      <c r="BB4" s="10" t="inlineStr">
        <is>
          <t>Y5_M1</t>
        </is>
      </c>
      <c r="BC4" s="10" t="inlineStr">
        <is>
          <t>Y5_M2</t>
        </is>
      </c>
      <c r="BD4" s="10" t="inlineStr">
        <is>
          <t>Y5_M3</t>
        </is>
      </c>
      <c r="BE4" s="10" t="inlineStr">
        <is>
          <t>Y5_M4</t>
        </is>
      </c>
      <c r="BF4" s="10" t="inlineStr">
        <is>
          <t>Y5_M5</t>
        </is>
      </c>
      <c r="BG4" s="10" t="inlineStr">
        <is>
          <t>Y5_M6</t>
        </is>
      </c>
      <c r="BH4" s="10" t="inlineStr">
        <is>
          <t>Y5_M7</t>
        </is>
      </c>
      <c r="BI4" s="10" t="inlineStr">
        <is>
          <t>Y5_M8</t>
        </is>
      </c>
      <c r="BJ4" s="10" t="inlineStr">
        <is>
          <t>Y5_M9</t>
        </is>
      </c>
      <c r="BK4" s="10" t="inlineStr">
        <is>
          <t>Y5_M10</t>
        </is>
      </c>
      <c r="BL4" s="10" t="inlineStr">
        <is>
          <t>Y5_M11</t>
        </is>
      </c>
      <c r="BM4" s="10" t="inlineStr">
        <is>
          <t>Y5_M12</t>
        </is>
      </c>
      <c r="BN4" s="9" t="inlineStr">
        <is>
          <t>Y1</t>
        </is>
      </c>
      <c r="BO4" s="10" t="inlineStr">
        <is>
          <t>Y2</t>
        </is>
      </c>
      <c r="BP4" s="10" t="inlineStr">
        <is>
          <t>Y3</t>
        </is>
      </c>
      <c r="BQ4" s="10" t="inlineStr">
        <is>
          <t>Y4</t>
        </is>
      </c>
      <c r="BR4" s="10" t="inlineStr">
        <is>
          <t>Y5</t>
        </is>
      </c>
    </row>
    <row r="5">
      <c r="C5" s="5" t="inlineStr">
        <is>
          <t>売上</t>
        </is>
      </c>
      <c r="D5" s="6" t="n"/>
      <c r="E5" s="6" t="n"/>
      <c r="F5" s="168">
        <f>F24*F13/12</f>
        <v>0.0</v>
      </c>
      <c r="G5" s="168">
        <f>G24*G13/12</f>
        <v>312.375</v>
      </c>
      <c r="H5" s="168">
        <f>H24*H13/12</f>
        <v>1711.815</v>
      </c>
      <c r="I5" s="168">
        <f>I24*I13/12</f>
        <v>3083.2662</v>
      </c>
      <c r="J5" s="168">
        <f>J24*J13/12</f>
        <v>4271.100876</v>
      </c>
      <c r="K5" s="168">
        <f>K24*K13/12</f>
        <v>5747.55385848</v>
      </c>
      <c r="L5" s="168">
        <f>L24*L13/12</f>
        <v>7194.4777813104</v>
      </c>
      <c r="M5" s="168">
        <f>M24*M13/12</f>
        <v>8612.46322568419</v>
      </c>
      <c r="N5" s="168">
        <f>N24*N13/12</f>
        <v>10314.4639611705</v>
      </c>
      <c r="O5" s="168">
        <f>O24*O13/12</f>
        <v>11826.2371819471</v>
      </c>
      <c r="P5" s="168">
        <f>P24*P13/12</f>
        <v>13307.7749383082</v>
      </c>
      <c r="Q5" s="168">
        <f>Q24*Q13/12</f>
        <v>15072.056939542</v>
      </c>
      <c r="R5" s="168">
        <f>R24*R13/12</f>
        <v>16644.8658007512</v>
      </c>
      <c r="S5" s="168">
        <f>S24*S13/12</f>
        <v>18186.2184847361</v>
      </c>
      <c r="T5" s="168">
        <f>T24*T13/12</f>
        <v>20009.1191150414</v>
      </c>
      <c r="U5" s="168">
        <f>U24*U13/12</f>
        <v>21639.3742327406</v>
      </c>
      <c r="V5" s="168">
        <f>V24*V13/12</f>
        <v>23237.0242480858</v>
      </c>
      <c r="W5" s="168">
        <f>W24*W13/12</f>
        <v>25115.0962631241</v>
      </c>
      <c r="X5" s="168">
        <f>X24*X13/12</f>
        <v>26799.4193378616</v>
      </c>
      <c r="Y5" s="168">
        <f>Y24*Y13/12</f>
        <v>28450.0559511043</v>
      </c>
      <c r="Z5" s="168">
        <f>Z24*Z13/12</f>
        <v>30380.0548320822</v>
      </c>
      <c r="AA5" s="168">
        <f>AA24*AA13/12</f>
        <v>32115.2662354406</v>
      </c>
      <c r="AB5" s="168">
        <f>AB24*AB13/12</f>
        <v>33815.7734107318</v>
      </c>
      <c r="AC5" s="168">
        <f>AC24*AC13/12</f>
        <v>35638.4579425172</v>
      </c>
      <c r="AD5" s="168">
        <f>AD24*AD13/12</f>
        <v>37826.1599285231</v>
      </c>
      <c r="AE5" s="168">
        <f>AE24*AE13/12</f>
        <v>39819.389629774</v>
      </c>
      <c r="AF5" s="168">
        <f>AF24*AF13/12</f>
        <v>42090.1128112529</v>
      </c>
      <c r="AG5" s="168">
        <f>AG24*AG13/12</f>
        <v>44164.910837056</v>
      </c>
      <c r="AH5" s="168">
        <f>AH24*AH13/12</f>
        <v>46359.5873974075</v>
      </c>
      <c r="AI5" s="168">
        <f>AI24*AI13/12</f>
        <v>48515.8571179529</v>
      </c>
      <c r="AJ5" s="168">
        <f>AJ24*AJ13/12</f>
        <v>50790.5796183887</v>
      </c>
      <c r="AK5" s="168">
        <f>AK24*AK13/12</f>
        <v>52869.3069750669</v>
      </c>
      <c r="AL5" s="168">
        <f>AL24*AL13/12</f>
        <v>55224.0316030032</v>
      </c>
      <c r="AM5" s="168">
        <f>AM24*AM13/12</f>
        <v>57381.3610499507</v>
      </c>
      <c r="AN5" s="168">
        <f>AN24*AN13/12</f>
        <v>59500.9372315765</v>
      </c>
      <c r="AO5" s="168">
        <f>AO24*AO13/12</f>
        <v>61895.7958300239</v>
      </c>
      <c r="AP5" s="168">
        <f>AP24*AP13/12</f>
        <v>64092.5569029985</v>
      </c>
      <c r="AQ5" s="168">
        <f>AQ24*AQ13/12</f>
        <v>66250.874657196</v>
      </c>
      <c r="AR5" s="168">
        <f>AR24*AR13/12</f>
        <v>68527.6093506951</v>
      </c>
      <c r="AS5" s="168">
        <f>AS24*AS13/12</f>
        <v>70764.501187058</v>
      </c>
      <c r="AT5" s="168">
        <f>AT24*AT13/12</f>
        <v>72962.2474162845</v>
      </c>
      <c r="AU5" s="168">
        <f>AU24*AU13/12</f>
        <v>75277.7205864995</v>
      </c>
      <c r="AV5" s="168">
        <f>AV24*AV13/12</f>
        <v>77552.6729762357</v>
      </c>
      <c r="AW5" s="168">
        <f>AW24*AW13/12</f>
        <v>79787.8136991516</v>
      </c>
      <c r="AX5" s="168">
        <f>AX24*AX13/12</f>
        <v>82140.0269594165</v>
      </c>
      <c r="AY5" s="168">
        <f>AY24*AY13/12</f>
        <v>84294.8889876267</v>
      </c>
      <c r="AZ5" s="168">
        <f>AZ24*AZ13/12</f>
        <v>86568.2284303432</v>
      </c>
      <c r="BA5" s="168">
        <f>BA24*BA13/12</f>
        <v>88801.7844328122</v>
      </c>
      <c r="BB5" s="168">
        <f>BB24*BB13/12</f>
        <v>91999.19516632</v>
      </c>
      <c r="BC5" s="168">
        <f>BC24*BC13/12</f>
        <v>94992.4572388252</v>
      </c>
      <c r="BD5" s="168">
        <f>BD24*BD13/12</f>
        <v>98097.0078802428</v>
      </c>
      <c r="BE5" s="168">
        <f>BE24*BE13/12</f>
        <v>101154.990262039</v>
      </c>
      <c r="BF5" s="168">
        <f>BF24*BF13/12</f>
        <v>104167.102908109</v>
      </c>
      <c r="BG5" s="168">
        <f>BG24*BG13/12</f>
        <v>107446.408864487</v>
      </c>
      <c r="BH5" s="168">
        <f>BH24*BH13/12</f>
        <v>110520.33773152</v>
      </c>
      <c r="BI5" s="168">
        <f>BI24*BI13/12</f>
        <v>113548.157665547</v>
      </c>
      <c r="BJ5" s="168">
        <f>BJ24*BJ13/12</f>
        <v>116686.747800564</v>
      </c>
      <c r="BK5" s="168">
        <f>BK24*BK13/12</f>
        <v>119778.259083555</v>
      </c>
      <c r="BL5" s="168">
        <f>BL24*BL13/12</f>
        <v>122823.397697302</v>
      </c>
      <c r="BM5" s="169">
        <f>BM24*BM13/12</f>
        <v>125979.046731842</v>
      </c>
      <c r="BN5" s="168">
        <f>SUM(F5:Q5)</f>
        <v>81453.5849624423</v>
      </c>
      <c r="BO5" s="168">
        <f>SUM(R5:AC5)</f>
        <v>312030.725854217</v>
      </c>
      <c r="BP5" s="168">
        <f>SUM(AD5:AO5)</f>
        <v>596438.030029976</v>
      </c>
      <c r="BQ5" s="168">
        <f>SUM(AP5:BA5)</f>
        <v>917020.925586317</v>
      </c>
      <c r="BR5" s="168">
        <f>SUM(BB5:BM5)</f>
        <v>1307193.10903035</v>
      </c>
    </row>
    <row r="6">
      <c r="C6" s="43" t="inlineStr">
        <is>
          <t>顧問先</t>
        </is>
      </c>
      <c r="D6" s="44" t="n"/>
      <c r="E6" s="44" t="n"/>
      <c r="F6" s="43">
        <f>35*F17</f>
        <v>0.0</v>
      </c>
      <c r="G6" s="43">
        <f>35*G17</f>
        <v>70.0</v>
      </c>
      <c r="H6" s="43">
        <f>35*H17</f>
        <v>385.0</v>
      </c>
      <c r="I6" s="43">
        <f>35*I17</f>
        <v>700.0</v>
      </c>
      <c r="J6" s="43">
        <f>35*J17</f>
        <v>980.0</v>
      </c>
      <c r="K6" s="43">
        <f>35*K17</f>
        <v>1330.0</v>
      </c>
      <c r="L6" s="43">
        <f>35*L17</f>
        <v>1680.0</v>
      </c>
      <c r="M6" s="43">
        <f>35*M17</f>
        <v>2030.0</v>
      </c>
      <c r="N6" s="43">
        <f>35*N17</f>
        <v>2450.0</v>
      </c>
      <c r="O6" s="43">
        <f>35*O17</f>
        <v>2835.0</v>
      </c>
      <c r="P6" s="43">
        <f>35*P17</f>
        <v>3220.0</v>
      </c>
      <c r="Q6" s="43">
        <f>35*Q17</f>
        <v>3675.0</v>
      </c>
      <c r="R6" s="43">
        <f>35*R17</f>
        <v>4095.0</v>
      </c>
      <c r="S6" s="43">
        <f>35*S17</f>
        <v>4515.0</v>
      </c>
      <c r="T6" s="43">
        <f>35*T17</f>
        <v>5005.0</v>
      </c>
      <c r="U6" s="43">
        <f>35*U17</f>
        <v>5460.0</v>
      </c>
      <c r="V6" s="43">
        <f>35*V17</f>
        <v>5915.0</v>
      </c>
      <c r="W6" s="43">
        <f>35*W17</f>
        <v>6440.0</v>
      </c>
      <c r="X6" s="43">
        <f>35*X17</f>
        <v>6930.0</v>
      </c>
      <c r="Y6" s="43">
        <f>35*Y17</f>
        <v>7420.0</v>
      </c>
      <c r="Z6" s="43">
        <f>35*Z17</f>
        <v>7980.0</v>
      </c>
      <c r="AA6" s="43">
        <f>35*AA17</f>
        <v>8505.0</v>
      </c>
      <c r="AB6" s="43">
        <f>35*AB17</f>
        <v>9030.0</v>
      </c>
      <c r="AC6" s="43">
        <f>35*AC17</f>
        <v>9590.0</v>
      </c>
      <c r="AD6" s="43">
        <f>35*AD17</f>
        <v>10220.0</v>
      </c>
      <c r="AE6" s="43">
        <f>35*AE17</f>
        <v>10815.0</v>
      </c>
      <c r="AF6" s="43">
        <f>35*AF17</f>
        <v>11480.0</v>
      </c>
      <c r="AG6" s="43">
        <f>35*AG17</f>
        <v>12110.0</v>
      </c>
      <c r="AH6" s="43">
        <f>35*AH17</f>
        <v>12775.0</v>
      </c>
      <c r="AI6" s="43">
        <f>35*AI17</f>
        <v>13440.0</v>
      </c>
      <c r="AJ6" s="43">
        <f>35*AJ17</f>
        <v>14140.0</v>
      </c>
      <c r="AK6" s="43">
        <f>35*AK17</f>
        <v>14805.0</v>
      </c>
      <c r="AL6" s="43">
        <f>35*AL17</f>
        <v>15540.0</v>
      </c>
      <c r="AM6" s="43">
        <f>35*AM17</f>
        <v>16240.0</v>
      </c>
      <c r="AN6" s="43">
        <f>35*AN17</f>
        <v>16940.0</v>
      </c>
      <c r="AO6" s="43">
        <f>35*AO17</f>
        <v>17710.0</v>
      </c>
      <c r="AP6" s="43">
        <f>35*AP17</f>
        <v>18445.0</v>
      </c>
      <c r="AQ6" s="43">
        <f>35*AQ17</f>
        <v>19180.0</v>
      </c>
      <c r="AR6" s="43">
        <f>35*AR17</f>
        <v>19950.0</v>
      </c>
      <c r="AS6" s="43">
        <f>35*AS17</f>
        <v>20720.0</v>
      </c>
      <c r="AT6" s="43">
        <f>35*AT17</f>
        <v>21490.0</v>
      </c>
      <c r="AU6" s="43">
        <f>35*AU17</f>
        <v>22295.0</v>
      </c>
      <c r="AV6" s="43">
        <f>35*AV17</f>
        <v>23100.0</v>
      </c>
      <c r="AW6" s="43">
        <f>35*AW17</f>
        <v>23905.0</v>
      </c>
      <c r="AX6" s="43">
        <f>35*AX17</f>
        <v>24745.0</v>
      </c>
      <c r="AY6" s="43">
        <f>35*AY17</f>
        <v>25550.0</v>
      </c>
      <c r="AZ6" s="43">
        <f>35*AZ17</f>
        <v>26390.0</v>
      </c>
      <c r="BA6" s="43">
        <f>35*BA17</f>
        <v>27230.0</v>
      </c>
      <c r="BB6" s="43">
        <f>35*BB17</f>
        <v>28245.0</v>
      </c>
      <c r="BC6" s="43">
        <f>35*BC17</f>
        <v>29225.0</v>
      </c>
      <c r="BD6" s="43">
        <f>35*BD17</f>
        <v>30240.0</v>
      </c>
      <c r="BE6" s="43">
        <f>35*BE17</f>
        <v>31255.0</v>
      </c>
      <c r="BF6" s="43">
        <f>35*BF17</f>
        <v>32270.0</v>
      </c>
      <c r="BG6" s="43">
        <f>35*BG17</f>
        <v>33355.0</v>
      </c>
      <c r="BH6" s="43">
        <f>35*BH17</f>
        <v>34405.0</v>
      </c>
      <c r="BI6" s="43">
        <f>35*BI17</f>
        <v>35455.0</v>
      </c>
      <c r="BJ6" s="43">
        <f>35*BJ17</f>
        <v>36540.0</v>
      </c>
      <c r="BK6" s="43">
        <f>35*BK17</f>
        <v>37625.0</v>
      </c>
      <c r="BL6" s="43">
        <f>35*BL17</f>
        <v>38710.0</v>
      </c>
      <c r="BM6" s="45">
        <f>35*BM17</f>
        <v>39830.0</v>
      </c>
      <c r="BN6" s="43">
        <f>35*BN17</f>
        <v>3675.0</v>
      </c>
      <c r="BO6" s="43">
        <f>35*BO17</f>
        <v>9590.0</v>
      </c>
      <c r="BP6" s="43">
        <f>35*BP17</f>
        <v>17710.0</v>
      </c>
      <c r="BQ6" s="43">
        <f>35*BQ17</f>
        <v>27230.0</v>
      </c>
      <c r="BR6" s="43">
        <f>35*BR17</f>
        <v>39830.0</v>
      </c>
    </row>
    <row r="7">
      <c r="C7" s="46" t="inlineStr">
        <is>
          <t>年商3,000万円以上</t>
        </is>
      </c>
      <c r="D7" s="47" t="n"/>
      <c r="E7" s="47" t="n"/>
      <c r="F7" s="170" t="n">
        <v>0.85</v>
      </c>
      <c r="G7" s="170" t="n">
        <v>0.85</v>
      </c>
      <c r="H7" s="170" t="n">
        <v>0.85</v>
      </c>
      <c r="I7" s="170" t="n">
        <v>0.85</v>
      </c>
      <c r="J7" s="170" t="n">
        <v>0.85</v>
      </c>
      <c r="K7" s="170" t="n">
        <v>0.85</v>
      </c>
      <c r="L7" s="170" t="n">
        <v>0.85</v>
      </c>
      <c r="M7" s="170" t="n">
        <v>0.85</v>
      </c>
      <c r="N7" s="170" t="n">
        <v>0.85</v>
      </c>
      <c r="O7" s="170" t="n">
        <v>0.85</v>
      </c>
      <c r="P7" s="170" t="n">
        <v>0.85</v>
      </c>
      <c r="Q7" s="170" t="n">
        <v>0.85</v>
      </c>
      <c r="R7" s="170" t="n">
        <v>0.85</v>
      </c>
      <c r="S7" s="170" t="n">
        <v>0.85</v>
      </c>
      <c r="T7" s="170" t="n">
        <v>0.85</v>
      </c>
      <c r="U7" s="170" t="n">
        <v>0.85</v>
      </c>
      <c r="V7" s="170" t="n">
        <v>0.85</v>
      </c>
      <c r="W7" s="170" t="n">
        <v>0.85</v>
      </c>
      <c r="X7" s="170" t="n">
        <v>0.85</v>
      </c>
      <c r="Y7" s="170" t="n">
        <v>0.85</v>
      </c>
      <c r="Z7" s="170" t="n">
        <v>0.85</v>
      </c>
      <c r="AA7" s="170" t="n">
        <v>0.85</v>
      </c>
      <c r="AB7" s="170" t="n">
        <v>0.85</v>
      </c>
      <c r="AC7" s="170" t="n">
        <v>0.85</v>
      </c>
      <c r="AD7" s="170" t="n">
        <v>0.85</v>
      </c>
      <c r="AE7" s="170" t="n">
        <v>0.85</v>
      </c>
      <c r="AF7" s="170" t="n">
        <v>0.85</v>
      </c>
      <c r="AG7" s="170" t="n">
        <v>0.85</v>
      </c>
      <c r="AH7" s="170" t="n">
        <v>0.85</v>
      </c>
      <c r="AI7" s="170" t="n">
        <v>0.85</v>
      </c>
      <c r="AJ7" s="170" t="n">
        <v>0.85</v>
      </c>
      <c r="AK7" s="170" t="n">
        <v>0.85</v>
      </c>
      <c r="AL7" s="170" t="n">
        <v>0.85</v>
      </c>
      <c r="AM7" s="170" t="n">
        <v>0.85</v>
      </c>
      <c r="AN7" s="170" t="n">
        <v>0.85</v>
      </c>
      <c r="AO7" s="170" t="n">
        <v>0.85</v>
      </c>
      <c r="AP7" s="170" t="n">
        <v>0.85</v>
      </c>
      <c r="AQ7" s="170" t="n">
        <v>0.85</v>
      </c>
      <c r="AR7" s="170" t="n">
        <v>0.85</v>
      </c>
      <c r="AS7" s="170" t="n">
        <v>0.85</v>
      </c>
      <c r="AT7" s="170" t="n">
        <v>0.85</v>
      </c>
      <c r="AU7" s="170" t="n">
        <v>0.85</v>
      </c>
      <c r="AV7" s="170" t="n">
        <v>0.85</v>
      </c>
      <c r="AW7" s="170" t="n">
        <v>0.85</v>
      </c>
      <c r="AX7" s="170" t="n">
        <v>0.85</v>
      </c>
      <c r="AY7" s="170" t="n">
        <v>0.85</v>
      </c>
      <c r="AZ7" s="170" t="n">
        <v>0.85</v>
      </c>
      <c r="BA7" s="170" t="n">
        <v>0.85</v>
      </c>
      <c r="BB7" s="170" t="n">
        <v>0.85</v>
      </c>
      <c r="BC7" s="170" t="n">
        <v>0.85</v>
      </c>
      <c r="BD7" s="170" t="n">
        <v>0.85</v>
      </c>
      <c r="BE7" s="170" t="n">
        <v>0.85</v>
      </c>
      <c r="BF7" s="170" t="n">
        <v>0.85</v>
      </c>
      <c r="BG7" s="170" t="n">
        <v>0.85</v>
      </c>
      <c r="BH7" s="170" t="n">
        <v>0.85</v>
      </c>
      <c r="BI7" s="170" t="n">
        <v>0.85</v>
      </c>
      <c r="BJ7" s="170" t="n">
        <v>0.85</v>
      </c>
      <c r="BK7" s="170" t="n">
        <v>0.85</v>
      </c>
      <c r="BL7" s="170" t="n">
        <v>0.85</v>
      </c>
      <c r="BM7" s="171" t="n">
        <v>0.85</v>
      </c>
      <c r="BN7" s="170" t="n">
        <v>0.85</v>
      </c>
      <c r="BO7" s="170" t="n">
        <v>0.85</v>
      </c>
      <c r="BP7" s="170" t="n">
        <v>0.85</v>
      </c>
      <c r="BQ7" s="170" t="n">
        <v>0.85</v>
      </c>
      <c r="BR7" s="170" t="n">
        <v>0.85</v>
      </c>
    </row>
    <row r="8">
      <c r="C8" s="46" t="inlineStr">
        <is>
          <t>資金繰りが逼迫</t>
        </is>
      </c>
      <c r="D8" s="50" t="inlineStr">
        <is>
          <t>ゾンビ率14.3%/赤字法人率61%</t>
        </is>
      </c>
      <c r="E8" s="50" t="n"/>
      <c r="F8" s="170" t="n">
        <v>0.25</v>
      </c>
      <c r="G8" s="170" t="n">
        <v>0.25</v>
      </c>
      <c r="H8" s="170" t="n">
        <v>0.25</v>
      </c>
      <c r="I8" s="170" t="n">
        <v>0.25</v>
      </c>
      <c r="J8" s="170" t="n">
        <v>0.25</v>
      </c>
      <c r="K8" s="170" t="n">
        <v>0.25</v>
      </c>
      <c r="L8" s="170" t="n">
        <v>0.25</v>
      </c>
      <c r="M8" s="170" t="n">
        <v>0.25</v>
      </c>
      <c r="N8" s="170" t="n">
        <v>0.25</v>
      </c>
      <c r="O8" s="170" t="n">
        <v>0.25</v>
      </c>
      <c r="P8" s="170" t="n">
        <v>0.25</v>
      </c>
      <c r="Q8" s="170" t="n">
        <v>0.25</v>
      </c>
      <c r="R8" s="170" t="n">
        <v>0.25</v>
      </c>
      <c r="S8" s="170" t="n">
        <v>0.25</v>
      </c>
      <c r="T8" s="170" t="n">
        <v>0.25</v>
      </c>
      <c r="U8" s="170" t="n">
        <v>0.25</v>
      </c>
      <c r="V8" s="170" t="n">
        <v>0.25</v>
      </c>
      <c r="W8" s="170" t="n">
        <v>0.25</v>
      </c>
      <c r="X8" s="170" t="n">
        <v>0.25</v>
      </c>
      <c r="Y8" s="170" t="n">
        <v>0.25</v>
      </c>
      <c r="Z8" s="170" t="n">
        <v>0.25</v>
      </c>
      <c r="AA8" s="170" t="n">
        <v>0.25</v>
      </c>
      <c r="AB8" s="170" t="n">
        <v>0.25</v>
      </c>
      <c r="AC8" s="170" t="n">
        <v>0.25</v>
      </c>
      <c r="AD8" s="170" t="n">
        <v>0.25</v>
      </c>
      <c r="AE8" s="170" t="n">
        <v>0.25</v>
      </c>
      <c r="AF8" s="170" t="n">
        <v>0.25</v>
      </c>
      <c r="AG8" s="170" t="n">
        <v>0.25</v>
      </c>
      <c r="AH8" s="170" t="n">
        <v>0.25</v>
      </c>
      <c r="AI8" s="170" t="n">
        <v>0.25</v>
      </c>
      <c r="AJ8" s="170" t="n">
        <v>0.25</v>
      </c>
      <c r="AK8" s="170" t="n">
        <v>0.25</v>
      </c>
      <c r="AL8" s="170" t="n">
        <v>0.25</v>
      </c>
      <c r="AM8" s="170" t="n">
        <v>0.25</v>
      </c>
      <c r="AN8" s="170" t="n">
        <v>0.25</v>
      </c>
      <c r="AO8" s="170" t="n">
        <v>0.25</v>
      </c>
      <c r="AP8" s="170" t="n">
        <v>0.25</v>
      </c>
      <c r="AQ8" s="170" t="n">
        <v>0.25</v>
      </c>
      <c r="AR8" s="170" t="n">
        <v>0.25</v>
      </c>
      <c r="AS8" s="170" t="n">
        <v>0.25</v>
      </c>
      <c r="AT8" s="170" t="n">
        <v>0.25</v>
      </c>
      <c r="AU8" s="170" t="n">
        <v>0.25</v>
      </c>
      <c r="AV8" s="170" t="n">
        <v>0.25</v>
      </c>
      <c r="AW8" s="170" t="n">
        <v>0.25</v>
      </c>
      <c r="AX8" s="170" t="n">
        <v>0.25</v>
      </c>
      <c r="AY8" s="170" t="n">
        <v>0.25</v>
      </c>
      <c r="AZ8" s="170" t="n">
        <v>0.25</v>
      </c>
      <c r="BA8" s="170" t="n">
        <v>0.25</v>
      </c>
      <c r="BB8" s="170" t="n">
        <v>0.25</v>
      </c>
      <c r="BC8" s="170" t="n">
        <v>0.25</v>
      </c>
      <c r="BD8" s="170" t="n">
        <v>0.25</v>
      </c>
      <c r="BE8" s="170" t="n">
        <v>0.25</v>
      </c>
      <c r="BF8" s="170" t="n">
        <v>0.25</v>
      </c>
      <c r="BG8" s="170" t="n">
        <v>0.25</v>
      </c>
      <c r="BH8" s="170" t="n">
        <v>0.25</v>
      </c>
      <c r="BI8" s="170" t="n">
        <v>0.25</v>
      </c>
      <c r="BJ8" s="170" t="n">
        <v>0.25</v>
      </c>
      <c r="BK8" s="170" t="n">
        <v>0.25</v>
      </c>
      <c r="BL8" s="170" t="n">
        <v>0.25</v>
      </c>
      <c r="BM8" s="171" t="n">
        <v>0.25</v>
      </c>
      <c r="BN8" s="170" t="n">
        <v>0.25</v>
      </c>
      <c r="BO8" s="170" t="n">
        <v>0.25</v>
      </c>
      <c r="BP8" s="170" t="n">
        <v>0.25</v>
      </c>
      <c r="BQ8" s="170" t="n">
        <v>0.25</v>
      </c>
      <c r="BR8" s="170" t="n">
        <v>0.25</v>
      </c>
    </row>
    <row r="9">
      <c r="C9" s="46" t="inlineStr">
        <is>
          <t>カード与信を通過</t>
        </is>
      </c>
      <c r="D9" s="47" t="n"/>
      <c r="E9" s="47" t="n"/>
      <c r="F9" s="170" t="n">
        <v>0.7</v>
      </c>
      <c r="G9" s="170" t="n">
        <v>0.7</v>
      </c>
      <c r="H9" s="170" t="n">
        <v>0.7</v>
      </c>
      <c r="I9" s="170" t="n">
        <v>0.7</v>
      </c>
      <c r="J9" s="170" t="n">
        <v>0.7</v>
      </c>
      <c r="K9" s="170" t="n">
        <v>0.7</v>
      </c>
      <c r="L9" s="170" t="n">
        <v>0.7</v>
      </c>
      <c r="M9" s="170" t="n">
        <v>0.7</v>
      </c>
      <c r="N9" s="170" t="n">
        <v>0.7</v>
      </c>
      <c r="O9" s="170" t="n">
        <v>0.7</v>
      </c>
      <c r="P9" s="170" t="n">
        <v>0.7</v>
      </c>
      <c r="Q9" s="170" t="n">
        <v>0.7</v>
      </c>
      <c r="R9" s="170" t="n">
        <v>0.7</v>
      </c>
      <c r="S9" s="170" t="n">
        <v>0.7</v>
      </c>
      <c r="T9" s="170" t="n">
        <v>0.7</v>
      </c>
      <c r="U9" s="170" t="n">
        <v>0.7</v>
      </c>
      <c r="V9" s="170" t="n">
        <v>0.7</v>
      </c>
      <c r="W9" s="170" t="n">
        <v>0.7</v>
      </c>
      <c r="X9" s="170" t="n">
        <v>0.7</v>
      </c>
      <c r="Y9" s="170" t="n">
        <v>0.7</v>
      </c>
      <c r="Z9" s="170" t="n">
        <v>0.7</v>
      </c>
      <c r="AA9" s="170" t="n">
        <v>0.7</v>
      </c>
      <c r="AB9" s="170" t="n">
        <v>0.7</v>
      </c>
      <c r="AC9" s="170" t="n">
        <v>0.7</v>
      </c>
      <c r="AD9" s="170" t="n">
        <v>0.7</v>
      </c>
      <c r="AE9" s="170" t="n">
        <v>0.7</v>
      </c>
      <c r="AF9" s="170" t="n">
        <v>0.7</v>
      </c>
      <c r="AG9" s="170" t="n">
        <v>0.7</v>
      </c>
      <c r="AH9" s="170" t="n">
        <v>0.7</v>
      </c>
      <c r="AI9" s="170" t="n">
        <v>0.7</v>
      </c>
      <c r="AJ9" s="170" t="n">
        <v>0.7</v>
      </c>
      <c r="AK9" s="170" t="n">
        <v>0.7</v>
      </c>
      <c r="AL9" s="170" t="n">
        <v>0.7</v>
      </c>
      <c r="AM9" s="170" t="n">
        <v>0.7</v>
      </c>
      <c r="AN9" s="170" t="n">
        <v>0.7</v>
      </c>
      <c r="AO9" s="170" t="n">
        <v>0.7</v>
      </c>
      <c r="AP9" s="170" t="n">
        <v>0.7</v>
      </c>
      <c r="AQ9" s="170" t="n">
        <v>0.7</v>
      </c>
      <c r="AR9" s="170" t="n">
        <v>0.7</v>
      </c>
      <c r="AS9" s="170" t="n">
        <v>0.7</v>
      </c>
      <c r="AT9" s="170" t="n">
        <v>0.7</v>
      </c>
      <c r="AU9" s="170" t="n">
        <v>0.7</v>
      </c>
      <c r="AV9" s="170" t="n">
        <v>0.7</v>
      </c>
      <c r="AW9" s="170" t="n">
        <v>0.7</v>
      </c>
      <c r="AX9" s="170" t="n">
        <v>0.7</v>
      </c>
      <c r="AY9" s="170" t="n">
        <v>0.7</v>
      </c>
      <c r="AZ9" s="170" t="n">
        <v>0.7</v>
      </c>
      <c r="BA9" s="170" t="n">
        <v>0.7</v>
      </c>
      <c r="BB9" s="170" t="n">
        <v>0.7</v>
      </c>
      <c r="BC9" s="170" t="n">
        <v>0.7</v>
      </c>
      <c r="BD9" s="170" t="n">
        <v>0.7</v>
      </c>
      <c r="BE9" s="170" t="n">
        <v>0.7</v>
      </c>
      <c r="BF9" s="170" t="n">
        <v>0.7</v>
      </c>
      <c r="BG9" s="170" t="n">
        <v>0.7</v>
      </c>
      <c r="BH9" s="170" t="n">
        <v>0.7</v>
      </c>
      <c r="BI9" s="170" t="n">
        <v>0.7</v>
      </c>
      <c r="BJ9" s="170" t="n">
        <v>0.7</v>
      </c>
      <c r="BK9" s="170" t="n">
        <v>0.7</v>
      </c>
      <c r="BL9" s="170" t="n">
        <v>0.7</v>
      </c>
      <c r="BM9" s="171" t="n">
        <v>0.7</v>
      </c>
      <c r="BN9" s="170" t="n">
        <v>0.7</v>
      </c>
      <c r="BO9" s="170" t="n">
        <v>0.7</v>
      </c>
      <c r="BP9" s="170" t="n">
        <v>0.7</v>
      </c>
      <c r="BQ9" s="170" t="n">
        <v>0.7</v>
      </c>
      <c r="BR9" s="170" t="n">
        <v>0.7</v>
      </c>
    </row>
    <row r="10">
      <c r="C10" s="46" t="inlineStr">
        <is>
          <t>税理士 ➡ 企業提案</t>
        </is>
      </c>
      <c r="D10" s="47" t="n"/>
      <c r="E10" s="47" t="n"/>
      <c r="F10" s="170" t="n">
        <v>0.4</v>
      </c>
      <c r="G10" s="170" t="n">
        <v>0.4</v>
      </c>
      <c r="H10" s="170" t="n">
        <v>0.4</v>
      </c>
      <c r="I10" s="170" t="n">
        <v>0.4</v>
      </c>
      <c r="J10" s="170" t="n">
        <v>0.4</v>
      </c>
      <c r="K10" s="170" t="n">
        <v>0.4</v>
      </c>
      <c r="L10" s="170" t="n">
        <v>0.4</v>
      </c>
      <c r="M10" s="170" t="n">
        <v>0.4</v>
      </c>
      <c r="N10" s="170" t="n">
        <v>0.4</v>
      </c>
      <c r="O10" s="170" t="n">
        <v>0.4</v>
      </c>
      <c r="P10" s="170" t="n">
        <v>0.4</v>
      </c>
      <c r="Q10" s="170" t="n">
        <v>0.4</v>
      </c>
      <c r="R10" s="170" t="n">
        <v>0.4</v>
      </c>
      <c r="S10" s="170" t="n">
        <v>0.4</v>
      </c>
      <c r="T10" s="170" t="n">
        <v>0.4</v>
      </c>
      <c r="U10" s="170" t="n">
        <v>0.4</v>
      </c>
      <c r="V10" s="170" t="n">
        <v>0.4</v>
      </c>
      <c r="W10" s="170" t="n">
        <v>0.4</v>
      </c>
      <c r="X10" s="170" t="n">
        <v>0.4</v>
      </c>
      <c r="Y10" s="170" t="n">
        <v>0.4</v>
      </c>
      <c r="Z10" s="170" t="n">
        <v>0.4</v>
      </c>
      <c r="AA10" s="170" t="n">
        <v>0.4</v>
      </c>
      <c r="AB10" s="170" t="n">
        <v>0.4</v>
      </c>
      <c r="AC10" s="170" t="n">
        <v>0.4</v>
      </c>
      <c r="AD10" s="170" t="n">
        <v>0.4</v>
      </c>
      <c r="AE10" s="170" t="n">
        <v>0.4</v>
      </c>
      <c r="AF10" s="170" t="n">
        <v>0.4</v>
      </c>
      <c r="AG10" s="170" t="n">
        <v>0.4</v>
      </c>
      <c r="AH10" s="170" t="n">
        <v>0.4</v>
      </c>
      <c r="AI10" s="170" t="n">
        <v>0.4</v>
      </c>
      <c r="AJ10" s="170" t="n">
        <v>0.4</v>
      </c>
      <c r="AK10" s="170" t="n">
        <v>0.4</v>
      </c>
      <c r="AL10" s="170" t="n">
        <v>0.4</v>
      </c>
      <c r="AM10" s="170" t="n">
        <v>0.4</v>
      </c>
      <c r="AN10" s="170" t="n">
        <v>0.4</v>
      </c>
      <c r="AO10" s="170" t="n">
        <v>0.4</v>
      </c>
      <c r="AP10" s="170" t="n">
        <v>0.4</v>
      </c>
      <c r="AQ10" s="170" t="n">
        <v>0.4</v>
      </c>
      <c r="AR10" s="170" t="n">
        <v>0.4</v>
      </c>
      <c r="AS10" s="170" t="n">
        <v>0.4</v>
      </c>
      <c r="AT10" s="170" t="n">
        <v>0.4</v>
      </c>
      <c r="AU10" s="170" t="n">
        <v>0.4</v>
      </c>
      <c r="AV10" s="170" t="n">
        <v>0.4</v>
      </c>
      <c r="AW10" s="170" t="n">
        <v>0.4</v>
      </c>
      <c r="AX10" s="170" t="n">
        <v>0.4</v>
      </c>
      <c r="AY10" s="170" t="n">
        <v>0.4</v>
      </c>
      <c r="AZ10" s="170" t="n">
        <v>0.4</v>
      </c>
      <c r="BA10" s="170" t="n">
        <v>0.4</v>
      </c>
      <c r="BB10" s="170" t="n">
        <v>0.4</v>
      </c>
      <c r="BC10" s="170" t="n">
        <v>0.4</v>
      </c>
      <c r="BD10" s="170" t="n">
        <v>0.4</v>
      </c>
      <c r="BE10" s="170" t="n">
        <v>0.4</v>
      </c>
      <c r="BF10" s="170" t="n">
        <v>0.4</v>
      </c>
      <c r="BG10" s="170" t="n">
        <v>0.4</v>
      </c>
      <c r="BH10" s="170" t="n">
        <v>0.4</v>
      </c>
      <c r="BI10" s="170" t="n">
        <v>0.4</v>
      </c>
      <c r="BJ10" s="170" t="n">
        <v>0.4</v>
      </c>
      <c r="BK10" s="170" t="n">
        <v>0.4</v>
      </c>
      <c r="BL10" s="170" t="n">
        <v>0.4</v>
      </c>
      <c r="BM10" s="171" t="n">
        <v>0.4</v>
      </c>
      <c r="BN10" s="170" t="n">
        <v>0.4</v>
      </c>
      <c r="BO10" s="170" t="n">
        <v>0.4</v>
      </c>
      <c r="BP10" s="170" t="n">
        <v>0.4</v>
      </c>
      <c r="BQ10" s="170" t="n">
        <v>0.4</v>
      </c>
      <c r="BR10" s="170" t="n">
        <v>0.4</v>
      </c>
    </row>
    <row r="11">
      <c r="C11" s="51" t="inlineStr">
        <is>
          <t>受注率</t>
        </is>
      </c>
      <c r="D11" s="44" t="n"/>
      <c r="E11" s="44" t="n"/>
      <c r="F11" s="172" t="n">
        <v>0.6</v>
      </c>
      <c r="G11" s="172" t="n">
        <v>0.6</v>
      </c>
      <c r="H11" s="172" t="n">
        <v>0.6</v>
      </c>
      <c r="I11" s="172" t="n">
        <v>0.6</v>
      </c>
      <c r="J11" s="172" t="n">
        <v>0.6</v>
      </c>
      <c r="K11" s="172" t="n">
        <v>0.6</v>
      </c>
      <c r="L11" s="172" t="n">
        <v>0.6</v>
      </c>
      <c r="M11" s="172" t="n">
        <v>0.6</v>
      </c>
      <c r="N11" s="172" t="n">
        <v>0.6</v>
      </c>
      <c r="O11" s="172" t="n">
        <v>0.6</v>
      </c>
      <c r="P11" s="172" t="n">
        <v>0.6</v>
      </c>
      <c r="Q11" s="172" t="n">
        <v>0.6</v>
      </c>
      <c r="R11" s="172" t="n">
        <v>0.6</v>
      </c>
      <c r="S11" s="172" t="n">
        <v>0.6</v>
      </c>
      <c r="T11" s="172" t="n">
        <v>0.6</v>
      </c>
      <c r="U11" s="172" t="n">
        <v>0.6</v>
      </c>
      <c r="V11" s="172" t="n">
        <v>0.6</v>
      </c>
      <c r="W11" s="172" t="n">
        <v>0.6</v>
      </c>
      <c r="X11" s="172" t="n">
        <v>0.6</v>
      </c>
      <c r="Y11" s="172" t="n">
        <v>0.6</v>
      </c>
      <c r="Z11" s="172" t="n">
        <v>0.6</v>
      </c>
      <c r="AA11" s="172" t="n">
        <v>0.6</v>
      </c>
      <c r="AB11" s="172" t="n">
        <v>0.6</v>
      </c>
      <c r="AC11" s="172" t="n">
        <v>0.6</v>
      </c>
      <c r="AD11" s="172" t="n">
        <v>0.6</v>
      </c>
      <c r="AE11" s="172" t="n">
        <v>0.6</v>
      </c>
      <c r="AF11" s="172" t="n">
        <v>0.6</v>
      </c>
      <c r="AG11" s="172" t="n">
        <v>0.6</v>
      </c>
      <c r="AH11" s="172" t="n">
        <v>0.6</v>
      </c>
      <c r="AI11" s="172" t="n">
        <v>0.6</v>
      </c>
      <c r="AJ11" s="172" t="n">
        <v>0.6</v>
      </c>
      <c r="AK11" s="172" t="n">
        <v>0.6</v>
      </c>
      <c r="AL11" s="172" t="n">
        <v>0.6</v>
      </c>
      <c r="AM11" s="172" t="n">
        <v>0.6</v>
      </c>
      <c r="AN11" s="172" t="n">
        <v>0.6</v>
      </c>
      <c r="AO11" s="172" t="n">
        <v>0.6</v>
      </c>
      <c r="AP11" s="172" t="n">
        <v>0.6</v>
      </c>
      <c r="AQ11" s="172" t="n">
        <v>0.6</v>
      </c>
      <c r="AR11" s="172" t="n">
        <v>0.6</v>
      </c>
      <c r="AS11" s="172" t="n">
        <v>0.6</v>
      </c>
      <c r="AT11" s="172" t="n">
        <v>0.6</v>
      </c>
      <c r="AU11" s="172" t="n">
        <v>0.6</v>
      </c>
      <c r="AV11" s="172" t="n">
        <v>0.6</v>
      </c>
      <c r="AW11" s="172" t="n">
        <v>0.6</v>
      </c>
      <c r="AX11" s="172" t="n">
        <v>0.6</v>
      </c>
      <c r="AY11" s="172" t="n">
        <v>0.6</v>
      </c>
      <c r="AZ11" s="172" t="n">
        <v>0.6</v>
      </c>
      <c r="BA11" s="172" t="n">
        <v>0.6</v>
      </c>
      <c r="BB11" s="172" t="n">
        <v>0.6</v>
      </c>
      <c r="BC11" s="172" t="n">
        <v>0.6</v>
      </c>
      <c r="BD11" s="172" t="n">
        <v>0.6</v>
      </c>
      <c r="BE11" s="172" t="n">
        <v>0.6</v>
      </c>
      <c r="BF11" s="172" t="n">
        <v>0.6</v>
      </c>
      <c r="BG11" s="172" t="n">
        <v>0.6</v>
      </c>
      <c r="BH11" s="172" t="n">
        <v>0.6</v>
      </c>
      <c r="BI11" s="172" t="n">
        <v>0.6</v>
      </c>
      <c r="BJ11" s="172" t="n">
        <v>0.6</v>
      </c>
      <c r="BK11" s="172" t="n">
        <v>0.6</v>
      </c>
      <c r="BL11" s="172" t="n">
        <v>0.6</v>
      </c>
      <c r="BM11" s="173" t="n">
        <v>0.6</v>
      </c>
      <c r="BN11" s="172" t="n">
        <v>0.6</v>
      </c>
      <c r="BO11" s="172" t="n">
        <v>0.6</v>
      </c>
      <c r="BP11" s="172" t="n">
        <v>0.6</v>
      </c>
      <c r="BQ11" s="172" t="n">
        <v>0.6</v>
      </c>
      <c r="BR11" s="172" t="n">
        <v>0.6</v>
      </c>
    </row>
    <row r="12" s="159">
      <c r="C12" s="46" t="inlineStr">
        <is>
          <t>１税理士 / 受注数（累計獲得数・解約前）</t>
        </is>
      </c>
      <c r="D12" s="47" t="n"/>
      <c r="E12" s="47" t="n"/>
      <c r="F12" s="174">
        <f>PRODUCT(F6:F11)</f>
        <v>0.0</v>
      </c>
      <c r="G12" s="174">
        <f>PRODUCT(G6:G11)</f>
        <v>2.499</v>
      </c>
      <c r="H12" s="174">
        <f>PRODUCT(H6:H11)</f>
        <v>13.7445</v>
      </c>
      <c r="I12" s="174">
        <f>PRODUCT(I6:I11)</f>
        <v>24.99</v>
      </c>
      <c r="J12" s="174">
        <f>PRODUCT(J6:J11)</f>
        <v>34.986</v>
      </c>
      <c r="K12" s="174">
        <f>PRODUCT(K6:K11)</f>
        <v>47.481</v>
      </c>
      <c r="L12" s="174">
        <f>PRODUCT(L6:L11)</f>
        <v>59.976</v>
      </c>
      <c r="M12" s="174">
        <f>PRODUCT(M6:M11)</f>
        <v>72.471</v>
      </c>
      <c r="N12" s="174">
        <f>PRODUCT(N6:N11)</f>
        <v>87.465</v>
      </c>
      <c r="O12" s="174">
        <f>PRODUCT(O6:O11)</f>
        <v>101.2095</v>
      </c>
      <c r="P12" s="174">
        <f>PRODUCT(P6:P11)</f>
        <v>114.954</v>
      </c>
      <c r="Q12" s="174">
        <f>PRODUCT(Q6:Q11)</f>
        <v>131.1975</v>
      </c>
      <c r="R12" s="174">
        <f>PRODUCT(R6:R11)</f>
        <v>146.1915</v>
      </c>
      <c r="S12" s="174">
        <f>PRODUCT(S6:S11)</f>
        <v>161.1855</v>
      </c>
      <c r="T12" s="174">
        <f>PRODUCT(T6:T11)</f>
        <v>178.6785</v>
      </c>
      <c r="U12" s="174">
        <f>PRODUCT(U6:U11)</f>
        <v>194.922</v>
      </c>
      <c r="V12" s="174">
        <f>PRODUCT(V6:V11)</f>
        <v>211.1655</v>
      </c>
      <c r="W12" s="174">
        <f>PRODUCT(W6:W11)</f>
        <v>229.908</v>
      </c>
      <c r="X12" s="174">
        <f>PRODUCT(X6:X11)</f>
        <v>247.401</v>
      </c>
      <c r="Y12" s="174">
        <f>PRODUCT(Y6:Y11)</f>
        <v>264.894</v>
      </c>
      <c r="Z12" s="174">
        <f>PRODUCT(Z6:Z11)</f>
        <v>284.886</v>
      </c>
      <c r="AA12" s="174">
        <f>PRODUCT(AA6:AA11)</f>
        <v>303.6285</v>
      </c>
      <c r="AB12" s="174">
        <f>PRODUCT(AB6:AB11)</f>
        <v>322.371</v>
      </c>
      <c r="AC12" s="174">
        <f>PRODUCT(AC6:AC11)</f>
        <v>342.363</v>
      </c>
      <c r="AD12" s="174">
        <f>PRODUCT(AD6:AD11)</f>
        <v>364.854</v>
      </c>
      <c r="AE12" s="174">
        <f>PRODUCT(AE6:AE11)</f>
        <v>386.0955</v>
      </c>
      <c r="AF12" s="174">
        <f>PRODUCT(AF6:AF11)</f>
        <v>409.836</v>
      </c>
      <c r="AG12" s="174">
        <f>PRODUCT(AG6:AG11)</f>
        <v>432.327</v>
      </c>
      <c r="AH12" s="174">
        <f>PRODUCT(AH6:AH11)</f>
        <v>456.0675</v>
      </c>
      <c r="AI12" s="174">
        <f>PRODUCT(AI6:AI11)</f>
        <v>479.808</v>
      </c>
      <c r="AJ12" s="174">
        <f>PRODUCT(AJ6:AJ11)</f>
        <v>504.798</v>
      </c>
      <c r="AK12" s="174">
        <f>PRODUCT(AK6:AK11)</f>
        <v>528.5385</v>
      </c>
      <c r="AL12" s="174">
        <f>PRODUCT(AL6:AL11)</f>
        <v>554.778</v>
      </c>
      <c r="AM12" s="174">
        <f>PRODUCT(AM6:AM11)</f>
        <v>579.768</v>
      </c>
      <c r="AN12" s="174">
        <f>PRODUCT(AN6:AN11)</f>
        <v>604.758</v>
      </c>
      <c r="AO12" s="174">
        <f>PRODUCT(AO6:AO11)</f>
        <v>632.247</v>
      </c>
      <c r="AP12" s="174">
        <f>PRODUCT(AP6:AP11)</f>
        <v>658.4865</v>
      </c>
      <c r="AQ12" s="174">
        <f>PRODUCT(AQ6:AQ11)</f>
        <v>684.726</v>
      </c>
      <c r="AR12" s="174">
        <f>PRODUCT(AR6:AR11)</f>
        <v>712.215</v>
      </c>
      <c r="AS12" s="174">
        <f>PRODUCT(AS6:AS11)</f>
        <v>739.704</v>
      </c>
      <c r="AT12" s="174">
        <f>PRODUCT(AT6:AT11)</f>
        <v>767.193</v>
      </c>
      <c r="AU12" s="174">
        <f>PRODUCT(AU6:AU11)</f>
        <v>795.9315</v>
      </c>
      <c r="AV12" s="174">
        <f>PRODUCT(AV6:AV11)</f>
        <v>824.67</v>
      </c>
      <c r="AW12" s="174">
        <f>PRODUCT(AW6:AW11)</f>
        <v>853.4085</v>
      </c>
      <c r="AX12" s="174">
        <f>PRODUCT(AX6:AX11)</f>
        <v>883.3965</v>
      </c>
      <c r="AY12" s="174">
        <f>PRODUCT(AY6:AY11)</f>
        <v>912.135</v>
      </c>
      <c r="AZ12" s="174">
        <f>PRODUCT(AZ6:AZ11)</f>
        <v>942.123</v>
      </c>
      <c r="BA12" s="174">
        <f>PRODUCT(BA6:BA11)</f>
        <v>972.111</v>
      </c>
      <c r="BB12" s="174">
        <f>PRODUCT(BB6:BB11)</f>
        <v>1008.3465</v>
      </c>
      <c r="BC12" s="174">
        <f>PRODUCT(BC6:BC11)</f>
        <v>1043.3325</v>
      </c>
      <c r="BD12" s="174">
        <f>PRODUCT(BD6:BD11)</f>
        <v>1079.568</v>
      </c>
      <c r="BE12" s="174">
        <f>PRODUCT(BE6:BE11)</f>
        <v>1115.8035</v>
      </c>
      <c r="BF12" s="174">
        <f>PRODUCT(BF6:BF11)</f>
        <v>1152.039</v>
      </c>
      <c r="BG12" s="174">
        <f>PRODUCT(BG6:BG11)</f>
        <v>1190.7735</v>
      </c>
      <c r="BH12" s="174">
        <f>PRODUCT(BH6:BH11)</f>
        <v>1228.2585</v>
      </c>
      <c r="BI12" s="174">
        <f>PRODUCT(BI6:BI11)</f>
        <v>1265.7435</v>
      </c>
      <c r="BJ12" s="174">
        <f>PRODUCT(BJ6:BJ11)</f>
        <v>1304.478</v>
      </c>
      <c r="BK12" s="174">
        <f>PRODUCT(BK6:BK11)</f>
        <v>1343.2125</v>
      </c>
      <c r="BL12" s="174">
        <f>PRODUCT(BL6:BL11)</f>
        <v>1381.947</v>
      </c>
      <c r="BM12" s="174">
        <f>PRODUCT(BM6:BM11)</f>
        <v>1421.931</v>
      </c>
      <c r="BN12" s="175">
        <f>PRODUCT(BN6:BN11)</f>
        <v>131.1975</v>
      </c>
      <c r="BO12" s="174">
        <f>PRODUCT(BO6:BO11)</f>
        <v>342.363</v>
      </c>
      <c r="BP12" s="174">
        <f>PRODUCT(BP6:BP11)</f>
        <v>632.247</v>
      </c>
      <c r="BQ12" s="174">
        <f>PRODUCT(BQ6:BQ11)</f>
        <v>972.111</v>
      </c>
      <c r="BR12" s="174">
        <f>PRODUCT(BR6:BR11)</f>
        <v>1421.931</v>
      </c>
    </row>
    <row r="13">
      <c r="C13" s="55" t="inlineStr">
        <is>
          <t>単価</t>
        </is>
      </c>
      <c r="D13" s="47" t="n"/>
      <c r="E13" s="47" t="n"/>
      <c r="F13" s="176">
        <f>F14*F15</f>
        <v>1500.0</v>
      </c>
      <c r="G13" s="176">
        <f>G14*G15</f>
        <v>1500.0</v>
      </c>
      <c r="H13" s="176">
        <f>H14*H15</f>
        <v>1500.0</v>
      </c>
      <c r="I13" s="176">
        <f>I14*I15</f>
        <v>1500.0</v>
      </c>
      <c r="J13" s="176">
        <f>J14*J15</f>
        <v>1500.0</v>
      </c>
      <c r="K13" s="176">
        <f>K14*K15</f>
        <v>1500.0</v>
      </c>
      <c r="L13" s="176">
        <f>L14*L15</f>
        <v>1500.0</v>
      </c>
      <c r="M13" s="176">
        <f>M14*M15</f>
        <v>1500.0</v>
      </c>
      <c r="N13" s="176">
        <f>N14*N15</f>
        <v>1500.0</v>
      </c>
      <c r="O13" s="176">
        <f>O14*O15</f>
        <v>1500.0</v>
      </c>
      <c r="P13" s="176">
        <f>P14*P15</f>
        <v>1500.0</v>
      </c>
      <c r="Q13" s="176">
        <f>Q14*Q15</f>
        <v>1500.0</v>
      </c>
      <c r="R13" s="176">
        <f>R14*R15</f>
        <v>1500.0</v>
      </c>
      <c r="S13" s="176">
        <f>S14*S15</f>
        <v>1500.0</v>
      </c>
      <c r="T13" s="176">
        <f>T14*T15</f>
        <v>1500.0</v>
      </c>
      <c r="U13" s="176">
        <f>U14*U15</f>
        <v>1500.0</v>
      </c>
      <c r="V13" s="176">
        <f>V14*V15</f>
        <v>1500.0</v>
      </c>
      <c r="W13" s="176">
        <f>W14*W15</f>
        <v>1500.0</v>
      </c>
      <c r="X13" s="176">
        <f>X14*X15</f>
        <v>1500.0</v>
      </c>
      <c r="Y13" s="176">
        <f>Y14*Y15</f>
        <v>1500.0</v>
      </c>
      <c r="Z13" s="176">
        <f>Z14*Z15</f>
        <v>1500.0</v>
      </c>
      <c r="AA13" s="176">
        <f>AA14*AA15</f>
        <v>1500.0</v>
      </c>
      <c r="AB13" s="176">
        <f>AB14*AB15</f>
        <v>1500.0</v>
      </c>
      <c r="AC13" s="176">
        <f>AC14*AC15</f>
        <v>1500.0</v>
      </c>
      <c r="AD13" s="176">
        <f>AD14*AD15</f>
        <v>1500.0</v>
      </c>
      <c r="AE13" s="176">
        <f>AE14*AE15</f>
        <v>1500.0</v>
      </c>
      <c r="AF13" s="176">
        <f>AF14*AF15</f>
        <v>1500.0</v>
      </c>
      <c r="AG13" s="176">
        <f>AG14*AG15</f>
        <v>1500.0</v>
      </c>
      <c r="AH13" s="176">
        <f>AH14*AH15</f>
        <v>1500.0</v>
      </c>
      <c r="AI13" s="176">
        <f>AI14*AI15</f>
        <v>1500.0</v>
      </c>
      <c r="AJ13" s="176">
        <f>AJ14*AJ15</f>
        <v>1500.0</v>
      </c>
      <c r="AK13" s="176">
        <f>AK14*AK15</f>
        <v>1500.0</v>
      </c>
      <c r="AL13" s="176">
        <f>AL14*AL15</f>
        <v>1500.0</v>
      </c>
      <c r="AM13" s="176">
        <f>AM14*AM15</f>
        <v>1500.0</v>
      </c>
      <c r="AN13" s="176">
        <f>AN14*AN15</f>
        <v>1500.0</v>
      </c>
      <c r="AO13" s="176">
        <f>AO14*AO15</f>
        <v>1500.0</v>
      </c>
      <c r="AP13" s="176">
        <f>AP14*AP15</f>
        <v>1500.0</v>
      </c>
      <c r="AQ13" s="176">
        <f>AQ14*AQ15</f>
        <v>1500.0</v>
      </c>
      <c r="AR13" s="176">
        <f>AR14*AR15</f>
        <v>1500.0</v>
      </c>
      <c r="AS13" s="176">
        <f>AS14*AS15</f>
        <v>1500.0</v>
      </c>
      <c r="AT13" s="176">
        <f>AT14*AT15</f>
        <v>1500.0</v>
      </c>
      <c r="AU13" s="176">
        <f>AU14*AU15</f>
        <v>1500.0</v>
      </c>
      <c r="AV13" s="176">
        <f>AV14*AV15</f>
        <v>1500.0</v>
      </c>
      <c r="AW13" s="176">
        <f>AW14*AW15</f>
        <v>1500.0</v>
      </c>
      <c r="AX13" s="176">
        <f>AX14*AX15</f>
        <v>1500.0</v>
      </c>
      <c r="AY13" s="176">
        <f>AY14*AY15</f>
        <v>1500.0</v>
      </c>
      <c r="AZ13" s="176">
        <f>AZ14*AZ15</f>
        <v>1500.0</v>
      </c>
      <c r="BA13" s="176">
        <f>BA14*BA15</f>
        <v>1500.0</v>
      </c>
      <c r="BB13" s="176">
        <f>BB14*BB15</f>
        <v>1500.0</v>
      </c>
      <c r="BC13" s="176">
        <f>BC14*BC15</f>
        <v>1500.0</v>
      </c>
      <c r="BD13" s="176">
        <f>BD14*BD15</f>
        <v>1500.0</v>
      </c>
      <c r="BE13" s="176">
        <f>BE14*BE15</f>
        <v>1500.0</v>
      </c>
      <c r="BF13" s="176">
        <f>BF14*BF15</f>
        <v>1500.0</v>
      </c>
      <c r="BG13" s="176">
        <f>BG14*BG15</f>
        <v>1500.0</v>
      </c>
      <c r="BH13" s="176">
        <f>BH14*BH15</f>
        <v>1500.0</v>
      </c>
      <c r="BI13" s="176">
        <f>BI14*BI15</f>
        <v>1500.0</v>
      </c>
      <c r="BJ13" s="176">
        <f>BJ14*BJ15</f>
        <v>1500.0</v>
      </c>
      <c r="BK13" s="176">
        <f>BK14*BK15</f>
        <v>1500.0</v>
      </c>
      <c r="BL13" s="176">
        <f>BL14*BL15</f>
        <v>1500.0</v>
      </c>
      <c r="BM13" s="177">
        <f>BM14*BM15</f>
        <v>1500.0</v>
      </c>
      <c r="BN13" s="176">
        <f>BN14*BN15</f>
        <v>1500.0</v>
      </c>
      <c r="BO13" s="176">
        <f>BO14*BO15</f>
        <v>1500.0</v>
      </c>
      <c r="BP13" s="176">
        <f>BP14*BP15</f>
        <v>1500.0</v>
      </c>
      <c r="BQ13" s="176">
        <f>BQ14*BQ15</f>
        <v>1500.0</v>
      </c>
      <c r="BR13" s="176">
        <f>BR14*BR15</f>
        <v>1500.0</v>
      </c>
    </row>
    <row r="14">
      <c r="C14" s="55" t="inlineStr">
        <is>
          <t>企業の年間販管費（人件費抜き）</t>
        </is>
      </c>
      <c r="D14" s="58" t="inlineStr">
        <is>
          <t>https://www.e-stat.go.jp/stat-search/files?tclass=000001230645&amp;cycle=7&amp;year=20240</t>
        </is>
      </c>
      <c r="E14" s="47" t="n"/>
      <c r="F14" s="56" t="n">
        <v>3000000</v>
      </c>
      <c r="G14" s="56" t="n">
        <v>3000000</v>
      </c>
      <c r="H14" s="56" t="n">
        <v>3000000</v>
      </c>
      <c r="I14" s="56" t="n">
        <v>3000000</v>
      </c>
      <c r="J14" s="56" t="n">
        <v>3000000</v>
      </c>
      <c r="K14" s="56" t="n">
        <v>3000000</v>
      </c>
      <c r="L14" s="56" t="n">
        <v>3000000</v>
      </c>
      <c r="M14" s="56" t="n">
        <v>3000000</v>
      </c>
      <c r="N14" s="56" t="n">
        <v>3000000</v>
      </c>
      <c r="O14" s="56" t="n">
        <v>3000000</v>
      </c>
      <c r="P14" s="56" t="n">
        <v>3000000</v>
      </c>
      <c r="Q14" s="56" t="n">
        <v>3000000</v>
      </c>
      <c r="R14" s="56" t="n">
        <v>3000000</v>
      </c>
      <c r="S14" s="56" t="n">
        <v>3000000</v>
      </c>
      <c r="T14" s="56" t="n">
        <v>3000000</v>
      </c>
      <c r="U14" s="56" t="n">
        <v>3000000</v>
      </c>
      <c r="V14" s="56" t="n">
        <v>3000000</v>
      </c>
      <c r="W14" s="56" t="n">
        <v>3000000</v>
      </c>
      <c r="X14" s="56" t="n">
        <v>3000000</v>
      </c>
      <c r="Y14" s="56" t="n">
        <v>3000000</v>
      </c>
      <c r="Z14" s="56" t="n">
        <v>3000000</v>
      </c>
      <c r="AA14" s="56" t="n">
        <v>3000000</v>
      </c>
      <c r="AB14" s="56" t="n">
        <v>3000000</v>
      </c>
      <c r="AC14" s="56" t="n">
        <v>3000000</v>
      </c>
      <c r="AD14" s="56" t="n">
        <v>3000000</v>
      </c>
      <c r="AE14" s="56" t="n">
        <v>3000000</v>
      </c>
      <c r="AF14" s="56" t="n">
        <v>3000000</v>
      </c>
      <c r="AG14" s="56" t="n">
        <v>3000000</v>
      </c>
      <c r="AH14" s="56" t="n">
        <v>3000000</v>
      </c>
      <c r="AI14" s="56" t="n">
        <v>3000000</v>
      </c>
      <c r="AJ14" s="56" t="n">
        <v>3000000</v>
      </c>
      <c r="AK14" s="56" t="n">
        <v>3000000</v>
      </c>
      <c r="AL14" s="56" t="n">
        <v>3000000</v>
      </c>
      <c r="AM14" s="56" t="n">
        <v>3000000</v>
      </c>
      <c r="AN14" s="56" t="n">
        <v>3000000</v>
      </c>
      <c r="AO14" s="56" t="n">
        <v>3000000</v>
      </c>
      <c r="AP14" s="56" t="n">
        <v>3000000</v>
      </c>
      <c r="AQ14" s="56" t="n">
        <v>3000000</v>
      </c>
      <c r="AR14" s="56" t="n">
        <v>3000000</v>
      </c>
      <c r="AS14" s="56" t="n">
        <v>3000000</v>
      </c>
      <c r="AT14" s="56" t="n">
        <v>3000000</v>
      </c>
      <c r="AU14" s="56" t="n">
        <v>3000000</v>
      </c>
      <c r="AV14" s="56" t="n">
        <v>3000000</v>
      </c>
      <c r="AW14" s="56" t="n">
        <v>3000000</v>
      </c>
      <c r="AX14" s="56" t="n">
        <v>3000000</v>
      </c>
      <c r="AY14" s="56" t="n">
        <v>3000000</v>
      </c>
      <c r="AZ14" s="56" t="n">
        <v>3000000</v>
      </c>
      <c r="BA14" s="56" t="n">
        <v>3000000</v>
      </c>
      <c r="BB14" s="56" t="n">
        <v>3000000</v>
      </c>
      <c r="BC14" s="56" t="n">
        <v>3000000</v>
      </c>
      <c r="BD14" s="56" t="n">
        <v>3000000</v>
      </c>
      <c r="BE14" s="56" t="n">
        <v>3000000</v>
      </c>
      <c r="BF14" s="56" t="n">
        <v>3000000</v>
      </c>
      <c r="BG14" s="56" t="n">
        <v>3000000</v>
      </c>
      <c r="BH14" s="56" t="n">
        <v>3000000</v>
      </c>
      <c r="BI14" s="56" t="n">
        <v>3000000</v>
      </c>
      <c r="BJ14" s="56" t="n">
        <v>3000000</v>
      </c>
      <c r="BK14" s="56" t="n">
        <v>3000000</v>
      </c>
      <c r="BL14" s="56" t="n">
        <v>3000000</v>
      </c>
      <c r="BM14" s="57" t="n">
        <v>3000000</v>
      </c>
      <c r="BN14" s="56" t="n">
        <v>3000000</v>
      </c>
      <c r="BO14" s="56" t="n">
        <v>3000000</v>
      </c>
      <c r="BP14" s="56" t="n">
        <v>3000000</v>
      </c>
      <c r="BQ14" s="56" t="n">
        <v>3000000</v>
      </c>
      <c r="BR14" s="56" t="n">
        <v>3000000</v>
      </c>
    </row>
    <row r="15">
      <c r="C15" s="46" t="inlineStr">
        <is>
          <t>支払い.com Taxel 紹介費用率</t>
        </is>
      </c>
      <c r="D15" s="47" t="n"/>
      <c r="E15" s="47" t="n"/>
      <c r="F15" s="59" t="n">
        <v>0.0005</v>
      </c>
      <c r="G15" s="59" t="n">
        <v>0.0005</v>
      </c>
      <c r="H15" s="59" t="n">
        <v>0.0005</v>
      </c>
      <c r="I15" s="59" t="n">
        <v>0.0005</v>
      </c>
      <c r="J15" s="59" t="n">
        <v>0.0005</v>
      </c>
      <c r="K15" s="59" t="n">
        <v>0.0005</v>
      </c>
      <c r="L15" s="59" t="n">
        <v>0.0005</v>
      </c>
      <c r="M15" s="59" t="n">
        <v>0.0005</v>
      </c>
      <c r="N15" s="59" t="n">
        <v>0.0005</v>
      </c>
      <c r="O15" s="59" t="n">
        <v>0.0005</v>
      </c>
      <c r="P15" s="59" t="n">
        <v>0.0005</v>
      </c>
      <c r="Q15" s="59" t="n">
        <v>0.0005</v>
      </c>
      <c r="R15" s="59" t="n">
        <v>0.0005</v>
      </c>
      <c r="S15" s="59" t="n">
        <v>0.0005</v>
      </c>
      <c r="T15" s="59" t="n">
        <v>0.0005</v>
      </c>
      <c r="U15" s="59" t="n">
        <v>0.0005</v>
      </c>
      <c r="V15" s="59" t="n">
        <v>0.0005</v>
      </c>
      <c r="W15" s="59" t="n">
        <v>0.0005</v>
      </c>
      <c r="X15" s="59" t="n">
        <v>0.0005</v>
      </c>
      <c r="Y15" s="59" t="n">
        <v>0.0005</v>
      </c>
      <c r="Z15" s="59" t="n">
        <v>0.0005</v>
      </c>
      <c r="AA15" s="59" t="n">
        <v>0.0005</v>
      </c>
      <c r="AB15" s="59" t="n">
        <v>0.0005</v>
      </c>
      <c r="AC15" s="59" t="n">
        <v>0.0005</v>
      </c>
      <c r="AD15" s="59" t="n">
        <v>0.0005</v>
      </c>
      <c r="AE15" s="59" t="n">
        <v>0.0005</v>
      </c>
      <c r="AF15" s="59" t="n">
        <v>0.0005</v>
      </c>
      <c r="AG15" s="59" t="n">
        <v>0.0005</v>
      </c>
      <c r="AH15" s="59" t="n">
        <v>0.0005</v>
      </c>
      <c r="AI15" s="59" t="n">
        <v>0.0005</v>
      </c>
      <c r="AJ15" s="59" t="n">
        <v>0.0005</v>
      </c>
      <c r="AK15" s="59" t="n">
        <v>0.0005</v>
      </c>
      <c r="AL15" s="59" t="n">
        <v>0.0005</v>
      </c>
      <c r="AM15" s="59" t="n">
        <v>0.0005</v>
      </c>
      <c r="AN15" s="59" t="n">
        <v>0.0005</v>
      </c>
      <c r="AO15" s="59" t="n">
        <v>0.0005</v>
      </c>
      <c r="AP15" s="59" t="n">
        <v>0.0005</v>
      </c>
      <c r="AQ15" s="59" t="n">
        <v>0.0005</v>
      </c>
      <c r="AR15" s="59" t="n">
        <v>0.0005</v>
      </c>
      <c r="AS15" s="59" t="n">
        <v>0.0005</v>
      </c>
      <c r="AT15" s="59" t="n">
        <v>0.0005</v>
      </c>
      <c r="AU15" s="59" t="n">
        <v>0.0005</v>
      </c>
      <c r="AV15" s="59" t="n">
        <v>0.0005</v>
      </c>
      <c r="AW15" s="59" t="n">
        <v>0.0005</v>
      </c>
      <c r="AX15" s="59" t="n">
        <v>0.0005</v>
      </c>
      <c r="AY15" s="59" t="n">
        <v>0.0005</v>
      </c>
      <c r="AZ15" s="59" t="n">
        <v>0.0005</v>
      </c>
      <c r="BA15" s="59" t="n">
        <v>0.0005</v>
      </c>
      <c r="BB15" s="59" t="n">
        <v>0.0005</v>
      </c>
      <c r="BC15" s="59" t="n">
        <v>0.0005</v>
      </c>
      <c r="BD15" s="59" t="n">
        <v>0.0005</v>
      </c>
      <c r="BE15" s="59" t="n">
        <v>0.0005</v>
      </c>
      <c r="BF15" s="59" t="n">
        <v>0.0005</v>
      </c>
      <c r="BG15" s="59" t="n">
        <v>0.0005</v>
      </c>
      <c r="BH15" s="59" t="n">
        <v>0.0005</v>
      </c>
      <c r="BI15" s="59" t="n">
        <v>0.0005</v>
      </c>
      <c r="BJ15" s="59" t="n">
        <v>0.0005</v>
      </c>
      <c r="BK15" s="59" t="n">
        <v>0.0005</v>
      </c>
      <c r="BL15" s="59" t="n">
        <v>0.0005</v>
      </c>
      <c r="BM15" s="60" t="n">
        <v>0.0005</v>
      </c>
      <c r="BN15" s="59" t="n">
        <v>0.0005</v>
      </c>
      <c r="BO15" s="59" t="n">
        <v>0.0005</v>
      </c>
      <c r="BP15" s="59" t="n">
        <v>0.0005</v>
      </c>
      <c r="BQ15" s="59" t="n">
        <v>0.0005</v>
      </c>
      <c r="BR15" s="59" t="n">
        <v>0.0005</v>
      </c>
    </row>
    <row r="16">
      <c r="C16" s="46" t="inlineStr">
        <is>
          <t>１税理士 / 紹介費用</t>
        </is>
      </c>
      <c r="D16" s="47" t="n"/>
      <c r="E16" s="47" t="n"/>
      <c r="F16" s="178">
        <f>F24*F13/12</f>
        <v>0.0</v>
      </c>
      <c r="G16" s="178">
        <f>G24*G13/12</f>
        <v>312.375</v>
      </c>
      <c r="H16" s="178">
        <f>H24*H13/12</f>
        <v>1711.815</v>
      </c>
      <c r="I16" s="178">
        <f>I24*I13/12</f>
        <v>3083.2662</v>
      </c>
      <c r="J16" s="178">
        <f>J24*J13/12</f>
        <v>4271.100876</v>
      </c>
      <c r="K16" s="178">
        <f>K24*K13/12</f>
        <v>5747.55385848</v>
      </c>
      <c r="L16" s="178">
        <f>L24*L13/12</f>
        <v>7194.4777813104</v>
      </c>
      <c r="M16" s="178">
        <f>M24*M13/12</f>
        <v>8612.46322568419</v>
      </c>
      <c r="N16" s="178">
        <f>N24*N13/12</f>
        <v>10314.4639611705</v>
      </c>
      <c r="O16" s="178">
        <f>O24*O13/12</f>
        <v>11826.2371819471</v>
      </c>
      <c r="P16" s="178">
        <f>P24*P13/12</f>
        <v>13307.7749383082</v>
      </c>
      <c r="Q16" s="178">
        <f>Q24*Q13/12</f>
        <v>15072.056939542</v>
      </c>
      <c r="R16" s="178">
        <f>R24*R13/12</f>
        <v>16644.8658007512</v>
      </c>
      <c r="S16" s="178">
        <f>S24*S13/12</f>
        <v>18186.2184847361</v>
      </c>
      <c r="T16" s="178">
        <f>T24*T13/12</f>
        <v>20009.1191150414</v>
      </c>
      <c r="U16" s="178">
        <f>U24*U13/12</f>
        <v>21639.3742327406</v>
      </c>
      <c r="V16" s="178">
        <f>V24*V13/12</f>
        <v>23237.0242480858</v>
      </c>
      <c r="W16" s="178">
        <f>W24*W13/12</f>
        <v>25115.0962631241</v>
      </c>
      <c r="X16" s="178">
        <f>X24*X13/12</f>
        <v>26799.4193378616</v>
      </c>
      <c r="Y16" s="178">
        <f>Y24*Y13/12</f>
        <v>28450.0559511043</v>
      </c>
      <c r="Z16" s="178">
        <f>Z24*Z13/12</f>
        <v>30380.0548320822</v>
      </c>
      <c r="AA16" s="178">
        <f>AA24*AA13/12</f>
        <v>32115.2662354406</v>
      </c>
      <c r="AB16" s="178">
        <f>AB24*AB13/12</f>
        <v>33815.7734107318</v>
      </c>
      <c r="AC16" s="178">
        <f>AC24*AC13/12</f>
        <v>35638.4579425172</v>
      </c>
      <c r="AD16" s="178">
        <f>AD24*AD13/12</f>
        <v>37826.1599285231</v>
      </c>
      <c r="AE16" s="178">
        <f>AE24*AE13/12</f>
        <v>39819.389629774</v>
      </c>
      <c r="AF16" s="178">
        <f>AF24*AF13/12</f>
        <v>42090.1128112529</v>
      </c>
      <c r="AG16" s="178">
        <f>AG24*AG13/12</f>
        <v>44164.910837056</v>
      </c>
      <c r="AH16" s="178">
        <f>AH24*AH13/12</f>
        <v>46359.5873974075</v>
      </c>
      <c r="AI16" s="178">
        <f>AI24*AI13/12</f>
        <v>48515.8571179529</v>
      </c>
      <c r="AJ16" s="178">
        <f>AJ24*AJ13/12</f>
        <v>50790.5796183887</v>
      </c>
      <c r="AK16" s="178">
        <f>AK24*AK13/12</f>
        <v>52869.3069750669</v>
      </c>
      <c r="AL16" s="178">
        <f>AL24*AL13/12</f>
        <v>55224.0316030032</v>
      </c>
      <c r="AM16" s="178">
        <f>AM24*AM13/12</f>
        <v>57381.3610499507</v>
      </c>
      <c r="AN16" s="178">
        <f>AN24*AN13/12</f>
        <v>59500.9372315765</v>
      </c>
      <c r="AO16" s="178">
        <f>AO24*AO13/12</f>
        <v>61895.7958300239</v>
      </c>
      <c r="AP16" s="178">
        <f>AP24*AP13/12</f>
        <v>64092.5569029985</v>
      </c>
      <c r="AQ16" s="178">
        <f>AQ24*AQ13/12</f>
        <v>66250.874657196</v>
      </c>
      <c r="AR16" s="178">
        <f>AR24*AR13/12</f>
        <v>68527.6093506951</v>
      </c>
      <c r="AS16" s="178">
        <f>AS24*AS13/12</f>
        <v>70764.501187058</v>
      </c>
      <c r="AT16" s="178">
        <f>AT24*AT13/12</f>
        <v>72962.2474162845</v>
      </c>
      <c r="AU16" s="178">
        <f>AU24*AU13/12</f>
        <v>75277.7205864995</v>
      </c>
      <c r="AV16" s="178">
        <f>AV24*AV13/12</f>
        <v>77552.6729762357</v>
      </c>
      <c r="AW16" s="178">
        <f>AW24*AW13/12</f>
        <v>79787.8136991516</v>
      </c>
      <c r="AX16" s="178">
        <f>AX24*AX13/12</f>
        <v>82140.0269594165</v>
      </c>
      <c r="AY16" s="178">
        <f>AY24*AY13/12</f>
        <v>84294.8889876267</v>
      </c>
      <c r="AZ16" s="178">
        <f>AZ24*AZ13/12</f>
        <v>86568.2284303432</v>
      </c>
      <c r="BA16" s="178">
        <f>BA24*BA13/12</f>
        <v>88801.7844328122</v>
      </c>
      <c r="BB16" s="178">
        <f>BB24*BB13/12</f>
        <v>91999.19516632</v>
      </c>
      <c r="BC16" s="178">
        <f>BC24*BC13/12</f>
        <v>94992.4572388252</v>
      </c>
      <c r="BD16" s="178">
        <f>BD24*BD13/12</f>
        <v>98097.0078802428</v>
      </c>
      <c r="BE16" s="178">
        <f>BE24*BE13/12</f>
        <v>101154.990262039</v>
      </c>
      <c r="BF16" s="178">
        <f>BF24*BF13/12</f>
        <v>104167.102908109</v>
      </c>
      <c r="BG16" s="178">
        <f>BG24*BG13/12</f>
        <v>107446.408864487</v>
      </c>
      <c r="BH16" s="178">
        <f>BH24*BH13/12</f>
        <v>110520.33773152</v>
      </c>
      <c r="BI16" s="178">
        <f>BI24*BI13/12</f>
        <v>113548.157665547</v>
      </c>
      <c r="BJ16" s="178">
        <f>BJ24*BJ13/12</f>
        <v>116686.747800564</v>
      </c>
      <c r="BK16" s="178">
        <f>BK24*BK13/12</f>
        <v>119778.259083555</v>
      </c>
      <c r="BL16" s="178">
        <f>BL24*BL13/12</f>
        <v>122823.397697302</v>
      </c>
      <c r="BM16" s="179">
        <f>BM24*BM13/12</f>
        <v>125979.046731842</v>
      </c>
      <c r="BN16" s="178">
        <f>SUM(F16:Q16)</f>
        <v>81453.5849624423</v>
      </c>
      <c r="BO16" s="178">
        <f>SUM(R16:AC16)</f>
        <v>312030.725854217</v>
      </c>
      <c r="BP16" s="178">
        <f>SUM(AD16:AO16)</f>
        <v>596438.030029976</v>
      </c>
      <c r="BQ16" s="178">
        <f>SUM(AP16:BA16)</f>
        <v>917020.925586317</v>
      </c>
      <c r="BR16" s="178">
        <f>SUM(BB16:BM16)</f>
        <v>1307193.10903035</v>
      </c>
    </row>
    <row r="17">
      <c r="C17" s="11" t="inlineStr">
        <is>
          <t>税理士数＝アカウト数</t>
        </is>
      </c>
      <c r="D17" s="103" t="n"/>
      <c r="E17" s="103" t="n"/>
      <c r="F17" s="104" t="n">
        <v>0</v>
      </c>
      <c r="G17" s="104" t="n">
        <v>2</v>
      </c>
      <c r="H17" s="104" t="n">
        <v>11</v>
      </c>
      <c r="I17" s="104" t="n">
        <v>20</v>
      </c>
      <c r="J17" s="104" t="n">
        <v>28</v>
      </c>
      <c r="K17" s="104" t="n">
        <v>38</v>
      </c>
      <c r="L17" s="104" t="n">
        <v>48</v>
      </c>
      <c r="M17" s="104" t="n">
        <v>58</v>
      </c>
      <c r="N17" s="104" t="n">
        <v>70</v>
      </c>
      <c r="O17" s="104" t="n">
        <v>81</v>
      </c>
      <c r="P17" s="104" t="n">
        <v>92</v>
      </c>
      <c r="Q17" s="104" t="n">
        <v>105</v>
      </c>
      <c r="R17" s="104" t="n">
        <v>117</v>
      </c>
      <c r="S17" s="104" t="n">
        <v>129</v>
      </c>
      <c r="T17" s="104" t="n">
        <v>143</v>
      </c>
      <c r="U17" s="104" t="n">
        <v>156</v>
      </c>
      <c r="V17" s="104" t="n">
        <v>169</v>
      </c>
      <c r="W17" s="104" t="n">
        <v>184</v>
      </c>
      <c r="X17" s="104" t="n">
        <v>198</v>
      </c>
      <c r="Y17" s="104" t="n">
        <v>212</v>
      </c>
      <c r="Z17" s="104" t="n">
        <v>228</v>
      </c>
      <c r="AA17" s="104" t="n">
        <v>243</v>
      </c>
      <c r="AB17" s="104" t="n">
        <v>258</v>
      </c>
      <c r="AC17" s="104" t="n">
        <v>274</v>
      </c>
      <c r="AD17" s="104" t="n">
        <v>292</v>
      </c>
      <c r="AE17" s="104" t="n">
        <v>309</v>
      </c>
      <c r="AF17" s="104" t="n">
        <v>328</v>
      </c>
      <c r="AG17" s="104" t="n">
        <v>346</v>
      </c>
      <c r="AH17" s="104" t="n">
        <v>365</v>
      </c>
      <c r="AI17" s="104" t="n">
        <v>384</v>
      </c>
      <c r="AJ17" s="104" t="n">
        <v>404</v>
      </c>
      <c r="AK17" s="104" t="n">
        <v>423</v>
      </c>
      <c r="AL17" s="104" t="n">
        <v>444</v>
      </c>
      <c r="AM17" s="104" t="n">
        <v>464</v>
      </c>
      <c r="AN17" s="104" t="n">
        <v>484</v>
      </c>
      <c r="AO17" s="104" t="n">
        <v>506</v>
      </c>
      <c r="AP17" s="104" t="n">
        <v>527</v>
      </c>
      <c r="AQ17" s="104" t="n">
        <v>548</v>
      </c>
      <c r="AR17" s="104" t="n">
        <v>570</v>
      </c>
      <c r="AS17" s="104" t="n">
        <v>592</v>
      </c>
      <c r="AT17" s="104" t="n">
        <v>614</v>
      </c>
      <c r="AU17" s="104" t="n">
        <v>637</v>
      </c>
      <c r="AV17" s="104" t="n">
        <v>660</v>
      </c>
      <c r="AW17" s="104" t="n">
        <v>683</v>
      </c>
      <c r="AX17" s="104" t="n">
        <v>707</v>
      </c>
      <c r="AY17" s="104" t="n">
        <v>730</v>
      </c>
      <c r="AZ17" s="104" t="n">
        <v>754</v>
      </c>
      <c r="BA17" s="104" t="n">
        <v>778</v>
      </c>
      <c r="BB17" s="104" t="n">
        <v>807</v>
      </c>
      <c r="BC17" s="104" t="n">
        <v>835</v>
      </c>
      <c r="BD17" s="104" t="n">
        <v>864</v>
      </c>
      <c r="BE17" s="104" t="n">
        <v>893</v>
      </c>
      <c r="BF17" s="104" t="n">
        <v>922</v>
      </c>
      <c r="BG17" s="104" t="n">
        <v>953</v>
      </c>
      <c r="BH17" s="104" t="n">
        <v>983</v>
      </c>
      <c r="BI17" s="104" t="n">
        <v>1013</v>
      </c>
      <c r="BJ17" s="104" t="n">
        <v>1044</v>
      </c>
      <c r="BK17" s="104" t="n">
        <v>1075</v>
      </c>
      <c r="BL17" s="104" t="n">
        <v>1106</v>
      </c>
      <c r="BM17" s="105" t="n">
        <v>1138</v>
      </c>
      <c r="BN17" s="104">
        <f>Q17</f>
        <v>105.0</v>
      </c>
      <c r="BO17" s="104">
        <f>AC17</f>
        <v>274.0</v>
      </c>
      <c r="BP17" s="104">
        <f>AO17</f>
        <v>506.0</v>
      </c>
      <c r="BQ17" s="104">
        <f>BA17</f>
        <v>778.0</v>
      </c>
      <c r="BR17" s="104">
        <f>BM17</f>
        <v>1138.0</v>
      </c>
    </row>
    <row r="18">
      <c r="C18" s="160" t="inlineStr">
        <is>
          <t>新規</t>
        </is>
      </c>
      <c r="D18" s="12" t="n"/>
      <c r="E18" s="160" t="n"/>
      <c r="F18" s="8" t="n">
        <v>0</v>
      </c>
      <c r="G18" s="26" t="n">
        <v>1</v>
      </c>
      <c r="H18" s="26" t="n">
        <v>5</v>
      </c>
      <c r="I18" s="26" t="n">
        <v>5</v>
      </c>
      <c r="J18" s="26" t="n">
        <v>5</v>
      </c>
      <c r="K18" s="26">
        <f>H18+1</f>
        <v>6.0</v>
      </c>
      <c r="L18" s="26">
        <f>I18+1</f>
        <v>6.0</v>
      </c>
      <c r="M18" s="26">
        <f>J18+1</f>
        <v>6.0</v>
      </c>
      <c r="N18" s="26">
        <f>K18+1</f>
        <v>7.0</v>
      </c>
      <c r="O18" s="26">
        <f>L18+1</f>
        <v>7.0</v>
      </c>
      <c r="P18" s="26">
        <f>M18+1</f>
        <v>7.0</v>
      </c>
      <c r="Q18" s="26">
        <f>N18+1</f>
        <v>8.0</v>
      </c>
      <c r="R18" s="26">
        <f>O18+1</f>
        <v>8.0</v>
      </c>
      <c r="S18" s="26">
        <f>P18+1</f>
        <v>8.0</v>
      </c>
      <c r="T18" s="26">
        <f>Q18+1</f>
        <v>9.0</v>
      </c>
      <c r="U18" s="26">
        <f>R18+1</f>
        <v>9.0</v>
      </c>
      <c r="V18" s="26">
        <f>S18+1</f>
        <v>9.0</v>
      </c>
      <c r="W18" s="26">
        <f>T18+1</f>
        <v>10.0</v>
      </c>
      <c r="X18" s="26">
        <f>U18+1</f>
        <v>10.0</v>
      </c>
      <c r="Y18" s="26">
        <f>V18+1</f>
        <v>10.0</v>
      </c>
      <c r="Z18" s="26">
        <f>W18+1</f>
        <v>11.0</v>
      </c>
      <c r="AA18" s="26">
        <f>X18+1</f>
        <v>11.0</v>
      </c>
      <c r="AB18" s="26">
        <f>Y18+1</f>
        <v>11.0</v>
      </c>
      <c r="AC18" s="26">
        <f>Z18+1</f>
        <v>12.0</v>
      </c>
      <c r="AD18" s="26">
        <f>AA18+1</f>
        <v>12.0</v>
      </c>
      <c r="AE18" s="26">
        <f>AB18+1</f>
        <v>12.0</v>
      </c>
      <c r="AF18" s="26">
        <f>AC18+1</f>
        <v>13.0</v>
      </c>
      <c r="AG18" s="26">
        <f>AD18+1</f>
        <v>13.0</v>
      </c>
      <c r="AH18" s="26">
        <f>AE18+1</f>
        <v>13.0</v>
      </c>
      <c r="AI18" s="26">
        <f>AF18+1</f>
        <v>14.0</v>
      </c>
      <c r="AJ18" s="26">
        <f>AG18+1</f>
        <v>14.0</v>
      </c>
      <c r="AK18" s="26">
        <f>AH18+1</f>
        <v>14.0</v>
      </c>
      <c r="AL18" s="26">
        <f>AI18+1</f>
        <v>15.0</v>
      </c>
      <c r="AM18" s="26">
        <f>AJ18+1</f>
        <v>15.0</v>
      </c>
      <c r="AN18" s="26">
        <f>AK18+1</f>
        <v>15.0</v>
      </c>
      <c r="AO18" s="26">
        <f>AL18+1</f>
        <v>16.0</v>
      </c>
      <c r="AP18" s="26">
        <f>AM18+1</f>
        <v>16.0</v>
      </c>
      <c r="AQ18" s="26">
        <f>AN18+1</f>
        <v>16.0</v>
      </c>
      <c r="AR18" s="26">
        <f>AO18+1</f>
        <v>17.0</v>
      </c>
      <c r="AS18" s="26">
        <f>AP18+1</f>
        <v>17.0</v>
      </c>
      <c r="AT18" s="26">
        <f>AQ18+1</f>
        <v>17.0</v>
      </c>
      <c r="AU18" s="26">
        <f>AR18+1</f>
        <v>18.0</v>
      </c>
      <c r="AV18" s="26">
        <f>AS18+1</f>
        <v>18.0</v>
      </c>
      <c r="AW18" s="26">
        <f>AT18+1</f>
        <v>18.0</v>
      </c>
      <c r="AX18" s="26">
        <f>AU18+1</f>
        <v>19.0</v>
      </c>
      <c r="AY18" s="26">
        <f>AV18+1</f>
        <v>19.0</v>
      </c>
      <c r="AZ18" s="26">
        <f>AW18+1</f>
        <v>19.0</v>
      </c>
      <c r="BA18" s="26">
        <f>AX18+1</f>
        <v>20.0</v>
      </c>
      <c r="BB18" s="26">
        <f>AY18+1</f>
        <v>20.0</v>
      </c>
      <c r="BC18" s="26">
        <f>AZ18+1</f>
        <v>20.0</v>
      </c>
      <c r="BD18" s="26">
        <f>BA18+1</f>
        <v>21.0</v>
      </c>
      <c r="BE18" s="26">
        <f>BB18+1</f>
        <v>21.0</v>
      </c>
      <c r="BF18" s="26">
        <f>BC18+1</f>
        <v>21.0</v>
      </c>
      <c r="BG18" s="26">
        <f>BD18+1</f>
        <v>22.0</v>
      </c>
      <c r="BH18" s="26">
        <f>BE18+1</f>
        <v>22.0</v>
      </c>
      <c r="BI18" s="26">
        <f>BF18+1</f>
        <v>22.0</v>
      </c>
      <c r="BJ18" s="26">
        <f>BG18+1</f>
        <v>23.0</v>
      </c>
      <c r="BK18" s="26">
        <f>BH18+1</f>
        <v>23.0</v>
      </c>
      <c r="BL18" s="26">
        <f>BI18+1</f>
        <v>23.0</v>
      </c>
      <c r="BM18" s="25">
        <f>BJ18+1</f>
        <v>24.0</v>
      </c>
      <c r="BN18" s="26">
        <f>SUM(F18:Q18)</f>
        <v>63.0</v>
      </c>
      <c r="BO18" s="26">
        <f>SUM(R18:AC18)</f>
        <v>118.0</v>
      </c>
      <c r="BP18" s="26">
        <f>SUM(AD18:AO18)</f>
        <v>166.0</v>
      </c>
      <c r="BQ18" s="26">
        <f>SUM(AP18:BA18)</f>
        <v>214.0</v>
      </c>
      <c r="BR18" s="26">
        <f>SUM(BB18:BM18)</f>
        <v>262.0</v>
      </c>
    </row>
    <row r="19">
      <c r="C19" s="160" t="inlineStr">
        <is>
          <t>解約予想数</t>
        </is>
      </c>
      <c r="D19" s="12" t="n"/>
      <c r="E19" s="160" t="n"/>
      <c r="F19" s="28" t="n">
        <v>0</v>
      </c>
      <c r="G19" s="28">
        <f>F24*G20</f>
        <v>0.0</v>
      </c>
      <c r="H19" s="28">
        <f>G24*H20</f>
        <v>0.04998</v>
      </c>
      <c r="I19" s="28">
        <f>H24*I20</f>
        <v>0.2738904</v>
      </c>
      <c r="J19" s="28">
        <f>I24*J20</f>
        <v>0.493322592</v>
      </c>
      <c r="K19" s="28">
        <f>J24*K20</f>
        <v>0.68337614016</v>
      </c>
      <c r="L19" s="28">
        <f>K24*L20</f>
        <v>0.9196086173568</v>
      </c>
      <c r="M19" s="28">
        <f>L24*M20</f>
        <v>1.15111644500966</v>
      </c>
      <c r="N19" s="28">
        <f>M24*N20</f>
        <v>1.37799411610947</v>
      </c>
      <c r="O19" s="28">
        <f>N24*O20</f>
        <v>1.65031423378728</v>
      </c>
      <c r="P19" s="28">
        <f>O24*P20</f>
        <v>1.89219794911154</v>
      </c>
      <c r="Q19" s="28">
        <f>P24*Q20</f>
        <v>2.12924399012931</v>
      </c>
      <c r="R19" s="28">
        <f>Q24*R20</f>
        <v>2.41152911032672</v>
      </c>
      <c r="S19" s="28">
        <f>R24*S20</f>
        <v>2.66317852812018</v>
      </c>
      <c r="T19" s="28">
        <f>S24*T20</f>
        <v>2.90979495755778</v>
      </c>
      <c r="U19" s="28">
        <f>T24*U20</f>
        <v>3.20145905840663</v>
      </c>
      <c r="V19" s="28">
        <f>U24*V20</f>
        <v>3.46229987723849</v>
      </c>
      <c r="W19" s="28">
        <f>V24*W20</f>
        <v>3.71792387969372</v>
      </c>
      <c r="X19" s="28">
        <f>W24*X20</f>
        <v>4.01841540209985</v>
      </c>
      <c r="Y19" s="28">
        <f>X24*Y20</f>
        <v>4.28790709405785</v>
      </c>
      <c r="Z19" s="28">
        <f>Y24*Z20</f>
        <v>4.5520089521767</v>
      </c>
      <c r="AA19" s="28">
        <f>Z24*AA20</f>
        <v>4.86080877313316</v>
      </c>
      <c r="AB19" s="28">
        <f>AA24*AB20</f>
        <v>5.1384425976705</v>
      </c>
      <c r="AC19" s="28">
        <f>AB24*AC20</f>
        <v>5.41052374571709</v>
      </c>
      <c r="AD19" s="28">
        <f>AC24*AD20</f>
        <v>4.9893841119524</v>
      </c>
      <c r="AE19" s="28">
        <f>AD24*AE20</f>
        <v>5.29566238999324</v>
      </c>
      <c r="AF19" s="28">
        <f>AE24*AF20</f>
        <v>5.57471454816835</v>
      </c>
      <c r="AG19" s="28">
        <f>AF24*AG20</f>
        <v>5.89261579357541</v>
      </c>
      <c r="AH19" s="28">
        <f>AG24*AH20</f>
        <v>6.18308751718784</v>
      </c>
      <c r="AI19" s="28">
        <f>AH24*AI20</f>
        <v>6.49034223563705</v>
      </c>
      <c r="AJ19" s="28">
        <f>AI24*AJ20</f>
        <v>6.7922199965134</v>
      </c>
      <c r="AK19" s="28">
        <f>AJ24*AK20</f>
        <v>7.11068114657442</v>
      </c>
      <c r="AL19" s="28">
        <f>AK24*AL20</f>
        <v>7.40170297650936</v>
      </c>
      <c r="AM19" s="28">
        <f>AL24*AM20</f>
        <v>7.73136442442045</v>
      </c>
      <c r="AN19" s="28">
        <f>AM24*AN20</f>
        <v>8.03339054699309</v>
      </c>
      <c r="AO19" s="28">
        <f>AN24*AO20</f>
        <v>8.33013121242071</v>
      </c>
      <c r="AP19" s="28">
        <f>AO24*AP20</f>
        <v>8.66541141620335</v>
      </c>
      <c r="AQ19" s="28">
        <f>AP24*AQ20</f>
        <v>8.9729579664198</v>
      </c>
      <c r="AR19" s="28">
        <f>AQ24*AR20</f>
        <v>9.27512245200745</v>
      </c>
      <c r="AS19" s="28">
        <f>AR24*AS20</f>
        <v>9.59386530909732</v>
      </c>
      <c r="AT19" s="28">
        <f>AS24*AT20</f>
        <v>9.90703016618812</v>
      </c>
      <c r="AU19" s="28">
        <f>AT24*AU20</f>
        <v>10.2147146382798</v>
      </c>
      <c r="AV19" s="28">
        <f>AU24*AV20</f>
        <v>10.5388808821099</v>
      </c>
      <c r="AW19" s="28">
        <f>AV24*AW20</f>
        <v>10.857374216673</v>
      </c>
      <c r="AX19" s="28">
        <f>AW24*AX20</f>
        <v>11.1702939178812</v>
      </c>
      <c r="AY19" s="28">
        <f>AX24*AY20</f>
        <v>11.4996037743183</v>
      </c>
      <c r="AZ19" s="28">
        <f>AY24*AZ20</f>
        <v>11.8012844582677</v>
      </c>
      <c r="BA19" s="28">
        <f>AZ24*BA20</f>
        <v>12.1195519802481</v>
      </c>
      <c r="BB19" s="28">
        <f>BA24*BB20</f>
        <v>10.6562141319375</v>
      </c>
      <c r="BC19" s="28">
        <f>BB24*BC20</f>
        <v>11.0399034199584</v>
      </c>
      <c r="BD19" s="28">
        <f>BC24*BD20</f>
        <v>11.399094868659</v>
      </c>
      <c r="BE19" s="28">
        <f>BD24*BE20</f>
        <v>11.7716409456291</v>
      </c>
      <c r="BF19" s="28">
        <f>BE24*BF20</f>
        <v>12.1385988314447</v>
      </c>
      <c r="BG19" s="28">
        <f>BF24*BG20</f>
        <v>12.500052348973</v>
      </c>
      <c r="BH19" s="28">
        <f>BG24*BH20</f>
        <v>12.8935690637384</v>
      </c>
      <c r="BI19" s="28">
        <f>BH24*BI20</f>
        <v>13.2624405277824</v>
      </c>
      <c r="BJ19" s="28">
        <f>BI24*BJ20</f>
        <v>13.6257789198656</v>
      </c>
      <c r="BK19" s="28">
        <f>BJ24*BK20</f>
        <v>14.0024097360676</v>
      </c>
      <c r="BL19" s="28">
        <f>BK24*BL20</f>
        <v>14.3733910900266</v>
      </c>
      <c r="BM19" s="61">
        <f>BL24*BM20</f>
        <v>14.7388077236762</v>
      </c>
      <c r="BN19" s="40">
        <f>SUM(F19:Q19)</f>
        <v>10.6210444836641</v>
      </c>
      <c r="BO19" s="26">
        <f>SUM(R19:AC19)</f>
        <v>46.6342919761987</v>
      </c>
      <c r="BP19" s="26">
        <f>SUM(AD19:AO19)</f>
        <v>79.8252968999457</v>
      </c>
      <c r="BQ19" s="26">
        <f>SUM(AP19:BA19)</f>
        <v>124.616091177694</v>
      </c>
      <c r="BR19" s="26">
        <f>SUM(BB19:BM19)</f>
        <v>152.401901607759</v>
      </c>
    </row>
    <row r="20">
      <c r="C20" s="160" t="inlineStr">
        <is>
          <t>解約率</t>
        </is>
      </c>
      <c r="D20" s="12" t="inlineStr">
        <is>
          <t>F&amp;M オフィスステーション1.01%</t>
        </is>
      </c>
      <c r="E20" s="160" t="n"/>
      <c r="F20" s="29" t="n">
        <v>0.02</v>
      </c>
      <c r="G20" s="29" t="n">
        <v>0.02</v>
      </c>
      <c r="H20" s="29" t="n">
        <v>0.02</v>
      </c>
      <c r="I20" s="29" t="n">
        <v>0.02</v>
      </c>
      <c r="J20" s="29" t="n">
        <v>0.02</v>
      </c>
      <c r="K20" s="29" t="n">
        <v>0.02</v>
      </c>
      <c r="L20" s="29" t="n">
        <v>0.02</v>
      </c>
      <c r="M20" s="29" t="n">
        <v>0.02</v>
      </c>
      <c r="N20" s="29" t="n">
        <v>0.02</v>
      </c>
      <c r="O20" s="29" t="n">
        <v>0.02</v>
      </c>
      <c r="P20" s="29" t="n">
        <v>0.02</v>
      </c>
      <c r="Q20" s="29" t="n">
        <v>0.02</v>
      </c>
      <c r="R20" s="29" t="n">
        <v>0.02</v>
      </c>
      <c r="S20" s="29" t="n">
        <v>0.02</v>
      </c>
      <c r="T20" s="29" t="n">
        <v>0.02</v>
      </c>
      <c r="U20" s="29" t="n">
        <v>0.02</v>
      </c>
      <c r="V20" s="29" t="n">
        <v>0.02</v>
      </c>
      <c r="W20" s="29" t="n">
        <v>0.02</v>
      </c>
      <c r="X20" s="29" t="n">
        <v>0.02</v>
      </c>
      <c r="Y20" s="29" t="n">
        <v>0.02</v>
      </c>
      <c r="Z20" s="29" t="n">
        <v>0.02</v>
      </c>
      <c r="AA20" s="29" t="n">
        <v>0.02</v>
      </c>
      <c r="AB20" s="29" t="n">
        <v>0.02</v>
      </c>
      <c r="AC20" s="29" t="n">
        <v>0.02</v>
      </c>
      <c r="AD20" s="162" t="n">
        <v>0.0175</v>
      </c>
      <c r="AE20" s="162" t="n">
        <v>0.0175</v>
      </c>
      <c r="AF20" s="162" t="n">
        <v>0.0175</v>
      </c>
      <c r="AG20" s="162" t="n">
        <v>0.0175</v>
      </c>
      <c r="AH20" s="162" t="n">
        <v>0.0175</v>
      </c>
      <c r="AI20" s="162" t="n">
        <v>0.0175</v>
      </c>
      <c r="AJ20" s="162" t="n">
        <v>0.0175</v>
      </c>
      <c r="AK20" s="162" t="n">
        <v>0.0175</v>
      </c>
      <c r="AL20" s="162" t="n">
        <v>0.0175</v>
      </c>
      <c r="AM20" s="162" t="n">
        <v>0.0175</v>
      </c>
      <c r="AN20" s="162" t="n">
        <v>0.0175</v>
      </c>
      <c r="AO20" s="162" t="n">
        <v>0.0175</v>
      </c>
      <c r="AP20" s="162" t="n">
        <v>0.0175</v>
      </c>
      <c r="AQ20" s="162" t="n">
        <v>0.0175</v>
      </c>
      <c r="AR20" s="162" t="n">
        <v>0.0175</v>
      </c>
      <c r="AS20" s="162" t="n">
        <v>0.0175</v>
      </c>
      <c r="AT20" s="162" t="n">
        <v>0.0175</v>
      </c>
      <c r="AU20" s="162" t="n">
        <v>0.0175</v>
      </c>
      <c r="AV20" s="162" t="n">
        <v>0.0175</v>
      </c>
      <c r="AW20" s="162" t="n">
        <v>0.0175</v>
      </c>
      <c r="AX20" s="162" t="n">
        <v>0.0175</v>
      </c>
      <c r="AY20" s="162" t="n">
        <v>0.0175</v>
      </c>
      <c r="AZ20" s="162" t="n">
        <v>0.0175</v>
      </c>
      <c r="BA20" s="162" t="n">
        <v>0.0175</v>
      </c>
      <c r="BB20" s="29" t="n">
        <v>0.015</v>
      </c>
      <c r="BC20" s="29" t="n">
        <v>0.015</v>
      </c>
      <c r="BD20" s="29" t="n">
        <v>0.015</v>
      </c>
      <c r="BE20" s="29" t="n">
        <v>0.015</v>
      </c>
      <c r="BF20" s="29" t="n">
        <v>0.015</v>
      </c>
      <c r="BG20" s="29" t="n">
        <v>0.015</v>
      </c>
      <c r="BH20" s="29" t="n">
        <v>0.015</v>
      </c>
      <c r="BI20" s="29" t="n">
        <v>0.015</v>
      </c>
      <c r="BJ20" s="29" t="n">
        <v>0.015</v>
      </c>
      <c r="BK20" s="29" t="n">
        <v>0.015</v>
      </c>
      <c r="BL20" s="29" t="n">
        <v>0.015</v>
      </c>
      <c r="BM20" s="31" t="n">
        <v>0.015</v>
      </c>
      <c r="BN20" s="29">
        <f>AVERAGE(F20:Q20)</f>
        <v>0.02</v>
      </c>
      <c r="BO20" s="29">
        <f>AVERAGE(R20:AC20)</f>
        <v>0.02</v>
      </c>
      <c r="BP20" s="29">
        <f>AVERAGE(AD20:AO20)</f>
        <v>0.0175</v>
      </c>
      <c r="BQ20" s="29">
        <f>AVERAGE(AP20:BA20)</f>
        <v>0.0175</v>
      </c>
      <c r="BR20" s="29">
        <f>AVERAGE(BB20:BM20)</f>
        <v>0.015</v>
      </c>
    </row>
    <row r="22">
      <c r="C22" s="219" t="inlineStr">
        <is>
          <t>■ ストック計算（契約社数＝前月契約社数＋当月新規受注－当月解約）</t>
        </is>
      </c>
    </row>
    <row r="23" s="159">
      <c r="A23" s="220" t="n"/>
      <c r="B23" s="220" t="n"/>
      <c r="C23" s="46" t="inlineStr">
        <is>
          <t>新規受注数（当月）</t>
        </is>
      </c>
      <c r="D23" s="47" t="inlineStr">
        <is>
          <t>＝当月の累計獲得数(12行)－前月の累計獲得数。税理士獲得ロジック(×35等)は別途検討中のため、既存ファネルを流用</t>
        </is>
      </c>
      <c r="E23" s="47" t="n"/>
      <c r="F23" s="223">
        <f>F12</f>
        <v>0.0</v>
      </c>
      <c r="G23" s="223">
        <f>G12-F12</f>
        <v>2.499</v>
      </c>
      <c r="H23" s="223">
        <f>H12-G12</f>
        <v>11.2455</v>
      </c>
      <c r="I23" s="223">
        <f>I12-H12</f>
        <v>11.2455</v>
      </c>
      <c r="J23" s="223">
        <f>J12-I12</f>
        <v>9.996</v>
      </c>
      <c r="K23" s="223">
        <f>K12-J12</f>
        <v>12.495</v>
      </c>
      <c r="L23" s="223">
        <f>L12-K12</f>
        <v>12.495</v>
      </c>
      <c r="M23" s="223">
        <f>M12-L12</f>
        <v>12.495</v>
      </c>
      <c r="N23" s="223">
        <f>N12-M12</f>
        <v>14.994</v>
      </c>
      <c r="O23" s="223">
        <f>O12-N12</f>
        <v>13.7445</v>
      </c>
      <c r="P23" s="223">
        <f>P12-O12</f>
        <v>13.7445</v>
      </c>
      <c r="Q23" s="223">
        <f>Q12-P12</f>
        <v>16.2435</v>
      </c>
      <c r="R23" s="223">
        <f>R12-Q12</f>
        <v>14.994</v>
      </c>
      <c r="S23" s="223">
        <f>S12-R12</f>
        <v>14.994</v>
      </c>
      <c r="T23" s="223">
        <f>T12-S12</f>
        <v>17.493</v>
      </c>
      <c r="U23" s="223">
        <f>U12-T12</f>
        <v>16.2435</v>
      </c>
      <c r="V23" s="223">
        <f>V12-U12</f>
        <v>16.2435</v>
      </c>
      <c r="W23" s="223">
        <f>W12-V12</f>
        <v>18.7425</v>
      </c>
      <c r="X23" s="223">
        <f>X12-W12</f>
        <v>17.493</v>
      </c>
      <c r="Y23" s="223">
        <f>Y12-X12</f>
        <v>17.493</v>
      </c>
      <c r="Z23" s="223">
        <f>Z12-Y12</f>
        <v>19.992</v>
      </c>
      <c r="AA23" s="223">
        <f>AA12-Z12</f>
        <v>18.7425</v>
      </c>
      <c r="AB23" s="223">
        <f>AB12-AA12</f>
        <v>18.7425</v>
      </c>
      <c r="AC23" s="223">
        <f>AC12-AB12</f>
        <v>19.992</v>
      </c>
      <c r="AD23" s="223">
        <f>AD12-AC12</f>
        <v>22.491</v>
      </c>
      <c r="AE23" s="223">
        <f>AE12-AD12</f>
        <v>21.2415</v>
      </c>
      <c r="AF23" s="223">
        <f>AF12-AE12</f>
        <v>23.7405</v>
      </c>
      <c r="AG23" s="223">
        <f>AG12-AF12</f>
        <v>22.4910000000001</v>
      </c>
      <c r="AH23" s="223">
        <f>AH12-AG12</f>
        <v>23.7404999999999</v>
      </c>
      <c r="AI23" s="223">
        <f>AI12-AH12</f>
        <v>23.7405</v>
      </c>
      <c r="AJ23" s="223">
        <f>AJ12-AI12</f>
        <v>24.99</v>
      </c>
      <c r="AK23" s="223">
        <f>AK12-AJ12</f>
        <v>23.7404999999999</v>
      </c>
      <c r="AL23" s="223">
        <f>AL12-AK12</f>
        <v>26.2395000000001</v>
      </c>
      <c r="AM23" s="223">
        <f>AM12-AL12</f>
        <v>24.9899999999999</v>
      </c>
      <c r="AN23" s="223">
        <f>AN12-AM12</f>
        <v>24.99</v>
      </c>
      <c r="AO23" s="223">
        <f>AO12-AN12</f>
        <v>27.489</v>
      </c>
      <c r="AP23" s="223">
        <f>AP12-AO12</f>
        <v>26.2395</v>
      </c>
      <c r="AQ23" s="223">
        <f>AQ12-AP12</f>
        <v>26.2394999999999</v>
      </c>
      <c r="AR23" s="223">
        <f>AR12-AQ12</f>
        <v>27.4890000000001</v>
      </c>
      <c r="AS23" s="223">
        <f>AS12-AR12</f>
        <v>27.489</v>
      </c>
      <c r="AT23" s="223">
        <f>AT12-AS12</f>
        <v>27.4889999999999</v>
      </c>
      <c r="AU23" s="223">
        <f>AU12-AT12</f>
        <v>28.7385</v>
      </c>
      <c r="AV23" s="223">
        <f>AV12-AU12</f>
        <v>28.7384999999999</v>
      </c>
      <c r="AW23" s="223">
        <f>AW12-AV12</f>
        <v>28.7384999999999</v>
      </c>
      <c r="AX23" s="223">
        <f>AX12-AW12</f>
        <v>29.9880000000002</v>
      </c>
      <c r="AY23" s="223">
        <f>AY12-AX12</f>
        <v>28.7384999999998</v>
      </c>
      <c r="AZ23" s="223">
        <f>AZ12-AY12</f>
        <v>29.9880000000001</v>
      </c>
      <c r="BA23" s="223">
        <f>BA12-AZ12</f>
        <v>29.9879999999999</v>
      </c>
      <c r="BB23" s="223">
        <f>BB12-BA12</f>
        <v>36.2355</v>
      </c>
      <c r="BC23" s="223">
        <f>BC12-BB12</f>
        <v>34.9860000000001</v>
      </c>
      <c r="BD23" s="223">
        <f>BD12-BC12</f>
        <v>36.2355</v>
      </c>
      <c r="BE23" s="223">
        <f>BE12-BD12</f>
        <v>36.2355</v>
      </c>
      <c r="BF23" s="223">
        <f>BF12-BE12</f>
        <v>36.2354999999998</v>
      </c>
      <c r="BG23" s="223">
        <f>BG12-BF12</f>
        <v>38.7345000000003</v>
      </c>
      <c r="BH23" s="223">
        <f>BH12-BG12</f>
        <v>37.4849999999999</v>
      </c>
      <c r="BI23" s="223">
        <f>BI12-BH12</f>
        <v>37.4849999999999</v>
      </c>
      <c r="BJ23" s="223">
        <f>BJ12-BI12</f>
        <v>38.7345000000003</v>
      </c>
      <c r="BK23" s="223">
        <f>BK12-BJ12</f>
        <v>38.7344999999998</v>
      </c>
      <c r="BL23" s="223">
        <f>BL12-BK12</f>
        <v>38.7345</v>
      </c>
      <c r="BM23" s="223">
        <f>BM12-BL12</f>
        <v>39.9839999999999</v>
      </c>
      <c r="BN23" s="224">
        <f>SUM(F23:Q23)</f>
        <v>131.1975</v>
      </c>
      <c r="BO23" s="223">
        <f>SUM(R23:AC23)</f>
        <v>211.1655</v>
      </c>
      <c r="BP23" s="223">
        <f>SUM(AD23:AO23)</f>
        <v>289.884</v>
      </c>
      <c r="BQ23" s="223">
        <f>SUM(AP23:BA23)</f>
        <v>339.864</v>
      </c>
      <c r="BR23" s="223">
        <f>SUM(BB23:BM23)</f>
        <v>449.82</v>
      </c>
    </row>
    <row r="24" s="159">
      <c r="A24" s="220" t="n"/>
      <c r="B24" s="220" t="n"/>
      <c r="C24" s="46" t="inlineStr">
        <is>
          <t>期末契約社数（ストック）</t>
        </is>
      </c>
      <c r="D24" s="47" t="inlineStr">
        <is>
          <t>＝前月末契約社数＋新規受注数－解約予想数。売上＝本行×単価</t>
        </is>
      </c>
      <c r="E24" s="47" t="n"/>
      <c r="F24" s="223">
        <f>F23-F19</f>
        <v>0.0</v>
      </c>
      <c r="G24" s="223">
        <f>F24+G23-G19</f>
        <v>2.499</v>
      </c>
      <c r="H24" s="223">
        <f>G24+H23-H19</f>
        <v>13.69452</v>
      </c>
      <c r="I24" s="223">
        <f>H24+I23-I19</f>
        <v>24.6661296</v>
      </c>
      <c r="J24" s="223">
        <f>I24+J23-J19</f>
        <v>34.168807008</v>
      </c>
      <c r="K24" s="223">
        <f>J24+K23-K19</f>
        <v>45.98043086784</v>
      </c>
      <c r="L24" s="223">
        <f>K24+L23-L19</f>
        <v>57.5558222504832</v>
      </c>
      <c r="M24" s="223">
        <f>L24+M23-M19</f>
        <v>68.8997058054735</v>
      </c>
      <c r="N24" s="223">
        <f>M24+N23-N19</f>
        <v>82.5157116893641</v>
      </c>
      <c r="O24" s="223">
        <f>N24+O23-O19</f>
        <v>94.6098974555768</v>
      </c>
      <c r="P24" s="223">
        <f>O24+P23-P19</f>
        <v>106.462199506465</v>
      </c>
      <c r="Q24" s="223">
        <f>P24+Q23-Q19</f>
        <v>120.576455516336</v>
      </c>
      <c r="R24" s="223">
        <f>Q24+R23-R19</f>
        <v>133.158926406009</v>
      </c>
      <c r="S24" s="223">
        <f>R24+S23-S19</f>
        <v>145.489747877889</v>
      </c>
      <c r="T24" s="223">
        <f>S24+T23-T19</f>
        <v>160.072952920331</v>
      </c>
      <c r="U24" s="223">
        <f>T24+U23-U19</f>
        <v>173.114993861925</v>
      </c>
      <c r="V24" s="223">
        <f>U24+V23-V19</f>
        <v>185.896193984686</v>
      </c>
      <c r="W24" s="223">
        <f>V24+W23-W19</f>
        <v>200.920770104992</v>
      </c>
      <c r="X24" s="223">
        <f>W24+X23-X19</f>
        <v>214.395354702893</v>
      </c>
      <c r="Y24" s="223">
        <f>X24+Y23-Y19</f>
        <v>227.600447608835</v>
      </c>
      <c r="Z24" s="223">
        <f>Y24+Z23-Z19</f>
        <v>243.040438656658</v>
      </c>
      <c r="AA24" s="223">
        <f>Z24+AA23-AA19</f>
        <v>256.922129883525</v>
      </c>
      <c r="AB24" s="223">
        <f>AA24+AB23-AB19</f>
        <v>270.526187285854</v>
      </c>
      <c r="AC24" s="223">
        <f>AB24+AC23-AC19</f>
        <v>285.107663540137</v>
      </c>
      <c r="AD24" s="223">
        <f>AC24+AD23-AD19</f>
        <v>302.609279428185</v>
      </c>
      <c r="AE24" s="223">
        <f>AD24+AE23-AE19</f>
        <v>318.555117038192</v>
      </c>
      <c r="AF24" s="223">
        <f>AE24+AF23-AF19</f>
        <v>336.720902490023</v>
      </c>
      <c r="AG24" s="223">
        <f>AF24+AG23-AG19</f>
        <v>353.319286696448</v>
      </c>
      <c r="AH24" s="223">
        <f>AG24+AH23-AH19</f>
        <v>370.87669917926</v>
      </c>
      <c r="AI24" s="223">
        <f>AH24+AI23-AI19</f>
        <v>388.126856943623</v>
      </c>
      <c r="AJ24" s="223">
        <f>AI24+AJ23-AJ19</f>
        <v>406.324636947109</v>
      </c>
      <c r="AK24" s="223">
        <f>AJ24+AK23-AK19</f>
        <v>422.954455800535</v>
      </c>
      <c r="AL24" s="223">
        <f>AK24+AL23-AL19</f>
        <v>441.792252824026</v>
      </c>
      <c r="AM24" s="223">
        <f>AL24+AM23-AM19</f>
        <v>459.050888399605</v>
      </c>
      <c r="AN24" s="223">
        <f>AM24+AN23-AN19</f>
        <v>476.007497852612</v>
      </c>
      <c r="AO24" s="223">
        <f>AN24+AO23-AO19</f>
        <v>495.166366640192</v>
      </c>
      <c r="AP24" s="223">
        <f>AO24+AP23-AP19</f>
        <v>512.740455223988</v>
      </c>
      <c r="AQ24" s="223">
        <f>AP24+AQ23-AQ19</f>
        <v>530.006997257568</v>
      </c>
      <c r="AR24" s="223">
        <f>AQ24+AR23-AR19</f>
        <v>548.220874805561</v>
      </c>
      <c r="AS24" s="223">
        <f>AR24+AS23-AS19</f>
        <v>566.116009496464</v>
      </c>
      <c r="AT24" s="223">
        <f>AS24+AT23-AT19</f>
        <v>583.697979330276</v>
      </c>
      <c r="AU24" s="223">
        <f>AT24+AU23-AU19</f>
        <v>602.221764691996</v>
      </c>
      <c r="AV24" s="223">
        <f>AU24+AV23-AV19</f>
        <v>620.421383809886</v>
      </c>
      <c r="AW24" s="223">
        <f>AV24+AW23-AW19</f>
        <v>638.302509593213</v>
      </c>
      <c r="AX24" s="223">
        <f>AW24+AX23-AX19</f>
        <v>657.120215675332</v>
      </c>
      <c r="AY24" s="223">
        <f>AX24+AY23-AY19</f>
        <v>674.359111901013</v>
      </c>
      <c r="AZ24" s="223">
        <f>AY24+AZ23-AZ19</f>
        <v>692.545827442746</v>
      </c>
      <c r="BA24" s="223">
        <f>AZ24+BA23-BA19</f>
        <v>710.414275462498</v>
      </c>
      <c r="BB24" s="223">
        <f>BA24+BB23-BB19</f>
        <v>735.99356133056</v>
      </c>
      <c r="BC24" s="223">
        <f>BB24+BC23-BC19</f>
        <v>759.939657910602</v>
      </c>
      <c r="BD24" s="223">
        <f>BC24+BD23-BD19</f>
        <v>784.776063041943</v>
      </c>
      <c r="BE24" s="223">
        <f>BD24+BE23-BE19</f>
        <v>809.239922096314</v>
      </c>
      <c r="BF24" s="223">
        <f>BE24+BF23-BF19</f>
        <v>833.336823264869</v>
      </c>
      <c r="BG24" s="223">
        <f>BF24+BG23-BG19</f>
        <v>859.571270915896</v>
      </c>
      <c r="BH24" s="223">
        <f>BG24+BH23-BH19</f>
        <v>884.162701852157</v>
      </c>
      <c r="BI24" s="223">
        <f>BH24+BI23-BI19</f>
        <v>908.385261324375</v>
      </c>
      <c r="BJ24" s="223">
        <f>BI24+BJ23-BJ19</f>
        <v>933.49398240451</v>
      </c>
      <c r="BK24" s="223">
        <f>BJ24+BK23-BK19</f>
        <v>958.226072668442</v>
      </c>
      <c r="BL24" s="223">
        <f>BK24+BL23-BL19</f>
        <v>982.587181578415</v>
      </c>
      <c r="BM24" s="223">
        <f>BL24+BM23-BM19</f>
        <v>1007.83237385474</v>
      </c>
      <c r="BN24" s="224">
        <f>Q24</f>
        <v>120.576455516336</v>
      </c>
      <c r="BO24" s="223">
        <f>AC24</f>
        <v>285.107663540137</v>
      </c>
      <c r="BP24" s="223">
        <f>AO24</f>
        <v>495.166366640192</v>
      </c>
      <c r="BQ24" s="223">
        <f>BA24</f>
        <v>710.414275462498</v>
      </c>
      <c r="BR24" s="223">
        <f>BM24</f>
        <v>1007.83237385474</v>
      </c>
    </row>
  </sheetData>
  <hyperlinks>
    <hyperlink xmlns:r="http://schemas.openxmlformats.org/officeDocument/2006/relationships" ref="D14" r:id="rId1"/>
  </hyperlink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BR22"/>
  <sheetViews>
    <sheetView zoomScale="118" workbookViewId="0">
      <selection activeCell="F4" sqref="F4:BR4"/>
    </sheetView>
  </sheetViews>
  <sheetFormatPr baseColWidth="10" defaultRowHeight="20"/>
  <sheetData>
    <row r="4">
      <c r="C4" s="62" t="inlineStr">
        <is>
          <t>■ プライベートバンク ➡ UBM 積立式</t>
        </is>
      </c>
      <c r="D4" s="63" t="n"/>
      <c r="E4" s="63" t="n"/>
      <c r="F4" s="118" t="inlineStr">
        <is>
          <t>Y1_M1</t>
        </is>
      </c>
      <c r="G4" s="118" t="inlineStr">
        <is>
          <t>Y1_M2</t>
        </is>
      </c>
      <c r="H4" s="118" t="inlineStr">
        <is>
          <t>Y1_M3</t>
        </is>
      </c>
      <c r="I4" s="118" t="inlineStr">
        <is>
          <t>Y1_M4</t>
        </is>
      </c>
      <c r="J4" s="118" t="inlineStr">
        <is>
          <t>Y1_M5</t>
        </is>
      </c>
      <c r="K4" s="118" t="inlineStr">
        <is>
          <t>Y1_M6</t>
        </is>
      </c>
      <c r="L4" s="118" t="inlineStr">
        <is>
          <t>Y1_M7</t>
        </is>
      </c>
      <c r="M4" s="118" t="inlineStr">
        <is>
          <t>Y1_M8</t>
        </is>
      </c>
      <c r="N4" s="118" t="inlineStr">
        <is>
          <t>Y1_M9</t>
        </is>
      </c>
      <c r="O4" s="118" t="inlineStr">
        <is>
          <t>Y1_M10</t>
        </is>
      </c>
      <c r="P4" s="118" t="inlineStr">
        <is>
          <t>Y1_M11</t>
        </is>
      </c>
      <c r="Q4" s="118" t="inlineStr">
        <is>
          <t>Y1_M12</t>
        </is>
      </c>
      <c r="R4" s="118" t="inlineStr">
        <is>
          <t>Y2_M1</t>
        </is>
      </c>
      <c r="S4" s="118" t="inlineStr">
        <is>
          <t>Y2_M2</t>
        </is>
      </c>
      <c r="T4" s="118" t="inlineStr">
        <is>
          <t>Y2_M3</t>
        </is>
      </c>
      <c r="U4" s="118" t="inlineStr">
        <is>
          <t>Y2_M4</t>
        </is>
      </c>
      <c r="V4" s="118" t="inlineStr">
        <is>
          <t>Y2_M5</t>
        </is>
      </c>
      <c r="W4" s="118" t="inlineStr">
        <is>
          <t>Y2_M6</t>
        </is>
      </c>
      <c r="X4" s="118" t="inlineStr">
        <is>
          <t>Y2_M7</t>
        </is>
      </c>
      <c r="Y4" s="118" t="inlineStr">
        <is>
          <t>Y2_M8</t>
        </is>
      </c>
      <c r="Z4" s="118" t="inlineStr">
        <is>
          <t>Y2_M9</t>
        </is>
      </c>
      <c r="AA4" s="118" t="inlineStr">
        <is>
          <t>Y2_M10</t>
        </is>
      </c>
      <c r="AB4" s="118" t="inlineStr">
        <is>
          <t>Y2_M11</t>
        </is>
      </c>
      <c r="AC4" s="118" t="inlineStr">
        <is>
          <t>Y2_M12</t>
        </is>
      </c>
      <c r="AD4" s="118" t="inlineStr">
        <is>
          <t>Y3_M1</t>
        </is>
      </c>
      <c r="AE4" s="118" t="inlineStr">
        <is>
          <t>Y3_M2</t>
        </is>
      </c>
      <c r="AF4" s="118" t="inlineStr">
        <is>
          <t>Y3_M3</t>
        </is>
      </c>
      <c r="AG4" s="118" t="inlineStr">
        <is>
          <t>Y3_M4</t>
        </is>
      </c>
      <c r="AH4" s="118" t="inlineStr">
        <is>
          <t>Y3_M5</t>
        </is>
      </c>
      <c r="AI4" s="118" t="inlineStr">
        <is>
          <t>Y3_M6</t>
        </is>
      </c>
      <c r="AJ4" s="118" t="inlineStr">
        <is>
          <t>Y3_M7</t>
        </is>
      </c>
      <c r="AK4" s="118" t="inlineStr">
        <is>
          <t>Y3_M8</t>
        </is>
      </c>
      <c r="AL4" s="118" t="inlineStr">
        <is>
          <t>Y3_M9</t>
        </is>
      </c>
      <c r="AM4" s="118" t="inlineStr">
        <is>
          <t>Y3_M10</t>
        </is>
      </c>
      <c r="AN4" s="118" t="inlineStr">
        <is>
          <t>Y3_M11</t>
        </is>
      </c>
      <c r="AO4" s="118" t="inlineStr">
        <is>
          <t>Y3_M12</t>
        </is>
      </c>
      <c r="AP4" s="118" t="inlineStr">
        <is>
          <t>Y4_M1</t>
        </is>
      </c>
      <c r="AQ4" s="118" t="inlineStr">
        <is>
          <t>Y4_M2</t>
        </is>
      </c>
      <c r="AR4" s="118" t="inlineStr">
        <is>
          <t>Y4_M3</t>
        </is>
      </c>
      <c r="AS4" s="118" t="inlineStr">
        <is>
          <t>Y4_M4</t>
        </is>
      </c>
      <c r="AT4" s="118" t="inlineStr">
        <is>
          <t>Y4_M5</t>
        </is>
      </c>
      <c r="AU4" s="118" t="inlineStr">
        <is>
          <t>Y4_M6</t>
        </is>
      </c>
      <c r="AV4" s="118" t="inlineStr">
        <is>
          <t>Y4_M7</t>
        </is>
      </c>
      <c r="AW4" s="118" t="inlineStr">
        <is>
          <t>Y4_M8</t>
        </is>
      </c>
      <c r="AX4" s="118" t="inlineStr">
        <is>
          <t>Y4_M9</t>
        </is>
      </c>
      <c r="AY4" s="118" t="inlineStr">
        <is>
          <t>Y4_M10</t>
        </is>
      </c>
      <c r="AZ4" s="118" t="inlineStr">
        <is>
          <t>Y4_M11</t>
        </is>
      </c>
      <c r="BA4" s="118" t="inlineStr">
        <is>
          <t>Y4_M12</t>
        </is>
      </c>
      <c r="BB4" s="118" t="inlineStr">
        <is>
          <t>Y5_M1</t>
        </is>
      </c>
      <c r="BC4" s="118" t="inlineStr">
        <is>
          <t>Y5_M2</t>
        </is>
      </c>
      <c r="BD4" s="118" t="inlineStr">
        <is>
          <t>Y5_M3</t>
        </is>
      </c>
      <c r="BE4" s="118" t="inlineStr">
        <is>
          <t>Y5_M4</t>
        </is>
      </c>
      <c r="BF4" s="118" t="inlineStr">
        <is>
          <t>Y5_M5</t>
        </is>
      </c>
      <c r="BG4" s="118" t="inlineStr">
        <is>
          <t>Y5_M6</t>
        </is>
      </c>
      <c r="BH4" s="118" t="inlineStr">
        <is>
          <t>Y5_M7</t>
        </is>
      </c>
      <c r="BI4" s="118" t="inlineStr">
        <is>
          <t>Y5_M8</t>
        </is>
      </c>
      <c r="BJ4" s="118" t="inlineStr">
        <is>
          <t>Y5_M9</t>
        </is>
      </c>
      <c r="BK4" s="118" t="inlineStr">
        <is>
          <t>Y5_M10</t>
        </is>
      </c>
      <c r="BL4" s="118" t="inlineStr">
        <is>
          <t>Y5_M11</t>
        </is>
      </c>
      <c r="BM4" s="118" t="inlineStr">
        <is>
          <t>Y5_M12</t>
        </is>
      </c>
      <c r="BN4" s="10" t="inlineStr">
        <is>
          <t>Y1</t>
        </is>
      </c>
      <c r="BO4" s="10" t="inlineStr">
        <is>
          <t>Y2</t>
        </is>
      </c>
      <c r="BP4" s="10" t="inlineStr">
        <is>
          <t>Y3</t>
        </is>
      </c>
      <c r="BQ4" s="10" t="inlineStr">
        <is>
          <t>Y4</t>
        </is>
      </c>
      <c r="BR4" s="10" t="inlineStr">
        <is>
          <t>Y5</t>
        </is>
      </c>
    </row>
    <row r="5">
      <c r="C5" s="62" t="inlineStr">
        <is>
          <t>売上</t>
        </is>
      </c>
      <c r="D5" s="63" t="n"/>
      <c r="E5" s="63" t="n"/>
      <c r="F5" s="180">
        <f>F22*F11/12</f>
        <v>0.0</v>
      </c>
      <c r="G5" s="180">
        <f>G22*G11/12</f>
        <v>151.2</v>
      </c>
      <c r="H5" s="180">
        <f>H22*H11/12</f>
        <v>828.576</v>
      </c>
      <c r="I5" s="180">
        <f>I22*I11/12</f>
        <v>1492.40448</v>
      </c>
      <c r="J5" s="180">
        <f>J22*J11/12</f>
        <v>2067.3563904</v>
      </c>
      <c r="K5" s="180">
        <f>K22*K11/12</f>
        <v>2782.009262592</v>
      </c>
      <c r="L5" s="180">
        <f>L22*L11/12</f>
        <v>3482.36907734016</v>
      </c>
      <c r="M5" s="180">
        <f>M22*M11/12</f>
        <v>4168.72169579336</v>
      </c>
      <c r="N5" s="180">
        <f>N22*N11/12</f>
        <v>4992.54726187749</v>
      </c>
      <c r="O5" s="180">
        <f>O22*O11/12</f>
        <v>5724.29631663994</v>
      </c>
      <c r="P5" s="180">
        <f>P22*P11/12</f>
        <v>6441.41039030714</v>
      </c>
      <c r="Q5" s="180">
        <f>Q22*Q11/12</f>
        <v>7295.382182501</v>
      </c>
      <c r="R5" s="180">
        <f>R22*R11/12</f>
        <v>8056.67453885098</v>
      </c>
      <c r="S5" s="180">
        <f>S22*S11/12</f>
        <v>8802.74104807396</v>
      </c>
      <c r="T5" s="180">
        <f>T22*T11/12</f>
        <v>9685.08622711248</v>
      </c>
      <c r="U5" s="180">
        <f>U22*U11/12</f>
        <v>10474.1845025702</v>
      </c>
      <c r="V5" s="180">
        <f>V22*V11/12</f>
        <v>11247.5008125188</v>
      </c>
      <c r="W5" s="180">
        <f>W22*W11/12</f>
        <v>12156.5507962685</v>
      </c>
      <c r="X5" s="180">
        <f>X22*X11/12</f>
        <v>12971.8197803431</v>
      </c>
      <c r="Y5" s="180">
        <f>Y22*Y11/12</f>
        <v>13770.7833847362</v>
      </c>
      <c r="Z5" s="180">
        <f>Z22*Z11/12</f>
        <v>14704.9677170415</v>
      </c>
      <c r="AA5" s="180">
        <f>AA22*AA11/12</f>
        <v>15544.8683627007</v>
      </c>
      <c r="AB5" s="180">
        <f>AB22*AB11/12</f>
        <v>16367.9709954467</v>
      </c>
      <c r="AC5" s="180">
        <f>AC22*AC11/12</f>
        <v>17250.2115755377</v>
      </c>
      <c r="AD5" s="180">
        <f>AD22*AD11/12</f>
        <v>18309.1328729658</v>
      </c>
      <c r="AE5" s="180">
        <f>AE22*AE11/12</f>
        <v>19273.9230476889</v>
      </c>
      <c r="AF5" s="180">
        <f>AF22*AF11/12</f>
        <v>20373.0293943543</v>
      </c>
      <c r="AG5" s="180">
        <f>AG22*AG11/12</f>
        <v>21377.3013799532</v>
      </c>
      <c r="AH5" s="180">
        <f>AH22*AH11/12</f>
        <v>22439.598605804</v>
      </c>
      <c r="AI5" s="180">
        <f>AI22*AI11/12</f>
        <v>23483.3056302024</v>
      </c>
      <c r="AJ5" s="180">
        <f>AJ22*AJ11/12</f>
        <v>24584.3477816739</v>
      </c>
      <c r="AK5" s="180">
        <f>AK22*AK11/12</f>
        <v>25590.5216954946</v>
      </c>
      <c r="AL5" s="180">
        <f>AL22*AL11/12</f>
        <v>26730.2875658234</v>
      </c>
      <c r="AM5" s="180">
        <f>AM22*AM11/12</f>
        <v>27774.5075334215</v>
      </c>
      <c r="AN5" s="180">
        <f>AN22*AN11/12</f>
        <v>28800.4536515866</v>
      </c>
      <c r="AO5" s="180">
        <f>AO22*AO11/12</f>
        <v>29959.6457126839</v>
      </c>
      <c r="AP5" s="180">
        <f>AP22*AP11/12</f>
        <v>31022.9519127119</v>
      </c>
      <c r="AQ5" s="180">
        <f>AQ22*AQ11/12</f>
        <v>32067.6502542394</v>
      </c>
      <c r="AR5" s="180">
        <f>AR22*AR11/12</f>
        <v>33169.6663747902</v>
      </c>
      <c r="AS5" s="180">
        <f>AS22*AS11/12</f>
        <v>34252.3972132314</v>
      </c>
      <c r="AT5" s="180">
        <f>AT22*AT11/12</f>
        <v>35316.1802619999</v>
      </c>
      <c r="AU5" s="180">
        <f>AU22*AU11/12</f>
        <v>36436.9471074149</v>
      </c>
      <c r="AV5" s="180">
        <f>AV22*AV11/12</f>
        <v>37538.1005330351</v>
      </c>
      <c r="AW5" s="180">
        <f>AW22*AW11/12</f>
        <v>38619.983773707</v>
      </c>
      <c r="AX5" s="180">
        <f>AX22*AX11/12</f>
        <v>39758.5340576671</v>
      </c>
      <c r="AY5" s="180">
        <f>AY22*AY11/12</f>
        <v>40801.559711658</v>
      </c>
      <c r="AZ5" s="180">
        <f>AZ22*AZ11/12</f>
        <v>41901.9324167039</v>
      </c>
      <c r="BA5" s="180">
        <f>BA22*BA11/12</f>
        <v>42983.0485994116</v>
      </c>
      <c r="BB5" s="180">
        <f>BB22*BB11/12</f>
        <v>44530.7028704204</v>
      </c>
      <c r="BC5" s="180">
        <f>BC22*BC11/12</f>
        <v>45979.5423273641</v>
      </c>
      <c r="BD5" s="180">
        <f>BD22*BD11/12</f>
        <v>47482.2491924537</v>
      </c>
      <c r="BE5" s="180">
        <f>BE22*BE11/12</f>
        <v>48962.4154545669</v>
      </c>
      <c r="BF5" s="180">
        <f>BF22*BF11/12</f>
        <v>50420.3792227484</v>
      </c>
      <c r="BG5" s="180">
        <f>BG22*BG11/12</f>
        <v>52007.6735344071</v>
      </c>
      <c r="BH5" s="180">
        <f>BH22*BH11/12</f>
        <v>53495.558431391</v>
      </c>
      <c r="BI5" s="180">
        <f>BI22*BI11/12</f>
        <v>54961.1250549202</v>
      </c>
      <c r="BJ5" s="180">
        <f>BJ22*BJ11/12</f>
        <v>56480.3081790964</v>
      </c>
      <c r="BK5" s="180">
        <f>BK22*BK11/12</f>
        <v>57976.7035564099</v>
      </c>
      <c r="BL5" s="180">
        <f>BL22*BL11/12</f>
        <v>59450.6530030638</v>
      </c>
      <c r="BM5" s="180">
        <f>BM22*BM11/12</f>
        <v>60978.0932080178</v>
      </c>
      <c r="BN5" s="181">
        <f>SUM(F5:Q5)</f>
        <v>39426.2730574511</v>
      </c>
      <c r="BO5" s="180">
        <f>SUM(R5:AC5)</f>
        <v>151033.359741201</v>
      </c>
      <c r="BP5" s="180">
        <f>SUM(AD5:AO5)</f>
        <v>288696.054871652</v>
      </c>
      <c r="BQ5" s="180">
        <f>SUM(AP5:BA5)</f>
        <v>443868.95221657</v>
      </c>
      <c r="BR5" s="180">
        <f>SUM(BB5:BM5)</f>
        <v>632725.40403486</v>
      </c>
    </row>
    <row r="6">
      <c r="C6" s="66" t="inlineStr">
        <is>
          <t>顧問先</t>
        </is>
      </c>
      <c r="D6" s="67" t="n"/>
      <c r="E6" s="67" t="n"/>
      <c r="F6" s="68">
        <f>35*F15</f>
        <v>0.0</v>
      </c>
      <c r="G6" s="68">
        <f>35*G15</f>
        <v>70.0</v>
      </c>
      <c r="H6" s="68">
        <f>35*H15</f>
        <v>385.0</v>
      </c>
      <c r="I6" s="68">
        <f>35*I15</f>
        <v>700.0</v>
      </c>
      <c r="J6" s="68">
        <f>35*J15</f>
        <v>980.0</v>
      </c>
      <c r="K6" s="68">
        <f>35*K15</f>
        <v>1330.0</v>
      </c>
      <c r="L6" s="68">
        <f>35*L15</f>
        <v>1680.0</v>
      </c>
      <c r="M6" s="68">
        <f>35*M15</f>
        <v>2030.0</v>
      </c>
      <c r="N6" s="68">
        <f>35*N15</f>
        <v>2450.0</v>
      </c>
      <c r="O6" s="68">
        <f>35*O15</f>
        <v>2835.0</v>
      </c>
      <c r="P6" s="68">
        <f>35*P15</f>
        <v>3220.0</v>
      </c>
      <c r="Q6" s="68">
        <f>35*Q15</f>
        <v>3675.0</v>
      </c>
      <c r="R6" s="68">
        <f>35*R15</f>
        <v>4095.0</v>
      </c>
      <c r="S6" s="68">
        <f>35*S15</f>
        <v>4515.0</v>
      </c>
      <c r="T6" s="68">
        <f>35*T15</f>
        <v>5005.0</v>
      </c>
      <c r="U6" s="68">
        <f>35*U15</f>
        <v>5460.0</v>
      </c>
      <c r="V6" s="68">
        <f>35*V15</f>
        <v>5915.0</v>
      </c>
      <c r="W6" s="68">
        <f>35*W15</f>
        <v>6440.0</v>
      </c>
      <c r="X6" s="68">
        <f>35*X15</f>
        <v>6930.0</v>
      </c>
      <c r="Y6" s="68">
        <f>35*Y15</f>
        <v>7420.0</v>
      </c>
      <c r="Z6" s="68">
        <f>35*Z15</f>
        <v>7980.0</v>
      </c>
      <c r="AA6" s="68">
        <f>35*AA15</f>
        <v>8505.0</v>
      </c>
      <c r="AB6" s="68">
        <f>35*AB15</f>
        <v>9030.0</v>
      </c>
      <c r="AC6" s="68">
        <f>35*AC15</f>
        <v>9590.0</v>
      </c>
      <c r="AD6" s="68">
        <f>35*AD15</f>
        <v>10220.0</v>
      </c>
      <c r="AE6" s="68">
        <f>35*AE15</f>
        <v>10815.0</v>
      </c>
      <c r="AF6" s="68">
        <f>35*AF15</f>
        <v>11480.0</v>
      </c>
      <c r="AG6" s="68">
        <f>35*AG15</f>
        <v>12110.0</v>
      </c>
      <c r="AH6" s="68">
        <f>35*AH15</f>
        <v>12775.0</v>
      </c>
      <c r="AI6" s="68">
        <f>35*AI15</f>
        <v>13440.0</v>
      </c>
      <c r="AJ6" s="68">
        <f>35*AJ15</f>
        <v>14140.0</v>
      </c>
      <c r="AK6" s="68">
        <f>35*AK15</f>
        <v>14805.0</v>
      </c>
      <c r="AL6" s="68">
        <f>35*AL15</f>
        <v>15540.0</v>
      </c>
      <c r="AM6" s="68">
        <f>35*AM15</f>
        <v>16240.0</v>
      </c>
      <c r="AN6" s="68">
        <f>35*AN15</f>
        <v>16940.0</v>
      </c>
      <c r="AO6" s="68">
        <f>35*AO15</f>
        <v>17710.0</v>
      </c>
      <c r="AP6" s="68">
        <f>35*AP15</f>
        <v>18445.0</v>
      </c>
      <c r="AQ6" s="68">
        <f>35*AQ15</f>
        <v>19180.0</v>
      </c>
      <c r="AR6" s="68">
        <f>35*AR15</f>
        <v>19950.0</v>
      </c>
      <c r="AS6" s="68">
        <f>35*AS15</f>
        <v>20720.0</v>
      </c>
      <c r="AT6" s="68">
        <f>35*AT15</f>
        <v>21490.0</v>
      </c>
      <c r="AU6" s="68">
        <f>35*AU15</f>
        <v>22295.0</v>
      </c>
      <c r="AV6" s="68">
        <f>35*AV15</f>
        <v>23100.0</v>
      </c>
      <c r="AW6" s="68">
        <f>35*AW15</f>
        <v>23905.0</v>
      </c>
      <c r="AX6" s="68">
        <f>35*AX15</f>
        <v>24745.0</v>
      </c>
      <c r="AY6" s="68">
        <f>35*AY15</f>
        <v>25550.0</v>
      </c>
      <c r="AZ6" s="68">
        <f>35*AZ15</f>
        <v>26390.0</v>
      </c>
      <c r="BA6" s="68">
        <f>35*BA15</f>
        <v>27230.0</v>
      </c>
      <c r="BB6" s="68">
        <f>35*BB15</f>
        <v>28245.0</v>
      </c>
      <c r="BC6" s="68">
        <f>35*BC15</f>
        <v>29225.0</v>
      </c>
      <c r="BD6" s="68">
        <f>35*BD15</f>
        <v>30240.0</v>
      </c>
      <c r="BE6" s="68">
        <f>35*BE15</f>
        <v>31255.0</v>
      </c>
      <c r="BF6" s="68">
        <f>35*BF15</f>
        <v>32270.0</v>
      </c>
      <c r="BG6" s="68">
        <f>35*BG15</f>
        <v>33355.0</v>
      </c>
      <c r="BH6" s="68">
        <f>35*BH15</f>
        <v>34405.0</v>
      </c>
      <c r="BI6" s="68">
        <f>35*BI15</f>
        <v>35455.0</v>
      </c>
      <c r="BJ6" s="68">
        <f>35*BJ15</f>
        <v>36540.0</v>
      </c>
      <c r="BK6" s="68">
        <f>35*BK15</f>
        <v>37625.0</v>
      </c>
      <c r="BL6" s="68">
        <f>35*BL15</f>
        <v>38710.0</v>
      </c>
      <c r="BM6" s="68">
        <f>35*BM15</f>
        <v>39830.0</v>
      </c>
      <c r="BN6" s="69">
        <f>35*BN15</f>
        <v>3675.0</v>
      </c>
      <c r="BO6" s="68">
        <f>35*BO15</f>
        <v>9590.0</v>
      </c>
      <c r="BP6" s="68">
        <f>35*BP15</f>
        <v>17710.0</v>
      </c>
      <c r="BQ6" s="68">
        <f>35*BQ15</f>
        <v>27230.0</v>
      </c>
      <c r="BR6" s="68">
        <f>35*BR15</f>
        <v>39830.0</v>
      </c>
    </row>
    <row r="7">
      <c r="C7" s="70" t="inlineStr">
        <is>
          <t>月20万円積立可能（役員報酬1,500万円以上）</t>
        </is>
      </c>
      <c r="D7" s="67" t="n"/>
      <c r="E7" s="67" t="n"/>
      <c r="F7" s="182" t="n">
        <v>0.2</v>
      </c>
      <c r="G7" s="182" t="n">
        <v>0.2</v>
      </c>
      <c r="H7" s="182" t="n">
        <v>0.2</v>
      </c>
      <c r="I7" s="182" t="n">
        <v>0.2</v>
      </c>
      <c r="J7" s="182" t="n">
        <v>0.2</v>
      </c>
      <c r="K7" s="182" t="n">
        <v>0.2</v>
      </c>
      <c r="L7" s="182" t="n">
        <v>0.2</v>
      </c>
      <c r="M7" s="182" t="n">
        <v>0.2</v>
      </c>
      <c r="N7" s="182" t="n">
        <v>0.2</v>
      </c>
      <c r="O7" s="182" t="n">
        <v>0.2</v>
      </c>
      <c r="P7" s="182" t="n">
        <v>0.2</v>
      </c>
      <c r="Q7" s="182" t="n">
        <v>0.2</v>
      </c>
      <c r="R7" s="182" t="n">
        <v>0.2</v>
      </c>
      <c r="S7" s="182" t="n">
        <v>0.2</v>
      </c>
      <c r="T7" s="182" t="n">
        <v>0.2</v>
      </c>
      <c r="U7" s="182" t="n">
        <v>0.2</v>
      </c>
      <c r="V7" s="182" t="n">
        <v>0.2</v>
      </c>
      <c r="W7" s="182" t="n">
        <v>0.2</v>
      </c>
      <c r="X7" s="182" t="n">
        <v>0.2</v>
      </c>
      <c r="Y7" s="182" t="n">
        <v>0.2</v>
      </c>
      <c r="Z7" s="182" t="n">
        <v>0.2</v>
      </c>
      <c r="AA7" s="182" t="n">
        <v>0.2</v>
      </c>
      <c r="AB7" s="182" t="n">
        <v>0.2</v>
      </c>
      <c r="AC7" s="182" t="n">
        <v>0.2</v>
      </c>
      <c r="AD7" s="182" t="n">
        <v>0.2</v>
      </c>
      <c r="AE7" s="182" t="n">
        <v>0.2</v>
      </c>
      <c r="AF7" s="182" t="n">
        <v>0.2</v>
      </c>
      <c r="AG7" s="182" t="n">
        <v>0.2</v>
      </c>
      <c r="AH7" s="182" t="n">
        <v>0.2</v>
      </c>
      <c r="AI7" s="182" t="n">
        <v>0.2</v>
      </c>
      <c r="AJ7" s="182" t="n">
        <v>0.2</v>
      </c>
      <c r="AK7" s="182" t="n">
        <v>0.2</v>
      </c>
      <c r="AL7" s="182" t="n">
        <v>0.2</v>
      </c>
      <c r="AM7" s="182" t="n">
        <v>0.2</v>
      </c>
      <c r="AN7" s="182" t="n">
        <v>0.2</v>
      </c>
      <c r="AO7" s="182" t="n">
        <v>0.2</v>
      </c>
      <c r="AP7" s="182" t="n">
        <v>0.2</v>
      </c>
      <c r="AQ7" s="182" t="n">
        <v>0.2</v>
      </c>
      <c r="AR7" s="182" t="n">
        <v>0.2</v>
      </c>
      <c r="AS7" s="182" t="n">
        <v>0.2</v>
      </c>
      <c r="AT7" s="182" t="n">
        <v>0.2</v>
      </c>
      <c r="AU7" s="182" t="n">
        <v>0.2</v>
      </c>
      <c r="AV7" s="182" t="n">
        <v>0.2</v>
      </c>
      <c r="AW7" s="182" t="n">
        <v>0.2</v>
      </c>
      <c r="AX7" s="182" t="n">
        <v>0.2</v>
      </c>
      <c r="AY7" s="182" t="n">
        <v>0.2</v>
      </c>
      <c r="AZ7" s="182" t="n">
        <v>0.2</v>
      </c>
      <c r="BA7" s="182" t="n">
        <v>0.2</v>
      </c>
      <c r="BB7" s="182" t="n">
        <v>0.2</v>
      </c>
      <c r="BC7" s="182" t="n">
        <v>0.2</v>
      </c>
      <c r="BD7" s="182" t="n">
        <v>0.2</v>
      </c>
      <c r="BE7" s="182" t="n">
        <v>0.2</v>
      </c>
      <c r="BF7" s="182" t="n">
        <v>0.2</v>
      </c>
      <c r="BG7" s="182" t="n">
        <v>0.2</v>
      </c>
      <c r="BH7" s="182" t="n">
        <v>0.2</v>
      </c>
      <c r="BI7" s="182" t="n">
        <v>0.2</v>
      </c>
      <c r="BJ7" s="182" t="n">
        <v>0.2</v>
      </c>
      <c r="BK7" s="182" t="n">
        <v>0.2</v>
      </c>
      <c r="BL7" s="182" t="n">
        <v>0.2</v>
      </c>
      <c r="BM7" s="182" t="n">
        <v>0.2</v>
      </c>
      <c r="BN7" s="183" t="n">
        <v>0.2</v>
      </c>
      <c r="BO7" s="182" t="n">
        <v>0.2</v>
      </c>
      <c r="BP7" s="182" t="n">
        <v>0.2</v>
      </c>
      <c r="BQ7" s="182" t="n">
        <v>0.2</v>
      </c>
      <c r="BR7" s="182" t="n">
        <v>0.2</v>
      </c>
    </row>
    <row r="8">
      <c r="C8" s="70" t="inlineStr">
        <is>
          <t>税理士 ➡ 企業提案</t>
        </is>
      </c>
      <c r="D8" s="67" t="n"/>
      <c r="E8" s="67" t="n"/>
      <c r="F8" s="182" t="n">
        <v>0.3</v>
      </c>
      <c r="G8" s="182" t="n">
        <v>0.3</v>
      </c>
      <c r="H8" s="182" t="n">
        <v>0.3</v>
      </c>
      <c r="I8" s="182" t="n">
        <v>0.3</v>
      </c>
      <c r="J8" s="182" t="n">
        <v>0.3</v>
      </c>
      <c r="K8" s="182" t="n">
        <v>0.3</v>
      </c>
      <c r="L8" s="182" t="n">
        <v>0.3</v>
      </c>
      <c r="M8" s="182" t="n">
        <v>0.3</v>
      </c>
      <c r="N8" s="182" t="n">
        <v>0.3</v>
      </c>
      <c r="O8" s="182" t="n">
        <v>0.3</v>
      </c>
      <c r="P8" s="182" t="n">
        <v>0.3</v>
      </c>
      <c r="Q8" s="182" t="n">
        <v>0.3</v>
      </c>
      <c r="R8" s="182" t="n">
        <v>0.3</v>
      </c>
      <c r="S8" s="182" t="n">
        <v>0.3</v>
      </c>
      <c r="T8" s="182" t="n">
        <v>0.3</v>
      </c>
      <c r="U8" s="182" t="n">
        <v>0.3</v>
      </c>
      <c r="V8" s="182" t="n">
        <v>0.3</v>
      </c>
      <c r="W8" s="182" t="n">
        <v>0.3</v>
      </c>
      <c r="X8" s="182" t="n">
        <v>0.3</v>
      </c>
      <c r="Y8" s="182" t="n">
        <v>0.3</v>
      </c>
      <c r="Z8" s="182" t="n">
        <v>0.3</v>
      </c>
      <c r="AA8" s="182" t="n">
        <v>0.3</v>
      </c>
      <c r="AB8" s="182" t="n">
        <v>0.3</v>
      </c>
      <c r="AC8" s="182" t="n">
        <v>0.3</v>
      </c>
      <c r="AD8" s="182" t="n">
        <v>0.3</v>
      </c>
      <c r="AE8" s="182" t="n">
        <v>0.3</v>
      </c>
      <c r="AF8" s="182" t="n">
        <v>0.3</v>
      </c>
      <c r="AG8" s="182" t="n">
        <v>0.3</v>
      </c>
      <c r="AH8" s="182" t="n">
        <v>0.3</v>
      </c>
      <c r="AI8" s="182" t="n">
        <v>0.3</v>
      </c>
      <c r="AJ8" s="182" t="n">
        <v>0.3</v>
      </c>
      <c r="AK8" s="182" t="n">
        <v>0.3</v>
      </c>
      <c r="AL8" s="182" t="n">
        <v>0.3</v>
      </c>
      <c r="AM8" s="182" t="n">
        <v>0.3</v>
      </c>
      <c r="AN8" s="182" t="n">
        <v>0.3</v>
      </c>
      <c r="AO8" s="182" t="n">
        <v>0.3</v>
      </c>
      <c r="AP8" s="182" t="n">
        <v>0.3</v>
      </c>
      <c r="AQ8" s="182" t="n">
        <v>0.3</v>
      </c>
      <c r="AR8" s="182" t="n">
        <v>0.3</v>
      </c>
      <c r="AS8" s="182" t="n">
        <v>0.3</v>
      </c>
      <c r="AT8" s="182" t="n">
        <v>0.3</v>
      </c>
      <c r="AU8" s="182" t="n">
        <v>0.3</v>
      </c>
      <c r="AV8" s="182" t="n">
        <v>0.3</v>
      </c>
      <c r="AW8" s="182" t="n">
        <v>0.3</v>
      </c>
      <c r="AX8" s="182" t="n">
        <v>0.3</v>
      </c>
      <c r="AY8" s="182" t="n">
        <v>0.3</v>
      </c>
      <c r="AZ8" s="182" t="n">
        <v>0.3</v>
      </c>
      <c r="BA8" s="182" t="n">
        <v>0.3</v>
      </c>
      <c r="BB8" s="182" t="n">
        <v>0.3</v>
      </c>
      <c r="BC8" s="182" t="n">
        <v>0.3</v>
      </c>
      <c r="BD8" s="182" t="n">
        <v>0.3</v>
      </c>
      <c r="BE8" s="182" t="n">
        <v>0.3</v>
      </c>
      <c r="BF8" s="182" t="n">
        <v>0.3</v>
      </c>
      <c r="BG8" s="182" t="n">
        <v>0.3</v>
      </c>
      <c r="BH8" s="182" t="n">
        <v>0.3</v>
      </c>
      <c r="BI8" s="182" t="n">
        <v>0.3</v>
      </c>
      <c r="BJ8" s="182" t="n">
        <v>0.3</v>
      </c>
      <c r="BK8" s="182" t="n">
        <v>0.3</v>
      </c>
      <c r="BL8" s="182" t="n">
        <v>0.3</v>
      </c>
      <c r="BM8" s="182" t="n">
        <v>0.3</v>
      </c>
      <c r="BN8" s="183" t="n">
        <v>0.3</v>
      </c>
      <c r="BO8" s="182" t="n">
        <v>0.3</v>
      </c>
      <c r="BP8" s="182" t="n">
        <v>0.3</v>
      </c>
      <c r="BQ8" s="182" t="n">
        <v>0.3</v>
      </c>
      <c r="BR8" s="182" t="n">
        <v>0.3</v>
      </c>
    </row>
    <row r="9">
      <c r="C9" s="70" t="inlineStr">
        <is>
          <t>受注率</t>
        </is>
      </c>
      <c r="D9" s="67" t="n"/>
      <c r="E9" s="67" t="n"/>
      <c r="F9" s="184" t="n">
        <v>0.2</v>
      </c>
      <c r="G9" s="184" t="n">
        <v>0.2</v>
      </c>
      <c r="H9" s="184" t="n">
        <v>0.2</v>
      </c>
      <c r="I9" s="184" t="n">
        <v>0.2</v>
      </c>
      <c r="J9" s="184" t="n">
        <v>0.2</v>
      </c>
      <c r="K9" s="184" t="n">
        <v>0.2</v>
      </c>
      <c r="L9" s="184" t="n">
        <v>0.2</v>
      </c>
      <c r="M9" s="184" t="n">
        <v>0.2</v>
      </c>
      <c r="N9" s="184" t="n">
        <v>0.2</v>
      </c>
      <c r="O9" s="184" t="n">
        <v>0.2</v>
      </c>
      <c r="P9" s="184" t="n">
        <v>0.2</v>
      </c>
      <c r="Q9" s="184" t="n">
        <v>0.2</v>
      </c>
      <c r="R9" s="184" t="n">
        <v>0.2</v>
      </c>
      <c r="S9" s="184" t="n">
        <v>0.2</v>
      </c>
      <c r="T9" s="184" t="n">
        <v>0.2</v>
      </c>
      <c r="U9" s="184" t="n">
        <v>0.2</v>
      </c>
      <c r="V9" s="184" t="n">
        <v>0.2</v>
      </c>
      <c r="W9" s="184" t="n">
        <v>0.2</v>
      </c>
      <c r="X9" s="184" t="n">
        <v>0.2</v>
      </c>
      <c r="Y9" s="184" t="n">
        <v>0.2</v>
      </c>
      <c r="Z9" s="184" t="n">
        <v>0.2</v>
      </c>
      <c r="AA9" s="184" t="n">
        <v>0.2</v>
      </c>
      <c r="AB9" s="184" t="n">
        <v>0.2</v>
      </c>
      <c r="AC9" s="184" t="n">
        <v>0.2</v>
      </c>
      <c r="AD9" s="184" t="n">
        <v>0.2</v>
      </c>
      <c r="AE9" s="184" t="n">
        <v>0.2</v>
      </c>
      <c r="AF9" s="184" t="n">
        <v>0.2</v>
      </c>
      <c r="AG9" s="184" t="n">
        <v>0.2</v>
      </c>
      <c r="AH9" s="184" t="n">
        <v>0.2</v>
      </c>
      <c r="AI9" s="184" t="n">
        <v>0.2</v>
      </c>
      <c r="AJ9" s="184" t="n">
        <v>0.2</v>
      </c>
      <c r="AK9" s="184" t="n">
        <v>0.2</v>
      </c>
      <c r="AL9" s="184" t="n">
        <v>0.2</v>
      </c>
      <c r="AM9" s="184" t="n">
        <v>0.2</v>
      </c>
      <c r="AN9" s="184" t="n">
        <v>0.2</v>
      </c>
      <c r="AO9" s="184" t="n">
        <v>0.2</v>
      </c>
      <c r="AP9" s="184" t="n">
        <v>0.2</v>
      </c>
      <c r="AQ9" s="184" t="n">
        <v>0.2</v>
      </c>
      <c r="AR9" s="184" t="n">
        <v>0.2</v>
      </c>
      <c r="AS9" s="184" t="n">
        <v>0.2</v>
      </c>
      <c r="AT9" s="184" t="n">
        <v>0.2</v>
      </c>
      <c r="AU9" s="184" t="n">
        <v>0.2</v>
      </c>
      <c r="AV9" s="184" t="n">
        <v>0.2</v>
      </c>
      <c r="AW9" s="184" t="n">
        <v>0.2</v>
      </c>
      <c r="AX9" s="184" t="n">
        <v>0.2</v>
      </c>
      <c r="AY9" s="184" t="n">
        <v>0.2</v>
      </c>
      <c r="AZ9" s="184" t="n">
        <v>0.2</v>
      </c>
      <c r="BA9" s="184" t="n">
        <v>0.2</v>
      </c>
      <c r="BB9" s="184" t="n">
        <v>0.2</v>
      </c>
      <c r="BC9" s="184" t="n">
        <v>0.2</v>
      </c>
      <c r="BD9" s="184" t="n">
        <v>0.2</v>
      </c>
      <c r="BE9" s="184" t="n">
        <v>0.2</v>
      </c>
      <c r="BF9" s="184" t="n">
        <v>0.2</v>
      </c>
      <c r="BG9" s="184" t="n">
        <v>0.2</v>
      </c>
      <c r="BH9" s="184" t="n">
        <v>0.2</v>
      </c>
      <c r="BI9" s="184" t="n">
        <v>0.2</v>
      </c>
      <c r="BJ9" s="184" t="n">
        <v>0.2</v>
      </c>
      <c r="BK9" s="184" t="n">
        <v>0.2</v>
      </c>
      <c r="BL9" s="184" t="n">
        <v>0.2</v>
      </c>
      <c r="BM9" s="184" t="n">
        <v>0.2</v>
      </c>
      <c r="BN9" s="185" t="n">
        <v>0.2</v>
      </c>
      <c r="BO9" s="184" t="n">
        <v>0.2</v>
      </c>
      <c r="BP9" s="184" t="n">
        <v>0.2</v>
      </c>
      <c r="BQ9" s="184" t="n">
        <v>0.2</v>
      </c>
      <c r="BR9" s="184" t="n">
        <v>0.2</v>
      </c>
    </row>
    <row r="10" s="159">
      <c r="C10" s="70" t="inlineStr">
        <is>
          <t>１税理士 / 受注数（累計獲得数・解約前）</t>
        </is>
      </c>
      <c r="D10" s="67" t="n"/>
      <c r="E10" s="67" t="n"/>
      <c r="F10" s="186">
        <f>PRODUCT(F6:F9)</f>
        <v>0.0</v>
      </c>
      <c r="G10" s="186">
        <f>PRODUCT(G6:G9)</f>
        <v>0.84</v>
      </c>
      <c r="H10" s="186">
        <f>PRODUCT(H6:H9)</f>
        <v>4.62</v>
      </c>
      <c r="I10" s="186">
        <f>PRODUCT(I6:I9)</f>
        <v>8.4</v>
      </c>
      <c r="J10" s="186">
        <f>PRODUCT(J6:J9)</f>
        <v>11.76</v>
      </c>
      <c r="K10" s="186">
        <f>PRODUCT(K6:K9)</f>
        <v>15.96</v>
      </c>
      <c r="L10" s="186">
        <f>PRODUCT(L6:L9)</f>
        <v>20.16</v>
      </c>
      <c r="M10" s="186">
        <f>PRODUCT(M6:M9)</f>
        <v>24.36</v>
      </c>
      <c r="N10" s="186">
        <f>PRODUCT(N6:N9)</f>
        <v>29.4</v>
      </c>
      <c r="O10" s="186">
        <f>PRODUCT(O6:O9)</f>
        <v>34.02</v>
      </c>
      <c r="P10" s="186">
        <f>PRODUCT(P6:P9)</f>
        <v>38.64</v>
      </c>
      <c r="Q10" s="186">
        <f>PRODUCT(Q6:Q9)</f>
        <v>44.1</v>
      </c>
      <c r="R10" s="186">
        <f>PRODUCT(R6:R9)</f>
        <v>49.14</v>
      </c>
      <c r="S10" s="186">
        <f>PRODUCT(S6:S9)</f>
        <v>54.18</v>
      </c>
      <c r="T10" s="186">
        <f>PRODUCT(T6:T9)</f>
        <v>60.06</v>
      </c>
      <c r="U10" s="186">
        <f>PRODUCT(U6:U9)</f>
        <v>65.52</v>
      </c>
      <c r="V10" s="186">
        <f>PRODUCT(V6:V9)</f>
        <v>70.98</v>
      </c>
      <c r="W10" s="186">
        <f>PRODUCT(W6:W9)</f>
        <v>77.28</v>
      </c>
      <c r="X10" s="186">
        <f>PRODUCT(X6:X9)</f>
        <v>83.16</v>
      </c>
      <c r="Y10" s="186">
        <f>PRODUCT(Y6:Y9)</f>
        <v>89.04</v>
      </c>
      <c r="Z10" s="186">
        <f>PRODUCT(Z6:Z9)</f>
        <v>95.76</v>
      </c>
      <c r="AA10" s="186">
        <f>PRODUCT(AA6:AA9)</f>
        <v>102.06</v>
      </c>
      <c r="AB10" s="186">
        <f>PRODUCT(AB6:AB9)</f>
        <v>108.36</v>
      </c>
      <c r="AC10" s="186">
        <f>PRODUCT(AC6:AC9)</f>
        <v>115.08</v>
      </c>
      <c r="AD10" s="186">
        <f>PRODUCT(AD6:AD9)</f>
        <v>122.64</v>
      </c>
      <c r="AE10" s="186">
        <f>PRODUCT(AE6:AE9)</f>
        <v>129.78</v>
      </c>
      <c r="AF10" s="186">
        <f>PRODUCT(AF6:AF9)</f>
        <v>137.76</v>
      </c>
      <c r="AG10" s="186">
        <f>PRODUCT(AG6:AG9)</f>
        <v>145.32</v>
      </c>
      <c r="AH10" s="186">
        <f>PRODUCT(AH6:AH9)</f>
        <v>153.3</v>
      </c>
      <c r="AI10" s="186">
        <f>PRODUCT(AI6:AI9)</f>
        <v>161.28</v>
      </c>
      <c r="AJ10" s="186">
        <f>PRODUCT(AJ6:AJ9)</f>
        <v>169.68</v>
      </c>
      <c r="AK10" s="186">
        <f>PRODUCT(AK6:AK9)</f>
        <v>177.66</v>
      </c>
      <c r="AL10" s="186">
        <f>PRODUCT(AL6:AL9)</f>
        <v>186.48</v>
      </c>
      <c r="AM10" s="186">
        <f>PRODUCT(AM6:AM9)</f>
        <v>194.88</v>
      </c>
      <c r="AN10" s="186">
        <f>PRODUCT(AN6:AN9)</f>
        <v>203.28</v>
      </c>
      <c r="AO10" s="186">
        <f>PRODUCT(AO6:AO9)</f>
        <v>212.52</v>
      </c>
      <c r="AP10" s="186">
        <f>PRODUCT(AP6:AP9)</f>
        <v>221.34</v>
      </c>
      <c r="AQ10" s="186">
        <f>PRODUCT(AQ6:AQ9)</f>
        <v>230.16</v>
      </c>
      <c r="AR10" s="186">
        <f>PRODUCT(AR6:AR9)</f>
        <v>239.4</v>
      </c>
      <c r="AS10" s="186">
        <f>PRODUCT(AS6:AS9)</f>
        <v>248.64</v>
      </c>
      <c r="AT10" s="186">
        <f>PRODUCT(AT6:AT9)</f>
        <v>257.88</v>
      </c>
      <c r="AU10" s="186">
        <f>PRODUCT(AU6:AU9)</f>
        <v>267.54</v>
      </c>
      <c r="AV10" s="186">
        <f>PRODUCT(AV6:AV9)</f>
        <v>277.2</v>
      </c>
      <c r="AW10" s="186">
        <f>PRODUCT(AW6:AW9)</f>
        <v>286.86</v>
      </c>
      <c r="AX10" s="186">
        <f>PRODUCT(AX6:AX9)</f>
        <v>296.94</v>
      </c>
      <c r="AY10" s="186">
        <f>PRODUCT(AY6:AY9)</f>
        <v>306.6</v>
      </c>
      <c r="AZ10" s="186">
        <f>PRODUCT(AZ6:AZ9)</f>
        <v>316.68</v>
      </c>
      <c r="BA10" s="186">
        <f>PRODUCT(BA6:BA9)</f>
        <v>326.76</v>
      </c>
      <c r="BB10" s="186">
        <f>PRODUCT(BB6:BB9)</f>
        <v>338.94</v>
      </c>
      <c r="BC10" s="186">
        <f>PRODUCT(BC6:BC9)</f>
        <v>350.7</v>
      </c>
      <c r="BD10" s="186">
        <f>PRODUCT(BD6:BD9)</f>
        <v>362.88</v>
      </c>
      <c r="BE10" s="186">
        <f>PRODUCT(BE6:BE9)</f>
        <v>375.06</v>
      </c>
      <c r="BF10" s="186">
        <f>PRODUCT(BF6:BF9)</f>
        <v>387.24</v>
      </c>
      <c r="BG10" s="186">
        <f>PRODUCT(BG6:BG9)</f>
        <v>400.26</v>
      </c>
      <c r="BH10" s="186">
        <f>PRODUCT(BH6:BH9)</f>
        <v>412.86</v>
      </c>
      <c r="BI10" s="186">
        <f>PRODUCT(BI6:BI9)</f>
        <v>425.46</v>
      </c>
      <c r="BJ10" s="186">
        <f>PRODUCT(BJ6:BJ9)</f>
        <v>438.48</v>
      </c>
      <c r="BK10" s="186">
        <f>PRODUCT(BK6:BK9)</f>
        <v>451.5</v>
      </c>
      <c r="BL10" s="186">
        <f>PRODUCT(BL6:BL9)</f>
        <v>464.52</v>
      </c>
      <c r="BM10" s="186">
        <f>PRODUCT(BM6:BM9)</f>
        <v>477.96</v>
      </c>
      <c r="BN10" s="187">
        <f>PRODUCT(BN6:BN9)</f>
        <v>44.1</v>
      </c>
      <c r="BO10" s="186">
        <f>PRODUCT(BO6:BO9)</f>
        <v>115.08</v>
      </c>
      <c r="BP10" s="186">
        <f>PRODUCT(BP6:BP9)</f>
        <v>212.52</v>
      </c>
      <c r="BQ10" s="188">
        <f>PRODUCT(BQ6:BQ9)</f>
        <v>326.76</v>
      </c>
      <c r="BR10" s="188">
        <f>PRODUCT(BR6:BR9)</f>
        <v>477.96</v>
      </c>
    </row>
    <row r="11">
      <c r="C11" s="66" t="inlineStr">
        <is>
          <t>単価</t>
        </is>
      </c>
      <c r="D11" s="67" t="n"/>
      <c r="E11" s="67" t="inlineStr">
        <is>
          <t>average</t>
        </is>
      </c>
      <c r="F11" s="189">
        <f>F12*12*F13</f>
        <v>2160.0</v>
      </c>
      <c r="G11" s="189">
        <f>G12*12*G13</f>
        <v>2160.0</v>
      </c>
      <c r="H11" s="189">
        <f>H12*12*H13</f>
        <v>2160.0</v>
      </c>
      <c r="I11" s="189">
        <f>I12*12*I13</f>
        <v>2160.0</v>
      </c>
      <c r="J11" s="189">
        <f>J12*12*J13</f>
        <v>2160.0</v>
      </c>
      <c r="K11" s="189">
        <f>K12*12*K13</f>
        <v>2160.0</v>
      </c>
      <c r="L11" s="189">
        <f>L12*12*L13</f>
        <v>2160.0</v>
      </c>
      <c r="M11" s="189">
        <f>M12*12*M13</f>
        <v>2160.0</v>
      </c>
      <c r="N11" s="189">
        <f>N12*12*N13</f>
        <v>2160.0</v>
      </c>
      <c r="O11" s="189">
        <f>O12*12*O13</f>
        <v>2160.0</v>
      </c>
      <c r="P11" s="189">
        <f>P12*12*P13</f>
        <v>2160.0</v>
      </c>
      <c r="Q11" s="189">
        <f>Q12*12*Q13</f>
        <v>2160.0</v>
      </c>
      <c r="R11" s="189">
        <f>R12*12*R13</f>
        <v>2160.0</v>
      </c>
      <c r="S11" s="189">
        <f>S12*12*S13</f>
        <v>2160.0</v>
      </c>
      <c r="T11" s="189">
        <f>T12*12*T13</f>
        <v>2160.0</v>
      </c>
      <c r="U11" s="189">
        <f>U12*12*U13</f>
        <v>2160.0</v>
      </c>
      <c r="V11" s="189">
        <f>V12*12*V13</f>
        <v>2160.0</v>
      </c>
      <c r="W11" s="189">
        <f>W12*12*W13</f>
        <v>2160.0</v>
      </c>
      <c r="X11" s="189">
        <f>X12*12*X13</f>
        <v>2160.0</v>
      </c>
      <c r="Y11" s="189">
        <f>Y12*12*Y13</f>
        <v>2160.0</v>
      </c>
      <c r="Z11" s="189">
        <f>Z12*12*Z13</f>
        <v>2160.0</v>
      </c>
      <c r="AA11" s="189">
        <f>AA12*12*AA13</f>
        <v>2160.0</v>
      </c>
      <c r="AB11" s="189">
        <f>AB12*12*AB13</f>
        <v>2160.0</v>
      </c>
      <c r="AC11" s="189">
        <f>AC12*12*AC13</f>
        <v>2160.0</v>
      </c>
      <c r="AD11" s="189">
        <f>AD12*12*AD13</f>
        <v>2160.0</v>
      </c>
      <c r="AE11" s="189">
        <f>AE12*12*AE13</f>
        <v>2160.0</v>
      </c>
      <c r="AF11" s="189">
        <f>AF12*12*AF13</f>
        <v>2160.0</v>
      </c>
      <c r="AG11" s="189">
        <f>AG12*12*AG13</f>
        <v>2160.0</v>
      </c>
      <c r="AH11" s="189">
        <f>AH12*12*AH13</f>
        <v>2160.0</v>
      </c>
      <c r="AI11" s="189">
        <f>AI12*12*AI13</f>
        <v>2160.0</v>
      </c>
      <c r="AJ11" s="189">
        <f>AJ12*12*AJ13</f>
        <v>2160.0</v>
      </c>
      <c r="AK11" s="189">
        <f>AK12*12*AK13</f>
        <v>2160.0</v>
      </c>
      <c r="AL11" s="189">
        <f>AL12*12*AL13</f>
        <v>2160.0</v>
      </c>
      <c r="AM11" s="189">
        <f>AM12*12*AM13</f>
        <v>2160.0</v>
      </c>
      <c r="AN11" s="189">
        <f>AN12*12*AN13</f>
        <v>2160.0</v>
      </c>
      <c r="AO11" s="189">
        <f>AO12*12*AO13</f>
        <v>2160.0</v>
      </c>
      <c r="AP11" s="189">
        <f>AP12*12*AP13</f>
        <v>2160.0</v>
      </c>
      <c r="AQ11" s="189">
        <f>AQ12*12*AQ13</f>
        <v>2160.0</v>
      </c>
      <c r="AR11" s="189">
        <f>AR12*12*AR13</f>
        <v>2160.0</v>
      </c>
      <c r="AS11" s="189">
        <f>AS12*12*AS13</f>
        <v>2160.0</v>
      </c>
      <c r="AT11" s="189">
        <f>AT12*12*AT13</f>
        <v>2160.0</v>
      </c>
      <c r="AU11" s="189">
        <f>AU12*12*AU13</f>
        <v>2160.0</v>
      </c>
      <c r="AV11" s="189">
        <f>AV12*12*AV13</f>
        <v>2160.0</v>
      </c>
      <c r="AW11" s="189">
        <f>AW12*12*AW13</f>
        <v>2160.0</v>
      </c>
      <c r="AX11" s="189">
        <f>AX12*12*AX13</f>
        <v>2160.0</v>
      </c>
      <c r="AY11" s="189">
        <f>AY12*12*AY13</f>
        <v>2160.0</v>
      </c>
      <c r="AZ11" s="189">
        <f>AZ12*12*AZ13</f>
        <v>2160.0</v>
      </c>
      <c r="BA11" s="189">
        <f>BA12*12*BA13</f>
        <v>2160.0</v>
      </c>
      <c r="BB11" s="189">
        <f>BB12*12*BB13</f>
        <v>2160.0</v>
      </c>
      <c r="BC11" s="189">
        <f>BC12*12*BC13</f>
        <v>2160.0</v>
      </c>
      <c r="BD11" s="189">
        <f>BD12*12*BD13</f>
        <v>2160.0</v>
      </c>
      <c r="BE11" s="189">
        <f>BE12*12*BE13</f>
        <v>2160.0</v>
      </c>
      <c r="BF11" s="189">
        <f>BF12*12*BF13</f>
        <v>2160.0</v>
      </c>
      <c r="BG11" s="189">
        <f>BG12*12*BG13</f>
        <v>2160.0</v>
      </c>
      <c r="BH11" s="189">
        <f>BH12*12*BH13</f>
        <v>2160.0</v>
      </c>
      <c r="BI11" s="189">
        <f>BI12*12*BI13</f>
        <v>2160.0</v>
      </c>
      <c r="BJ11" s="189">
        <f>BJ12*12*BJ13</f>
        <v>2160.0</v>
      </c>
      <c r="BK11" s="189">
        <f>BK12*12*BK13</f>
        <v>2160.0</v>
      </c>
      <c r="BL11" s="189">
        <f>BL12*12*BL13</f>
        <v>2160.0</v>
      </c>
      <c r="BM11" s="189">
        <f>BM12*12*BM13</f>
        <v>2160.0</v>
      </c>
      <c r="BN11" s="190">
        <f>BN12*BN13</f>
        <v>2160.0</v>
      </c>
      <c r="BO11" s="191">
        <f>BO12*BO13</f>
        <v>2160.0</v>
      </c>
      <c r="BP11" s="191">
        <f>BP12*BP13</f>
        <v>2160.0</v>
      </c>
      <c r="BQ11" s="191">
        <f>BQ12*BQ13</f>
        <v>2160.0</v>
      </c>
      <c r="BR11" s="191">
        <f>BR12*BR13</f>
        <v>2160.0</v>
      </c>
    </row>
    <row r="12">
      <c r="C12" s="70" t="inlineStr">
        <is>
          <t>毎月の積立金額</t>
        </is>
      </c>
      <c r="D12" s="67" t="n"/>
      <c r="E12" s="67" t="n"/>
      <c r="F12" s="191" t="n">
        <v>300000</v>
      </c>
      <c r="G12" s="191" t="n">
        <v>300000</v>
      </c>
      <c r="H12" s="191" t="n">
        <v>300000</v>
      </c>
      <c r="I12" s="191" t="n">
        <v>300000</v>
      </c>
      <c r="J12" s="191" t="n">
        <v>300000</v>
      </c>
      <c r="K12" s="191" t="n">
        <v>300000</v>
      </c>
      <c r="L12" s="191" t="n">
        <v>300000</v>
      </c>
      <c r="M12" s="191" t="n">
        <v>300000</v>
      </c>
      <c r="N12" s="191" t="n">
        <v>300000</v>
      </c>
      <c r="O12" s="191" t="n">
        <v>300000</v>
      </c>
      <c r="P12" s="191" t="n">
        <v>300000</v>
      </c>
      <c r="Q12" s="191" t="n">
        <v>300000</v>
      </c>
      <c r="R12" s="191" t="n">
        <v>300000</v>
      </c>
      <c r="S12" s="191" t="n">
        <v>300000</v>
      </c>
      <c r="T12" s="191" t="n">
        <v>300000</v>
      </c>
      <c r="U12" s="191" t="n">
        <v>300000</v>
      </c>
      <c r="V12" s="191" t="n">
        <v>300000</v>
      </c>
      <c r="W12" s="191" t="n">
        <v>300000</v>
      </c>
      <c r="X12" s="191" t="n">
        <v>300000</v>
      </c>
      <c r="Y12" s="191" t="n">
        <v>300000</v>
      </c>
      <c r="Z12" s="191" t="n">
        <v>300000</v>
      </c>
      <c r="AA12" s="191" t="n">
        <v>300000</v>
      </c>
      <c r="AB12" s="191" t="n">
        <v>300000</v>
      </c>
      <c r="AC12" s="191" t="n">
        <v>300000</v>
      </c>
      <c r="AD12" s="191" t="n">
        <v>300000</v>
      </c>
      <c r="AE12" s="191" t="n">
        <v>300000</v>
      </c>
      <c r="AF12" s="191" t="n">
        <v>300000</v>
      </c>
      <c r="AG12" s="191" t="n">
        <v>300000</v>
      </c>
      <c r="AH12" s="191" t="n">
        <v>300000</v>
      </c>
      <c r="AI12" s="191" t="n">
        <v>300000</v>
      </c>
      <c r="AJ12" s="191" t="n">
        <v>300000</v>
      </c>
      <c r="AK12" s="191" t="n">
        <v>300000</v>
      </c>
      <c r="AL12" s="191" t="n">
        <v>300000</v>
      </c>
      <c r="AM12" s="191" t="n">
        <v>300000</v>
      </c>
      <c r="AN12" s="191" t="n">
        <v>300000</v>
      </c>
      <c r="AO12" s="191" t="n">
        <v>300000</v>
      </c>
      <c r="AP12" s="191" t="n">
        <v>300000</v>
      </c>
      <c r="AQ12" s="191" t="n">
        <v>300000</v>
      </c>
      <c r="AR12" s="191" t="n">
        <v>300000</v>
      </c>
      <c r="AS12" s="191" t="n">
        <v>300000</v>
      </c>
      <c r="AT12" s="191" t="n">
        <v>300000</v>
      </c>
      <c r="AU12" s="191" t="n">
        <v>300000</v>
      </c>
      <c r="AV12" s="191" t="n">
        <v>300000</v>
      </c>
      <c r="AW12" s="191" t="n">
        <v>300000</v>
      </c>
      <c r="AX12" s="191" t="n">
        <v>300000</v>
      </c>
      <c r="AY12" s="191" t="n">
        <v>300000</v>
      </c>
      <c r="AZ12" s="191" t="n">
        <v>300000</v>
      </c>
      <c r="BA12" s="191" t="n">
        <v>300000</v>
      </c>
      <c r="BB12" s="191" t="n">
        <v>300000</v>
      </c>
      <c r="BC12" s="191" t="n">
        <v>300000</v>
      </c>
      <c r="BD12" s="191" t="n">
        <v>300000</v>
      </c>
      <c r="BE12" s="191" t="n">
        <v>300000</v>
      </c>
      <c r="BF12" s="191" t="n">
        <v>300000</v>
      </c>
      <c r="BG12" s="191" t="n">
        <v>300000</v>
      </c>
      <c r="BH12" s="191" t="n">
        <v>300000</v>
      </c>
      <c r="BI12" s="191" t="n">
        <v>300000</v>
      </c>
      <c r="BJ12" s="191" t="n">
        <v>300000</v>
      </c>
      <c r="BK12" s="191" t="n">
        <v>300000</v>
      </c>
      <c r="BL12" s="191" t="n">
        <v>300000</v>
      </c>
      <c r="BM12" s="191" t="n">
        <v>300000</v>
      </c>
      <c r="BN12" s="190">
        <f>300000*12</f>
        <v>3600000.0</v>
      </c>
      <c r="BO12" s="191">
        <f>300000*12</f>
        <v>3600000.0</v>
      </c>
      <c r="BP12" s="191">
        <f>300000*12</f>
        <v>3600000.0</v>
      </c>
      <c r="BQ12" s="191">
        <f>300000*12</f>
        <v>3600000.0</v>
      </c>
      <c r="BR12" s="191">
        <f>300000*12</f>
        <v>3600000.0</v>
      </c>
    </row>
    <row r="13">
      <c r="C13" s="70" t="inlineStr">
        <is>
          <t>Taxel 紹介費用率</t>
        </is>
      </c>
      <c r="D13" s="67" t="n"/>
      <c r="E13" s="67" t="n"/>
      <c r="F13" s="182">
        <f>0.2%*30%</f>
        <v>0.0006</v>
      </c>
      <c r="G13" s="182">
        <f>0.2%*30%</f>
        <v>0.0006</v>
      </c>
      <c r="H13" s="182">
        <f>0.2%*30%</f>
        <v>0.0006</v>
      </c>
      <c r="I13" s="182">
        <f>0.2%*30%</f>
        <v>0.0006</v>
      </c>
      <c r="J13" s="182">
        <f>0.2%*30%</f>
        <v>0.0006</v>
      </c>
      <c r="K13" s="182">
        <f>0.2%*30%</f>
        <v>0.0006</v>
      </c>
      <c r="L13" s="182">
        <f>0.2%*30%</f>
        <v>0.0006</v>
      </c>
      <c r="M13" s="182">
        <f>0.2%*30%</f>
        <v>0.0006</v>
      </c>
      <c r="N13" s="182">
        <f>0.2%*30%</f>
        <v>0.0006</v>
      </c>
      <c r="O13" s="182">
        <f>0.2%*30%</f>
        <v>0.0006</v>
      </c>
      <c r="P13" s="182">
        <f>0.2%*30%</f>
        <v>0.0006</v>
      </c>
      <c r="Q13" s="182">
        <f>0.2%*30%</f>
        <v>0.0006</v>
      </c>
      <c r="R13" s="182">
        <f>0.2%*30%</f>
        <v>0.0006</v>
      </c>
      <c r="S13" s="182">
        <f>0.2%*30%</f>
        <v>0.0006</v>
      </c>
      <c r="T13" s="182">
        <f>0.2%*30%</f>
        <v>0.0006</v>
      </c>
      <c r="U13" s="182">
        <f>0.2%*30%</f>
        <v>0.0006</v>
      </c>
      <c r="V13" s="182">
        <f>0.2%*30%</f>
        <v>0.0006</v>
      </c>
      <c r="W13" s="182">
        <f>0.2%*30%</f>
        <v>0.0006</v>
      </c>
      <c r="X13" s="182">
        <f>0.2%*30%</f>
        <v>0.0006</v>
      </c>
      <c r="Y13" s="182">
        <f>0.2%*30%</f>
        <v>0.0006</v>
      </c>
      <c r="Z13" s="182">
        <f>0.2%*30%</f>
        <v>0.0006</v>
      </c>
      <c r="AA13" s="182">
        <f>0.2%*30%</f>
        <v>0.0006</v>
      </c>
      <c r="AB13" s="182">
        <f>0.2%*30%</f>
        <v>0.0006</v>
      </c>
      <c r="AC13" s="182">
        <f>0.2%*30%</f>
        <v>0.0006</v>
      </c>
      <c r="AD13" s="182">
        <f>0.2%*30%</f>
        <v>0.0006</v>
      </c>
      <c r="AE13" s="182">
        <f>0.2%*30%</f>
        <v>0.0006</v>
      </c>
      <c r="AF13" s="182">
        <f>0.2%*30%</f>
        <v>0.0006</v>
      </c>
      <c r="AG13" s="182">
        <f>0.2%*30%</f>
        <v>0.0006</v>
      </c>
      <c r="AH13" s="182">
        <f>0.2%*30%</f>
        <v>0.0006</v>
      </c>
      <c r="AI13" s="182">
        <f>0.2%*30%</f>
        <v>0.0006</v>
      </c>
      <c r="AJ13" s="182">
        <f>0.2%*30%</f>
        <v>0.0006</v>
      </c>
      <c r="AK13" s="182">
        <f>0.2%*30%</f>
        <v>0.0006</v>
      </c>
      <c r="AL13" s="182">
        <f>0.2%*30%</f>
        <v>0.0006</v>
      </c>
      <c r="AM13" s="182">
        <f>0.2%*30%</f>
        <v>0.0006</v>
      </c>
      <c r="AN13" s="182">
        <f>0.2%*30%</f>
        <v>0.0006</v>
      </c>
      <c r="AO13" s="182">
        <f>0.2%*30%</f>
        <v>0.0006</v>
      </c>
      <c r="AP13" s="182">
        <f>0.2%*30%</f>
        <v>0.0006</v>
      </c>
      <c r="AQ13" s="182">
        <f>0.2%*30%</f>
        <v>0.0006</v>
      </c>
      <c r="AR13" s="182">
        <f>0.2%*30%</f>
        <v>0.0006</v>
      </c>
      <c r="AS13" s="182">
        <f>0.2%*30%</f>
        <v>0.0006</v>
      </c>
      <c r="AT13" s="182">
        <f>0.2%*30%</f>
        <v>0.0006</v>
      </c>
      <c r="AU13" s="182">
        <f>0.2%*30%</f>
        <v>0.0006</v>
      </c>
      <c r="AV13" s="182">
        <f>0.2%*30%</f>
        <v>0.0006</v>
      </c>
      <c r="AW13" s="182">
        <f>0.2%*30%</f>
        <v>0.0006</v>
      </c>
      <c r="AX13" s="182">
        <f>0.2%*30%</f>
        <v>0.0006</v>
      </c>
      <c r="AY13" s="182">
        <f>0.2%*30%</f>
        <v>0.0006</v>
      </c>
      <c r="AZ13" s="182">
        <f>0.2%*30%</f>
        <v>0.0006</v>
      </c>
      <c r="BA13" s="182">
        <f>0.2%*30%</f>
        <v>0.0006</v>
      </c>
      <c r="BB13" s="182">
        <f>0.2%*30%</f>
        <v>0.0006</v>
      </c>
      <c r="BC13" s="182">
        <f>0.2%*30%</f>
        <v>0.0006</v>
      </c>
      <c r="BD13" s="182">
        <f>0.2%*30%</f>
        <v>0.0006</v>
      </c>
      <c r="BE13" s="182">
        <f>0.2%*30%</f>
        <v>0.0006</v>
      </c>
      <c r="BF13" s="182">
        <f>0.2%*30%</f>
        <v>0.0006</v>
      </c>
      <c r="BG13" s="182">
        <f>0.2%*30%</f>
        <v>0.0006</v>
      </c>
      <c r="BH13" s="182">
        <f>0.2%*30%</f>
        <v>0.0006</v>
      </c>
      <c r="BI13" s="182">
        <f>0.2%*30%</f>
        <v>0.0006</v>
      </c>
      <c r="BJ13" s="182">
        <f>0.2%*30%</f>
        <v>0.0006</v>
      </c>
      <c r="BK13" s="182">
        <f>0.2%*30%</f>
        <v>0.0006</v>
      </c>
      <c r="BL13" s="182">
        <f>0.2%*30%</f>
        <v>0.0006</v>
      </c>
      <c r="BM13" s="182">
        <f>0.2%*30%</f>
        <v>0.0006</v>
      </c>
      <c r="BN13" s="183">
        <f>0.2%*30%</f>
        <v>0.0006</v>
      </c>
      <c r="BO13" s="182">
        <f>0.2%*30%</f>
        <v>0.0006</v>
      </c>
      <c r="BP13" s="182">
        <f>0.2%*30%</f>
        <v>0.0006</v>
      </c>
      <c r="BQ13" s="182">
        <f>0.2%*30%</f>
        <v>0.0006</v>
      </c>
      <c r="BR13" s="182">
        <f>0.2%*30%</f>
        <v>0.0006</v>
      </c>
    </row>
    <row r="14">
      <c r="C14" s="70" t="inlineStr">
        <is>
          <t>１税理士 / 紹介費用</t>
        </is>
      </c>
      <c r="D14" s="67" t="n"/>
      <c r="E14" s="67" t="n"/>
      <c r="F14" s="77">
        <f>F22*F11/12</f>
        <v>0.0</v>
      </c>
      <c r="G14" s="77">
        <f>G22*G11/12</f>
        <v>151.2</v>
      </c>
      <c r="H14" s="77">
        <f>H22*H11/12</f>
        <v>828.576</v>
      </c>
      <c r="I14" s="77">
        <f>I22*I11/12</f>
        <v>1492.40448</v>
      </c>
      <c r="J14" s="77">
        <f>J22*J11/12</f>
        <v>2067.3563904</v>
      </c>
      <c r="K14" s="77">
        <f>K22*K11/12</f>
        <v>2782.009262592</v>
      </c>
      <c r="L14" s="77">
        <f>L22*L11/12</f>
        <v>3482.36907734016</v>
      </c>
      <c r="M14" s="77">
        <f>M22*M11/12</f>
        <v>4168.72169579336</v>
      </c>
      <c r="N14" s="77">
        <f>N22*N11/12</f>
        <v>4992.54726187749</v>
      </c>
      <c r="O14" s="77">
        <f>O22*O11/12</f>
        <v>5724.29631663994</v>
      </c>
      <c r="P14" s="77">
        <f>P22*P11/12</f>
        <v>6441.41039030714</v>
      </c>
      <c r="Q14" s="77">
        <f>Q22*Q11/12</f>
        <v>7295.382182501</v>
      </c>
      <c r="R14" s="77">
        <f>R22*R11/12</f>
        <v>8056.67453885098</v>
      </c>
      <c r="S14" s="77">
        <f>S22*S11/12</f>
        <v>8802.74104807396</v>
      </c>
      <c r="T14" s="77">
        <f>T22*T11/12</f>
        <v>9685.08622711248</v>
      </c>
      <c r="U14" s="77">
        <f>U22*U11/12</f>
        <v>10474.1845025702</v>
      </c>
      <c r="V14" s="77">
        <f>V22*V11/12</f>
        <v>11247.5008125188</v>
      </c>
      <c r="W14" s="77">
        <f>W22*W11/12</f>
        <v>12156.5507962685</v>
      </c>
      <c r="X14" s="77">
        <f>X22*X11/12</f>
        <v>12971.8197803431</v>
      </c>
      <c r="Y14" s="77">
        <f>Y22*Y11/12</f>
        <v>13770.7833847362</v>
      </c>
      <c r="Z14" s="77">
        <f>Z22*Z11/12</f>
        <v>14704.9677170415</v>
      </c>
      <c r="AA14" s="77">
        <f>AA22*AA11/12</f>
        <v>15544.8683627007</v>
      </c>
      <c r="AB14" s="77">
        <f>AB22*AB11/12</f>
        <v>16367.9709954467</v>
      </c>
      <c r="AC14" s="77">
        <f>AC22*AC11/12</f>
        <v>17250.2115755377</v>
      </c>
      <c r="AD14" s="77">
        <f>AD22*AD11/12</f>
        <v>18309.1328729658</v>
      </c>
      <c r="AE14" s="77">
        <f>AE22*AE11/12</f>
        <v>19273.9230476889</v>
      </c>
      <c r="AF14" s="77">
        <f>AF22*AF11/12</f>
        <v>20373.0293943543</v>
      </c>
      <c r="AG14" s="77">
        <f>AG22*AG11/12</f>
        <v>21377.3013799532</v>
      </c>
      <c r="AH14" s="77">
        <f>AH22*AH11/12</f>
        <v>22439.598605804</v>
      </c>
      <c r="AI14" s="77">
        <f>AI22*AI11/12</f>
        <v>23483.3056302024</v>
      </c>
      <c r="AJ14" s="77">
        <f>AJ22*AJ11/12</f>
        <v>24584.3477816739</v>
      </c>
      <c r="AK14" s="77">
        <f>AK22*AK11/12</f>
        <v>25590.5216954946</v>
      </c>
      <c r="AL14" s="77">
        <f>AL22*AL11/12</f>
        <v>26730.2875658234</v>
      </c>
      <c r="AM14" s="77">
        <f>AM22*AM11/12</f>
        <v>27774.5075334215</v>
      </c>
      <c r="AN14" s="77">
        <f>AN22*AN11/12</f>
        <v>28800.4536515866</v>
      </c>
      <c r="AO14" s="77">
        <f>AO22*AO11/12</f>
        <v>29959.6457126839</v>
      </c>
      <c r="AP14" s="77">
        <f>AP22*AP11/12</f>
        <v>31022.9519127119</v>
      </c>
      <c r="AQ14" s="77">
        <f>AQ22*AQ11/12</f>
        <v>32067.6502542394</v>
      </c>
      <c r="AR14" s="77">
        <f>AR22*AR11/12</f>
        <v>33169.6663747902</v>
      </c>
      <c r="AS14" s="77">
        <f>AS22*AS11/12</f>
        <v>34252.3972132314</v>
      </c>
      <c r="AT14" s="77">
        <f>AT22*AT11/12</f>
        <v>35316.1802619999</v>
      </c>
      <c r="AU14" s="77">
        <f>AU22*AU11/12</f>
        <v>36436.9471074149</v>
      </c>
      <c r="AV14" s="77">
        <f>AV22*AV11/12</f>
        <v>37538.1005330351</v>
      </c>
      <c r="AW14" s="77">
        <f>AW22*AW11/12</f>
        <v>38619.983773707</v>
      </c>
      <c r="AX14" s="77">
        <f>AX22*AX11/12</f>
        <v>39758.5340576671</v>
      </c>
      <c r="AY14" s="77">
        <f>AY22*AY11/12</f>
        <v>40801.559711658</v>
      </c>
      <c r="AZ14" s="77">
        <f>AZ22*AZ11/12</f>
        <v>41901.9324167039</v>
      </c>
      <c r="BA14" s="77">
        <f>BA22*BA11/12</f>
        <v>42983.0485994116</v>
      </c>
      <c r="BB14" s="77">
        <f>BB22*BB11/12</f>
        <v>44530.7028704204</v>
      </c>
      <c r="BC14" s="77">
        <f>BC22*BC11/12</f>
        <v>45979.5423273641</v>
      </c>
      <c r="BD14" s="77">
        <f>BD22*BD11/12</f>
        <v>47482.2491924537</v>
      </c>
      <c r="BE14" s="77">
        <f>BE22*BE11/12</f>
        <v>48962.4154545669</v>
      </c>
      <c r="BF14" s="77">
        <f>BF22*BF11/12</f>
        <v>50420.3792227484</v>
      </c>
      <c r="BG14" s="77">
        <f>BG22*BG11/12</f>
        <v>52007.6735344071</v>
      </c>
      <c r="BH14" s="77">
        <f>BH22*BH11/12</f>
        <v>53495.558431391</v>
      </c>
      <c r="BI14" s="77">
        <f>BI22*BI11/12</f>
        <v>54961.1250549202</v>
      </c>
      <c r="BJ14" s="77">
        <f>BJ22*BJ11/12</f>
        <v>56480.3081790964</v>
      </c>
      <c r="BK14" s="77">
        <f>BK22*BK11/12</f>
        <v>57976.7035564099</v>
      </c>
      <c r="BL14" s="77">
        <f>BL22*BL11/12</f>
        <v>59450.6530030638</v>
      </c>
      <c r="BM14" s="77">
        <f>BM22*BM11/12</f>
        <v>60978.0932080178</v>
      </c>
      <c r="BN14" s="192">
        <f>SUM(F14:Q14)</f>
        <v>39426.2730574511</v>
      </c>
      <c r="BO14" s="193">
        <f>SUM(R14:AC14)</f>
        <v>151033.359741201</v>
      </c>
      <c r="BP14" s="193">
        <f>SUM(AD14:AO14)</f>
        <v>288696.054871652</v>
      </c>
      <c r="BQ14" s="193">
        <f>SUM(AP14:BA14)</f>
        <v>443868.95221657</v>
      </c>
      <c r="BR14" s="193">
        <f>SUM(BB14:BM14)</f>
        <v>632725.40403486</v>
      </c>
    </row>
    <row r="15">
      <c r="C15" s="17" t="inlineStr">
        <is>
          <t>税理士数＝アカウト数</t>
        </is>
      </c>
      <c r="D15" s="12" t="n"/>
      <c r="E15" s="12" t="n"/>
      <c r="F15" s="20" t="n">
        <v>0</v>
      </c>
      <c r="G15" s="20" t="n">
        <v>2</v>
      </c>
      <c r="H15" s="20" t="n">
        <v>11</v>
      </c>
      <c r="I15" s="20" t="n">
        <v>20</v>
      </c>
      <c r="J15" s="20" t="n">
        <v>28</v>
      </c>
      <c r="K15" s="20" t="n">
        <v>38</v>
      </c>
      <c r="L15" s="20" t="n">
        <v>48</v>
      </c>
      <c r="M15" s="20" t="n">
        <v>58</v>
      </c>
      <c r="N15" s="20" t="n">
        <v>70</v>
      </c>
      <c r="O15" s="20" t="n">
        <v>81</v>
      </c>
      <c r="P15" s="20" t="n">
        <v>92</v>
      </c>
      <c r="Q15" s="20" t="n">
        <v>105</v>
      </c>
      <c r="R15" s="20" t="n">
        <v>117</v>
      </c>
      <c r="S15" s="20" t="n">
        <v>129</v>
      </c>
      <c r="T15" s="20" t="n">
        <v>143</v>
      </c>
      <c r="U15" s="20" t="n">
        <v>156</v>
      </c>
      <c r="V15" s="20" t="n">
        <v>169</v>
      </c>
      <c r="W15" s="20" t="n">
        <v>184</v>
      </c>
      <c r="X15" s="20" t="n">
        <v>198</v>
      </c>
      <c r="Y15" s="20" t="n">
        <v>212</v>
      </c>
      <c r="Z15" s="20" t="n">
        <v>228</v>
      </c>
      <c r="AA15" s="20" t="n">
        <v>243</v>
      </c>
      <c r="AB15" s="20" t="n">
        <v>258</v>
      </c>
      <c r="AC15" s="20" t="n">
        <v>274</v>
      </c>
      <c r="AD15" s="20" t="n">
        <v>292</v>
      </c>
      <c r="AE15" s="20" t="n">
        <v>309</v>
      </c>
      <c r="AF15" s="20" t="n">
        <v>328</v>
      </c>
      <c r="AG15" s="20" t="n">
        <v>346</v>
      </c>
      <c r="AH15" s="20" t="n">
        <v>365</v>
      </c>
      <c r="AI15" s="20" t="n">
        <v>384</v>
      </c>
      <c r="AJ15" s="20" t="n">
        <v>404</v>
      </c>
      <c r="AK15" s="20" t="n">
        <v>423</v>
      </c>
      <c r="AL15" s="20" t="n">
        <v>444</v>
      </c>
      <c r="AM15" s="20" t="n">
        <v>464</v>
      </c>
      <c r="AN15" s="20" t="n">
        <v>484</v>
      </c>
      <c r="AO15" s="20" t="n">
        <v>506</v>
      </c>
      <c r="AP15" s="20" t="n">
        <v>527</v>
      </c>
      <c r="AQ15" s="20" t="n">
        <v>548</v>
      </c>
      <c r="AR15" s="20" t="n">
        <v>570</v>
      </c>
      <c r="AS15" s="20" t="n">
        <v>592</v>
      </c>
      <c r="AT15" s="20" t="n">
        <v>614</v>
      </c>
      <c r="AU15" s="20" t="n">
        <v>637</v>
      </c>
      <c r="AV15" s="20" t="n">
        <v>660</v>
      </c>
      <c r="AW15" s="20" t="n">
        <v>683</v>
      </c>
      <c r="AX15" s="20" t="n">
        <v>707</v>
      </c>
      <c r="AY15" s="20" t="n">
        <v>730</v>
      </c>
      <c r="AZ15" s="20" t="n">
        <v>754</v>
      </c>
      <c r="BA15" s="20" t="n">
        <v>778</v>
      </c>
      <c r="BB15" s="20" t="n">
        <v>807</v>
      </c>
      <c r="BC15" s="20" t="n">
        <v>835</v>
      </c>
      <c r="BD15" s="20" t="n">
        <v>864</v>
      </c>
      <c r="BE15" s="20" t="n">
        <v>893</v>
      </c>
      <c r="BF15" s="20" t="n">
        <v>922</v>
      </c>
      <c r="BG15" s="20" t="n">
        <v>953</v>
      </c>
      <c r="BH15" s="20" t="n">
        <v>983</v>
      </c>
      <c r="BI15" s="20" t="n">
        <v>1013</v>
      </c>
      <c r="BJ15" s="20" t="n">
        <v>1044</v>
      </c>
      <c r="BK15" s="20" t="n">
        <v>1075</v>
      </c>
      <c r="BL15" s="20" t="n">
        <v>1106</v>
      </c>
      <c r="BM15" s="20" t="n">
        <v>1138</v>
      </c>
      <c r="BN15" s="39">
        <f>Q15</f>
        <v>105.0</v>
      </c>
      <c r="BO15" s="20">
        <f>AC15</f>
        <v>274.0</v>
      </c>
      <c r="BP15" s="20">
        <f>AO15</f>
        <v>506.0</v>
      </c>
      <c r="BQ15" s="20">
        <f>BA15</f>
        <v>778.0</v>
      </c>
      <c r="BR15" s="20">
        <f>BM15</f>
        <v>1138.0</v>
      </c>
    </row>
    <row r="16">
      <c r="C16" s="160" t="inlineStr">
        <is>
          <t>新規</t>
        </is>
      </c>
      <c r="D16" s="12" t="n"/>
      <c r="E16" s="160" t="n"/>
      <c r="F16" s="8" t="n">
        <v>0</v>
      </c>
      <c r="G16" s="26" t="n">
        <v>1</v>
      </c>
      <c r="H16" s="26" t="n">
        <v>5</v>
      </c>
      <c r="I16" s="26" t="n">
        <v>5</v>
      </c>
      <c r="J16" s="26" t="n">
        <v>5</v>
      </c>
      <c r="K16" s="26">
        <f>H16+1</f>
        <v>6.0</v>
      </c>
      <c r="L16" s="26">
        <f>I16+1</f>
        <v>6.0</v>
      </c>
      <c r="M16" s="26">
        <f>J16+1</f>
        <v>6.0</v>
      </c>
      <c r="N16" s="26">
        <f>K16+1</f>
        <v>7.0</v>
      </c>
      <c r="O16" s="26">
        <f>L16+1</f>
        <v>7.0</v>
      </c>
      <c r="P16" s="26">
        <f>M16+1</f>
        <v>7.0</v>
      </c>
      <c r="Q16" s="26">
        <f>N16+1</f>
        <v>8.0</v>
      </c>
      <c r="R16" s="26">
        <f>O16+1</f>
        <v>8.0</v>
      </c>
      <c r="S16" s="26">
        <f>P16+1</f>
        <v>8.0</v>
      </c>
      <c r="T16" s="26">
        <f>Q16+1</f>
        <v>9.0</v>
      </c>
      <c r="U16" s="26">
        <f>R16+1</f>
        <v>9.0</v>
      </c>
      <c r="V16" s="26">
        <f>S16+1</f>
        <v>9.0</v>
      </c>
      <c r="W16" s="26">
        <f>T16+1</f>
        <v>10.0</v>
      </c>
      <c r="X16" s="26">
        <f>U16+1</f>
        <v>10.0</v>
      </c>
      <c r="Y16" s="26">
        <f>V16+1</f>
        <v>10.0</v>
      </c>
      <c r="Z16" s="26">
        <f>W16+1</f>
        <v>11.0</v>
      </c>
      <c r="AA16" s="26">
        <f>X16+1</f>
        <v>11.0</v>
      </c>
      <c r="AB16" s="26">
        <f>Y16+1</f>
        <v>11.0</v>
      </c>
      <c r="AC16" s="26">
        <f>Z16+1</f>
        <v>12.0</v>
      </c>
      <c r="AD16" s="26">
        <f>AA16+1</f>
        <v>12.0</v>
      </c>
      <c r="AE16" s="26">
        <f>AB16+1</f>
        <v>12.0</v>
      </c>
      <c r="AF16" s="26">
        <f>AC16+1</f>
        <v>13.0</v>
      </c>
      <c r="AG16" s="26">
        <f>AD16+1</f>
        <v>13.0</v>
      </c>
      <c r="AH16" s="26">
        <f>AE16+1</f>
        <v>13.0</v>
      </c>
      <c r="AI16" s="26">
        <f>AF16+1</f>
        <v>14.0</v>
      </c>
      <c r="AJ16" s="26">
        <f>AG16+1</f>
        <v>14.0</v>
      </c>
      <c r="AK16" s="26">
        <f>AH16+1</f>
        <v>14.0</v>
      </c>
      <c r="AL16" s="26">
        <f>AI16+1</f>
        <v>15.0</v>
      </c>
      <c r="AM16" s="26">
        <f>AJ16+1</f>
        <v>15.0</v>
      </c>
      <c r="AN16" s="26">
        <f>AK16+1</f>
        <v>15.0</v>
      </c>
      <c r="AO16" s="26">
        <f>AL16+1</f>
        <v>16.0</v>
      </c>
      <c r="AP16" s="26">
        <f>AM16+1</f>
        <v>16.0</v>
      </c>
      <c r="AQ16" s="26">
        <f>AN16+1</f>
        <v>16.0</v>
      </c>
      <c r="AR16" s="26">
        <f>AO16+1</f>
        <v>17.0</v>
      </c>
      <c r="AS16" s="26">
        <f>AP16+1</f>
        <v>17.0</v>
      </c>
      <c r="AT16" s="26">
        <f>AQ16+1</f>
        <v>17.0</v>
      </c>
      <c r="AU16" s="26">
        <f>AR16+1</f>
        <v>18.0</v>
      </c>
      <c r="AV16" s="26">
        <f>AS16+1</f>
        <v>18.0</v>
      </c>
      <c r="AW16" s="26">
        <f>AT16+1</f>
        <v>18.0</v>
      </c>
      <c r="AX16" s="26">
        <f>AU16+1</f>
        <v>19.0</v>
      </c>
      <c r="AY16" s="26">
        <f>AV16+1</f>
        <v>19.0</v>
      </c>
      <c r="AZ16" s="26">
        <f>AW16+1</f>
        <v>19.0</v>
      </c>
      <c r="BA16" s="26">
        <f>AX16+1</f>
        <v>20.0</v>
      </c>
      <c r="BB16" s="26">
        <f>AY16+1</f>
        <v>20.0</v>
      </c>
      <c r="BC16" s="26">
        <f>AZ16+1</f>
        <v>20.0</v>
      </c>
      <c r="BD16" s="26">
        <f>BA16+1</f>
        <v>21.0</v>
      </c>
      <c r="BE16" s="26">
        <f>BB16+1</f>
        <v>21.0</v>
      </c>
      <c r="BF16" s="26">
        <f>BC16+1</f>
        <v>21.0</v>
      </c>
      <c r="BG16" s="26">
        <f>BD16+1</f>
        <v>22.0</v>
      </c>
      <c r="BH16" s="26">
        <f>BE16+1</f>
        <v>22.0</v>
      </c>
      <c r="BI16" s="26">
        <f>BF16+1</f>
        <v>22.0</v>
      </c>
      <c r="BJ16" s="26">
        <f>BG16+1</f>
        <v>23.0</v>
      </c>
      <c r="BK16" s="26">
        <f>BH16+1</f>
        <v>23.0</v>
      </c>
      <c r="BL16" s="26">
        <f>BI16+1</f>
        <v>23.0</v>
      </c>
      <c r="BM16" s="26">
        <f>BJ16+1</f>
        <v>24.0</v>
      </c>
      <c r="BN16" s="40">
        <f>SUM(F16:Q16)</f>
        <v>63.0</v>
      </c>
      <c r="BO16" s="26">
        <f>SUM(R16:AC16)</f>
        <v>118.0</v>
      </c>
      <c r="BP16" s="26">
        <f>SUM(AD16:AO16)</f>
        <v>166.0</v>
      </c>
      <c r="BQ16" s="26">
        <f>SUM(AP16:BA16)</f>
        <v>214.0</v>
      </c>
      <c r="BR16" s="26">
        <f>SUM(BB16:BM16)</f>
        <v>262.0</v>
      </c>
    </row>
    <row r="17">
      <c r="C17" s="160" t="inlineStr">
        <is>
          <t>解約予想数</t>
        </is>
      </c>
      <c r="D17" s="12" t="n"/>
      <c r="E17" s="160" t="n"/>
      <c r="F17" s="28" t="n">
        <v>0</v>
      </c>
      <c r="G17" s="28">
        <f>F22*G18</f>
        <v>0.0</v>
      </c>
      <c r="H17" s="28">
        <f>G22*H18</f>
        <v>0.0168</v>
      </c>
      <c r="I17" s="28">
        <f>H22*I18</f>
        <v>0.092064</v>
      </c>
      <c r="J17" s="28">
        <f>I22*J18</f>
        <v>0.16582272</v>
      </c>
      <c r="K17" s="28">
        <f>J22*K18</f>
        <v>0.2297062656</v>
      </c>
      <c r="L17" s="28">
        <f>K22*L18</f>
        <v>0.309112140288</v>
      </c>
      <c r="M17" s="28">
        <f>L22*M18</f>
        <v>0.38692989748224</v>
      </c>
      <c r="N17" s="28">
        <f>M22*N18</f>
        <v>0.463191299532595</v>
      </c>
      <c r="O17" s="28">
        <f>N22*O18</f>
        <v>0.554727473541943</v>
      </c>
      <c r="P17" s="28">
        <f>O22*P18</f>
        <v>0.636032924071105</v>
      </c>
      <c r="Q17" s="28">
        <f>P22*Q18</f>
        <v>0.715712265589682</v>
      </c>
      <c r="R17" s="28">
        <f>Q22*R18</f>
        <v>0.810598020277889</v>
      </c>
      <c r="S17" s="28">
        <f>R22*S18</f>
        <v>0.895186059872331</v>
      </c>
      <c r="T17" s="28">
        <f>S22*T18</f>
        <v>0.978082338674884</v>
      </c>
      <c r="U17" s="28">
        <f>T22*U18</f>
        <v>1.07612069190139</v>
      </c>
      <c r="V17" s="28">
        <f>U22*V18</f>
        <v>1.16379827806336</v>
      </c>
      <c r="W17" s="28">
        <f>V22*W18</f>
        <v>1.24972231250209</v>
      </c>
      <c r="X17" s="28">
        <f>W22*X18</f>
        <v>1.35072786625205</v>
      </c>
      <c r="Y17" s="28">
        <f>X22*Y18</f>
        <v>1.44131330892701</v>
      </c>
      <c r="Z17" s="28">
        <f>Y22*Z18</f>
        <v>1.53008704274847</v>
      </c>
      <c r="AA17" s="28">
        <f>Z22*AA18</f>
        <v>1.6338853018935</v>
      </c>
      <c r="AB17" s="28">
        <f>AA22*AB18</f>
        <v>1.72720759585563</v>
      </c>
      <c r="AC17" s="28">
        <f>AB22*AC18</f>
        <v>1.81866344393852</v>
      </c>
      <c r="AD17" s="28">
        <f>AC22*AD18</f>
        <v>1.67710390317728</v>
      </c>
      <c r="AE17" s="28">
        <f>AD22*AE18</f>
        <v>1.78005458487168</v>
      </c>
      <c r="AF17" s="28">
        <f>AE22*AF18</f>
        <v>1.87385362963642</v>
      </c>
      <c r="AG17" s="28">
        <f>AF22*AG18</f>
        <v>1.98071119111778</v>
      </c>
      <c r="AH17" s="28">
        <f>AG22*AH18</f>
        <v>2.07834874527322</v>
      </c>
      <c r="AI17" s="28">
        <f>AH22*AI18</f>
        <v>2.18162764223094</v>
      </c>
      <c r="AJ17" s="28">
        <f>AI22*AJ18</f>
        <v>2.2830991584919</v>
      </c>
      <c r="AK17" s="28">
        <f>AJ22*AK18</f>
        <v>2.39014492321829</v>
      </c>
      <c r="AL17" s="28">
        <f>AK22*AL18</f>
        <v>2.48796738706197</v>
      </c>
      <c r="AM17" s="28">
        <f>AL22*AM18</f>
        <v>2.59877795778839</v>
      </c>
      <c r="AN17" s="28">
        <f>AM22*AN18</f>
        <v>2.70029934352709</v>
      </c>
      <c r="AO17" s="28">
        <f>AN22*AO18</f>
        <v>2.80004410501537</v>
      </c>
      <c r="AP17" s="28">
        <f>AO22*AP18</f>
        <v>2.9127433331776</v>
      </c>
      <c r="AQ17" s="28">
        <f>AP22*AQ18</f>
        <v>3.01612032484699</v>
      </c>
      <c r="AR17" s="28">
        <f>AQ22*AR18</f>
        <v>3.11768821916217</v>
      </c>
      <c r="AS17" s="28">
        <f>AR22*AS18</f>
        <v>3.22482867532683</v>
      </c>
      <c r="AT17" s="28">
        <f>AS22*AT18</f>
        <v>3.33009417350861</v>
      </c>
      <c r="AU17" s="28">
        <f>AT22*AU18</f>
        <v>3.43351752547221</v>
      </c>
      <c r="AV17" s="28">
        <f>AU22*AV18</f>
        <v>3.54248096877645</v>
      </c>
      <c r="AW17" s="28">
        <f>AV22*AW18</f>
        <v>3.64953755182286</v>
      </c>
      <c r="AX17" s="28">
        <f>AW22*AX18</f>
        <v>3.75472064466596</v>
      </c>
      <c r="AY17" s="28">
        <f>AX22*AY18</f>
        <v>3.8654130333843</v>
      </c>
      <c r="AZ17" s="28">
        <f>AY22*AZ18</f>
        <v>3.96681830530008</v>
      </c>
      <c r="BA17" s="28">
        <f>AZ22*BA18</f>
        <v>4.07379898495733</v>
      </c>
      <c r="BB17" s="28">
        <f>BA22*BB18</f>
        <v>3.58192071661763</v>
      </c>
      <c r="BC17" s="28">
        <f>BB22*BC18</f>
        <v>3.71089190586837</v>
      </c>
      <c r="BD17" s="28">
        <f>BC22*BD18</f>
        <v>3.83162852728034</v>
      </c>
      <c r="BE17" s="28">
        <f>BD22*BE18</f>
        <v>3.95685409937114</v>
      </c>
      <c r="BF17" s="28">
        <f>BE22*BF18</f>
        <v>4.08020128788057</v>
      </c>
      <c r="BG17" s="28">
        <f>BF22*BG18</f>
        <v>4.20169826856236</v>
      </c>
      <c r="BH17" s="28">
        <f>BG22*BH18</f>
        <v>4.33397279453393</v>
      </c>
      <c r="BI17" s="28">
        <f>BH22*BI18</f>
        <v>4.45796320261592</v>
      </c>
      <c r="BJ17" s="28">
        <f>BI22*BJ18</f>
        <v>4.58009375457668</v>
      </c>
      <c r="BK17" s="28">
        <f>BJ22*BK18</f>
        <v>4.70669234825803</v>
      </c>
      <c r="BL17" s="28">
        <f>BK22*BL18</f>
        <v>4.83139196303416</v>
      </c>
      <c r="BM17" s="28">
        <f>BL22*BM18</f>
        <v>4.95422108358865</v>
      </c>
      <c r="BN17" s="40">
        <f>SUM(F17:Q17)</f>
        <v>3.57009898610557</v>
      </c>
      <c r="BO17" s="28">
        <f>SUM(R17:AC17)</f>
        <v>15.6753922609071</v>
      </c>
      <c r="BP17" s="28">
        <f>SUM(AD17:AO17)</f>
        <v>26.8320325714103</v>
      </c>
      <c r="BQ17" s="28">
        <f>SUM(AP17:BA17)</f>
        <v>41.8877617404014</v>
      </c>
      <c r="BR17" s="28">
        <f>SUM(BB17:BM17)</f>
        <v>51.2275299521878</v>
      </c>
    </row>
    <row r="18">
      <c r="C18" s="160" t="inlineStr">
        <is>
          <t>解約率</t>
        </is>
      </c>
      <c r="D18" s="12" t="inlineStr">
        <is>
          <t>F&amp;M オフィスステーション1.01%</t>
        </is>
      </c>
      <c r="E18" s="160" t="n"/>
      <c r="F18" s="29" t="n">
        <v>0.02</v>
      </c>
      <c r="G18" s="29" t="n">
        <v>0.02</v>
      </c>
      <c r="H18" s="29" t="n">
        <v>0.02</v>
      </c>
      <c r="I18" s="29" t="n">
        <v>0.02</v>
      </c>
      <c r="J18" s="29" t="n">
        <v>0.02</v>
      </c>
      <c r="K18" s="29" t="n">
        <v>0.02</v>
      </c>
      <c r="L18" s="29" t="n">
        <v>0.02</v>
      </c>
      <c r="M18" s="29" t="n">
        <v>0.02</v>
      </c>
      <c r="N18" s="29" t="n">
        <v>0.02</v>
      </c>
      <c r="O18" s="29" t="n">
        <v>0.02</v>
      </c>
      <c r="P18" s="29" t="n">
        <v>0.02</v>
      </c>
      <c r="Q18" s="29" t="n">
        <v>0.02</v>
      </c>
      <c r="R18" s="29" t="n">
        <v>0.02</v>
      </c>
      <c r="S18" s="29" t="n">
        <v>0.02</v>
      </c>
      <c r="T18" s="29" t="n">
        <v>0.02</v>
      </c>
      <c r="U18" s="29" t="n">
        <v>0.02</v>
      </c>
      <c r="V18" s="29" t="n">
        <v>0.02</v>
      </c>
      <c r="W18" s="29" t="n">
        <v>0.02</v>
      </c>
      <c r="X18" s="29" t="n">
        <v>0.02</v>
      </c>
      <c r="Y18" s="29" t="n">
        <v>0.02</v>
      </c>
      <c r="Z18" s="29" t="n">
        <v>0.02</v>
      </c>
      <c r="AA18" s="29" t="n">
        <v>0.02</v>
      </c>
      <c r="AB18" s="29" t="n">
        <v>0.02</v>
      </c>
      <c r="AC18" s="29" t="n">
        <v>0.02</v>
      </c>
      <c r="AD18" s="162" t="n">
        <v>0.0175</v>
      </c>
      <c r="AE18" s="162" t="n">
        <v>0.0175</v>
      </c>
      <c r="AF18" s="162" t="n">
        <v>0.0175</v>
      </c>
      <c r="AG18" s="162" t="n">
        <v>0.0175</v>
      </c>
      <c r="AH18" s="162" t="n">
        <v>0.0175</v>
      </c>
      <c r="AI18" s="162" t="n">
        <v>0.0175</v>
      </c>
      <c r="AJ18" s="162" t="n">
        <v>0.0175</v>
      </c>
      <c r="AK18" s="162" t="n">
        <v>0.0175</v>
      </c>
      <c r="AL18" s="162" t="n">
        <v>0.0175</v>
      </c>
      <c r="AM18" s="162" t="n">
        <v>0.0175</v>
      </c>
      <c r="AN18" s="162" t="n">
        <v>0.0175</v>
      </c>
      <c r="AO18" s="162" t="n">
        <v>0.0175</v>
      </c>
      <c r="AP18" s="162" t="n">
        <v>0.0175</v>
      </c>
      <c r="AQ18" s="162" t="n">
        <v>0.0175</v>
      </c>
      <c r="AR18" s="162" t="n">
        <v>0.0175</v>
      </c>
      <c r="AS18" s="162" t="n">
        <v>0.0175</v>
      </c>
      <c r="AT18" s="162" t="n">
        <v>0.0175</v>
      </c>
      <c r="AU18" s="162" t="n">
        <v>0.0175</v>
      </c>
      <c r="AV18" s="162" t="n">
        <v>0.0175</v>
      </c>
      <c r="AW18" s="162" t="n">
        <v>0.0175</v>
      </c>
      <c r="AX18" s="162" t="n">
        <v>0.0175</v>
      </c>
      <c r="AY18" s="162" t="n">
        <v>0.0175</v>
      </c>
      <c r="AZ18" s="162" t="n">
        <v>0.0175</v>
      </c>
      <c r="BA18" s="162" t="n">
        <v>0.0175</v>
      </c>
      <c r="BB18" s="29" t="n">
        <v>0.015</v>
      </c>
      <c r="BC18" s="29" t="n">
        <v>0.015</v>
      </c>
      <c r="BD18" s="29" t="n">
        <v>0.015</v>
      </c>
      <c r="BE18" s="29" t="n">
        <v>0.015</v>
      </c>
      <c r="BF18" s="29" t="n">
        <v>0.015</v>
      </c>
      <c r="BG18" s="29" t="n">
        <v>0.015</v>
      </c>
      <c r="BH18" s="29" t="n">
        <v>0.015</v>
      </c>
      <c r="BI18" s="29" t="n">
        <v>0.015</v>
      </c>
      <c r="BJ18" s="29" t="n">
        <v>0.015</v>
      </c>
      <c r="BK18" s="29" t="n">
        <v>0.015</v>
      </c>
      <c r="BL18" s="29" t="n">
        <v>0.015</v>
      </c>
      <c r="BM18" s="29" t="n">
        <v>0.015</v>
      </c>
      <c r="BN18" s="78">
        <f>AVERAGE(F18:Q18)</f>
        <v>0.02</v>
      </c>
      <c r="BO18" s="29">
        <f>AVERAGE(R18:AC18)</f>
        <v>0.02</v>
      </c>
      <c r="BP18" s="29">
        <f>AVERAGE(AD18:AO18)</f>
        <v>0.0175</v>
      </c>
      <c r="BQ18" s="29">
        <f>AVERAGE(AP18:BA18)</f>
        <v>0.0175</v>
      </c>
      <c r="BR18" s="29">
        <f>AVERAGE(BB18:BM18)</f>
        <v>0.015</v>
      </c>
    </row>
    <row r="20">
      <c r="C20" s="70" t="inlineStr">
        <is>
          <t>■ ストック計算（契約社数＝前月契約社数＋当月新規受注－当月解約）</t>
        </is>
      </c>
    </row>
    <row r="21" s="159">
      <c r="A21" s="220" t="n"/>
      <c r="B21" s="220" t="n"/>
      <c r="C21" s="70" t="inlineStr">
        <is>
          <t>新規受注数（当月）</t>
        </is>
      </c>
      <c r="D21" s="67" t="inlineStr">
        <is>
          <t>＝当月の累計獲得数(10行)－前月の累計獲得数。税理士獲得ロジック(×35等)は別途検討中のため、既存ファネルを流用</t>
        </is>
      </c>
      <c r="E21" s="67" t="n"/>
      <c r="F21" s="225">
        <f>F10</f>
        <v>0.0</v>
      </c>
      <c r="G21" s="225">
        <f>G10-F10</f>
        <v>0.84</v>
      </c>
      <c r="H21" s="225">
        <f>H10-G10</f>
        <v>3.78</v>
      </c>
      <c r="I21" s="225">
        <f>I10-H10</f>
        <v>3.78</v>
      </c>
      <c r="J21" s="225">
        <f>J10-I10</f>
        <v>3.36</v>
      </c>
      <c r="K21" s="225">
        <f>K10-J10</f>
        <v>4.2</v>
      </c>
      <c r="L21" s="225">
        <f>L10-K10</f>
        <v>4.2</v>
      </c>
      <c r="M21" s="225">
        <f>M10-L10</f>
        <v>4.2</v>
      </c>
      <c r="N21" s="225">
        <f>N10-M10</f>
        <v>5.04</v>
      </c>
      <c r="O21" s="225">
        <f>O10-N10</f>
        <v>4.62</v>
      </c>
      <c r="P21" s="225">
        <f>P10-O10</f>
        <v>4.62</v>
      </c>
      <c r="Q21" s="225">
        <f>Q10-P10</f>
        <v>5.46</v>
      </c>
      <c r="R21" s="225">
        <f>R10-Q10</f>
        <v>5.04</v>
      </c>
      <c r="S21" s="225">
        <f>S10-R10</f>
        <v>5.04</v>
      </c>
      <c r="T21" s="225">
        <f>T10-S10</f>
        <v>5.88</v>
      </c>
      <c r="U21" s="225">
        <f>U10-T10</f>
        <v>5.45999999999999</v>
      </c>
      <c r="V21" s="225">
        <f>V10-U10</f>
        <v>5.46000000000001</v>
      </c>
      <c r="W21" s="225">
        <f>W10-V10</f>
        <v>6.3</v>
      </c>
      <c r="X21" s="225">
        <f>X10-W10</f>
        <v>5.88000000000001</v>
      </c>
      <c r="Y21" s="225">
        <f>Y10-X10</f>
        <v>5.88</v>
      </c>
      <c r="Z21" s="225">
        <f>Z10-Y10</f>
        <v>6.71999999999999</v>
      </c>
      <c r="AA21" s="225">
        <f>AA10-Z10</f>
        <v>6.30000000000001</v>
      </c>
      <c r="AB21" s="225">
        <f>AB10-AA10</f>
        <v>6.3</v>
      </c>
      <c r="AC21" s="225">
        <f>AC10-AB10</f>
        <v>6.72</v>
      </c>
      <c r="AD21" s="225">
        <f>AD10-AC10</f>
        <v>7.55999999999999</v>
      </c>
      <c r="AE21" s="225">
        <f>AE10-AD10</f>
        <v>7.14000000000002</v>
      </c>
      <c r="AF21" s="225">
        <f>AF10-AE10</f>
        <v>7.97999999999999</v>
      </c>
      <c r="AG21" s="225">
        <f>AG10-AF10</f>
        <v>7.56000000000003</v>
      </c>
      <c r="AH21" s="225">
        <f>AH10-AG10</f>
        <v>7.97999999999999</v>
      </c>
      <c r="AI21" s="225">
        <f>AI10-AH10</f>
        <v>7.97999999999999</v>
      </c>
      <c r="AJ21" s="225">
        <f>AJ10-AI10</f>
        <v>8.40000000000001</v>
      </c>
      <c r="AK21" s="225">
        <f>AK10-AJ10</f>
        <v>7.97999999999999</v>
      </c>
      <c r="AL21" s="225">
        <f>AL10-AK10</f>
        <v>8.82000000000002</v>
      </c>
      <c r="AM21" s="225">
        <f>AM10-AL10</f>
        <v>8.39999999999998</v>
      </c>
      <c r="AN21" s="225">
        <f>AN10-AM10</f>
        <v>8.40000000000001</v>
      </c>
      <c r="AO21" s="225">
        <f>AO10-AN10</f>
        <v>9.23999999999998</v>
      </c>
      <c r="AP21" s="225">
        <f>AP10-AO10</f>
        <v>8.82000000000005</v>
      </c>
      <c r="AQ21" s="225">
        <f>AQ10-AP10</f>
        <v>8.81999999999997</v>
      </c>
      <c r="AR21" s="225">
        <f>AR10-AQ10</f>
        <v>9.24000000000001</v>
      </c>
      <c r="AS21" s="225">
        <f>AS10-AR10</f>
        <v>9.24000000000001</v>
      </c>
      <c r="AT21" s="225">
        <f>AT10-AS10</f>
        <v>9.23999999999998</v>
      </c>
      <c r="AU21" s="225">
        <f>AU10-AT10</f>
        <v>9.66000000000003</v>
      </c>
      <c r="AV21" s="225">
        <f>AV10-AU10</f>
        <v>9.65999999999997</v>
      </c>
      <c r="AW21" s="225">
        <f>AW10-AV10</f>
        <v>9.66000000000003</v>
      </c>
      <c r="AX21" s="225">
        <f>AX10-AW10</f>
        <v>10.08</v>
      </c>
      <c r="AY21" s="225">
        <f>AY10-AX10</f>
        <v>9.66000000000003</v>
      </c>
      <c r="AZ21" s="225">
        <f>AZ10-AY10</f>
        <v>10.08</v>
      </c>
      <c r="BA21" s="225">
        <f>BA10-AZ10</f>
        <v>10.08</v>
      </c>
      <c r="BB21" s="225">
        <f>BB10-BA10</f>
        <v>12.1800000000001</v>
      </c>
      <c r="BC21" s="225">
        <f>BC10-BB10</f>
        <v>11.76</v>
      </c>
      <c r="BD21" s="225">
        <f>BD10-BC10</f>
        <v>12.18</v>
      </c>
      <c r="BE21" s="225">
        <f>BE10-BD10</f>
        <v>12.18</v>
      </c>
      <c r="BF21" s="225">
        <f>BF10-BE10</f>
        <v>12.18</v>
      </c>
      <c r="BG21" s="225">
        <f>BG10-BF10</f>
        <v>13.02</v>
      </c>
      <c r="BH21" s="225">
        <f>BH10-BG10</f>
        <v>12.6</v>
      </c>
      <c r="BI21" s="225">
        <f>BI10-BH10</f>
        <v>12.6</v>
      </c>
      <c r="BJ21" s="225">
        <f>BJ10-BI10</f>
        <v>13.02</v>
      </c>
      <c r="BK21" s="225">
        <f>BK10-BJ10</f>
        <v>13.02</v>
      </c>
      <c r="BL21" s="225">
        <f>BL10-BK10</f>
        <v>13.02</v>
      </c>
      <c r="BM21" s="225">
        <f>BM10-BL10</f>
        <v>13.44</v>
      </c>
      <c r="BN21" s="226">
        <f>SUM(F21:Q21)</f>
        <v>44.1</v>
      </c>
      <c r="BO21" s="225">
        <f>SUM(R21:AC21)</f>
        <v>70.98</v>
      </c>
      <c r="BP21" s="225">
        <f>SUM(AD21:AO21)</f>
        <v>97.44</v>
      </c>
      <c r="BQ21" s="227">
        <f>SUM(AP21:BA21)</f>
        <v>114.24</v>
      </c>
      <c r="BR21" s="227">
        <f>SUM(BB21:BM21)</f>
        <v>151.2</v>
      </c>
    </row>
    <row r="22" s="159">
      <c r="A22" s="220" t="n"/>
      <c r="B22" s="220" t="n"/>
      <c r="C22" s="70" t="inlineStr">
        <is>
          <t>期末契約社数（ストック）</t>
        </is>
      </c>
      <c r="D22" s="67" t="inlineStr">
        <is>
          <t>＝前月末契約社数＋新規受注数－解約予想数。売上＝本行×単価</t>
        </is>
      </c>
      <c r="E22" s="67" t="n"/>
      <c r="F22" s="225">
        <f>F21-F17</f>
        <v>0.0</v>
      </c>
      <c r="G22" s="225">
        <f>F22+G21-G17</f>
        <v>0.84</v>
      </c>
      <c r="H22" s="225">
        <f>G22+H21-H17</f>
        <v>4.6032</v>
      </c>
      <c r="I22" s="225">
        <f>H22+I21-I17</f>
        <v>8.291136</v>
      </c>
      <c r="J22" s="225">
        <f>I22+J21-J17</f>
        <v>11.48531328</v>
      </c>
      <c r="K22" s="225">
        <f>J22+K21-K17</f>
        <v>15.4556070144</v>
      </c>
      <c r="L22" s="225">
        <f>K22+L21-L17</f>
        <v>19.346494874112</v>
      </c>
      <c r="M22" s="225">
        <f>L22+M21-M17</f>
        <v>23.1595649766298</v>
      </c>
      <c r="N22" s="225">
        <f>M22+N21-N17</f>
        <v>27.7363736770972</v>
      </c>
      <c r="O22" s="225">
        <f>N22+O21-O17</f>
        <v>31.8016462035552</v>
      </c>
      <c r="P22" s="225">
        <f>O22+P21-P17</f>
        <v>35.7856132794841</v>
      </c>
      <c r="Q22" s="225">
        <f>P22+Q21-Q17</f>
        <v>40.5299010138944</v>
      </c>
      <c r="R22" s="225">
        <f>Q22+R21-R17</f>
        <v>44.7593029936166</v>
      </c>
      <c r="S22" s="225">
        <f>R22+S21-S17</f>
        <v>48.9041169337442</v>
      </c>
      <c r="T22" s="225">
        <f>S22+T21-T17</f>
        <v>53.8060345950693</v>
      </c>
      <c r="U22" s="225">
        <f>T22+U21-U17</f>
        <v>58.1899139031679</v>
      </c>
      <c r="V22" s="225">
        <f>U22+V21-V17</f>
        <v>62.4861156251046</v>
      </c>
      <c r="W22" s="225">
        <f>V22+W21-W17</f>
        <v>67.5363933126025</v>
      </c>
      <c r="X22" s="225">
        <f>W22+X21-X17</f>
        <v>72.0656654463505</v>
      </c>
      <c r="Y22" s="225">
        <f>X22+Y21-Y17</f>
        <v>76.5043521374235</v>
      </c>
      <c r="Z22" s="225">
        <f>Y22+Z21-Z17</f>
        <v>81.694265094675</v>
      </c>
      <c r="AA22" s="225">
        <f>Z22+AA21-AA17</f>
        <v>86.3603797927815</v>
      </c>
      <c r="AB22" s="225">
        <f>AA22+AB21-AB17</f>
        <v>90.9331721969259</v>
      </c>
      <c r="AC22" s="225">
        <f>AB22+AC21-AC17</f>
        <v>95.8345087529873</v>
      </c>
      <c r="AD22" s="225">
        <f>AC22+AD21-AD17</f>
        <v>101.71740484981</v>
      </c>
      <c r="AE22" s="225">
        <f>AD22+AE21-AE17</f>
        <v>107.077350264938</v>
      </c>
      <c r="AF22" s="225">
        <f>AE22+AF21-AF17</f>
        <v>113.183496635302</v>
      </c>
      <c r="AG22" s="225">
        <f>AF22+AG21-AG17</f>
        <v>118.762785444184</v>
      </c>
      <c r="AH22" s="225">
        <f>AG22+AH21-AH17</f>
        <v>124.664436698911</v>
      </c>
      <c r="AI22" s="225">
        <f>AH22+AI21-AI17</f>
        <v>130.46280905668</v>
      </c>
      <c r="AJ22" s="225">
        <f>AI22+AJ21-AJ17</f>
        <v>136.579709898188</v>
      </c>
      <c r="AK22" s="225">
        <f>AJ22+AK21-AK17</f>
        <v>142.16956497497</v>
      </c>
      <c r="AL22" s="225">
        <f>AK22+AL21-AL17</f>
        <v>148.501597587908</v>
      </c>
      <c r="AM22" s="225">
        <f>AL22+AM21-AM17</f>
        <v>154.302819630119</v>
      </c>
      <c r="AN22" s="225">
        <f>AM22+AN21-AN17</f>
        <v>160.002520286592</v>
      </c>
      <c r="AO22" s="225">
        <f>AN22+AO21-AO17</f>
        <v>166.442476181577</v>
      </c>
      <c r="AP22" s="225">
        <f>AO22+AP21-AP17</f>
        <v>172.349732848399</v>
      </c>
      <c r="AQ22" s="225">
        <f>AP22+AQ21-AQ17</f>
        <v>178.153612523552</v>
      </c>
      <c r="AR22" s="225">
        <f>AQ22+AR21-AR17</f>
        <v>184.27592430439</v>
      </c>
      <c r="AS22" s="225">
        <f>AR22+AS21-AS17</f>
        <v>190.291095629063</v>
      </c>
      <c r="AT22" s="225">
        <f>AS22+AT21-AT17</f>
        <v>196.201001455555</v>
      </c>
      <c r="AU22" s="225">
        <f>AT22+AU21-AU17</f>
        <v>202.427483930083</v>
      </c>
      <c r="AV22" s="225">
        <f>AU22+AV21-AV17</f>
        <v>208.545002961306</v>
      </c>
      <c r="AW22" s="225">
        <f>AV22+AW21-AW17</f>
        <v>214.555465409483</v>
      </c>
      <c r="AX22" s="225">
        <f>AW22+AX21-AX17</f>
        <v>220.880744764817</v>
      </c>
      <c r="AY22" s="225">
        <f>AX22+AY21-AY17</f>
        <v>226.675331731433</v>
      </c>
      <c r="AZ22" s="225">
        <f>AY22+AZ21-AZ17</f>
        <v>232.788513426133</v>
      </c>
      <c r="BA22" s="225">
        <f>AZ22+BA21-BA17</f>
        <v>238.794714441176</v>
      </c>
      <c r="BB22" s="225">
        <f>BA22+BB21-BB17</f>
        <v>247.392793724558</v>
      </c>
      <c r="BC22" s="225">
        <f>BB22+BC21-BC17</f>
        <v>255.44190181869</v>
      </c>
      <c r="BD22" s="225">
        <f>BC22+BD21-BD17</f>
        <v>263.790273291409</v>
      </c>
      <c r="BE22" s="225">
        <f>BD22+BE21-BE17</f>
        <v>272.013419192038</v>
      </c>
      <c r="BF22" s="225">
        <f>BE22+BF21-BF17</f>
        <v>280.113217904158</v>
      </c>
      <c r="BG22" s="225">
        <f>BF22+BG21-BG17</f>
        <v>288.931519635595</v>
      </c>
      <c r="BH22" s="225">
        <f>BG22+BH21-BH17</f>
        <v>297.197546841061</v>
      </c>
      <c r="BI22" s="225">
        <f>BH22+BI21-BI17</f>
        <v>305.339583638445</v>
      </c>
      <c r="BJ22" s="225">
        <f>BI22+BJ21-BJ17</f>
        <v>313.779489883869</v>
      </c>
      <c r="BK22" s="225">
        <f>BJ22+BK21-BK17</f>
        <v>322.092797535611</v>
      </c>
      <c r="BL22" s="225">
        <f>BK22+BL21-BL17</f>
        <v>330.281405572576</v>
      </c>
      <c r="BM22" s="225">
        <f>BL22+BM21-BM17</f>
        <v>338.767184488988</v>
      </c>
      <c r="BN22" s="226">
        <f>Q22</f>
        <v>40.5299010138944</v>
      </c>
      <c r="BO22" s="225">
        <f>AC22</f>
        <v>95.8345087529873</v>
      </c>
      <c r="BP22" s="225">
        <f>AO22</f>
        <v>166.442476181577</v>
      </c>
      <c r="BQ22" s="227">
        <f>BA22</f>
        <v>238.794714441176</v>
      </c>
      <c r="BR22" s="227">
        <f>BM22</f>
        <v>338.767184488988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BR25"/>
  <sheetViews>
    <sheetView topLeftCell="BK1" zoomScale="125" workbookViewId="0">
      <selection activeCell="D4" sqref="D4"/>
    </sheetView>
  </sheetViews>
  <sheetFormatPr baseColWidth="10" defaultRowHeight="20"/>
  <cols>
    <col width="15.28515625" customWidth="1" style="159" min="66" max="70"/>
  </cols>
  <sheetData>
    <row r="3">
      <c r="R3" s="89" t="inlineStr">
        <is>
          <t>Y2</t>
        </is>
      </c>
    </row>
    <row r="4">
      <c r="C4" s="0" t="inlineStr">
        <is>
          <t>■ ④ コスト削減（電力切替）※Y2から開拓</t>
        </is>
      </c>
      <c r="D4" s="0" t="inlineStr">
        <is>
          <t>丸紅新電力等の大手系の取次。継続報酬型（契約が続く限り毎月）。市場連動プランは扱わない（21-22年高騰の教訓）</t>
        </is>
      </c>
      <c r="E4" s="79" t="n"/>
      <c r="F4" s="118" t="inlineStr">
        <is>
          <t>Y1_M1</t>
        </is>
      </c>
      <c r="G4" s="118" t="inlineStr">
        <is>
          <t>Y1_M2</t>
        </is>
      </c>
      <c r="H4" s="118" t="inlineStr">
        <is>
          <t>Y1_M3</t>
        </is>
      </c>
      <c r="I4" s="118" t="inlineStr">
        <is>
          <t>Y1_M4</t>
        </is>
      </c>
      <c r="J4" s="118" t="inlineStr">
        <is>
          <t>Y1_M5</t>
        </is>
      </c>
      <c r="K4" s="118" t="inlineStr">
        <is>
          <t>Y1_M6</t>
        </is>
      </c>
      <c r="L4" s="118" t="inlineStr">
        <is>
          <t>Y1_M7</t>
        </is>
      </c>
      <c r="M4" s="118" t="inlineStr">
        <is>
          <t>Y1_M8</t>
        </is>
      </c>
      <c r="N4" s="118" t="inlineStr">
        <is>
          <t>Y1_M9</t>
        </is>
      </c>
      <c r="O4" s="118" t="inlineStr">
        <is>
          <t>Y1_M10</t>
        </is>
      </c>
      <c r="P4" s="118" t="inlineStr">
        <is>
          <t>Y1_M11</t>
        </is>
      </c>
      <c r="Q4" s="118" t="inlineStr">
        <is>
          <t>Y1_M12</t>
        </is>
      </c>
      <c r="R4" s="118" t="inlineStr">
        <is>
          <t>Y2_M1</t>
        </is>
      </c>
      <c r="S4" s="118" t="inlineStr">
        <is>
          <t>Y2_M2</t>
        </is>
      </c>
      <c r="T4" s="118" t="inlineStr">
        <is>
          <t>Y2_M3</t>
        </is>
      </c>
      <c r="U4" s="118" t="inlineStr">
        <is>
          <t>Y2_M4</t>
        </is>
      </c>
      <c r="V4" s="118" t="inlineStr">
        <is>
          <t>Y2_M5</t>
        </is>
      </c>
      <c r="W4" s="118" t="inlineStr">
        <is>
          <t>Y2_M6</t>
        </is>
      </c>
      <c r="X4" s="118" t="inlineStr">
        <is>
          <t>Y2_M7</t>
        </is>
      </c>
      <c r="Y4" s="118" t="inlineStr">
        <is>
          <t>Y2_M8</t>
        </is>
      </c>
      <c r="Z4" s="118" t="inlineStr">
        <is>
          <t>Y2_M9</t>
        </is>
      </c>
      <c r="AA4" s="118" t="inlineStr">
        <is>
          <t>Y2_M10</t>
        </is>
      </c>
      <c r="AB4" s="118" t="inlineStr">
        <is>
          <t>Y2_M11</t>
        </is>
      </c>
      <c r="AC4" s="118" t="inlineStr">
        <is>
          <t>Y2_M12</t>
        </is>
      </c>
      <c r="AD4" s="118" t="inlineStr">
        <is>
          <t>Y3_M1</t>
        </is>
      </c>
      <c r="AE4" s="118" t="inlineStr">
        <is>
          <t>Y3_M2</t>
        </is>
      </c>
      <c r="AF4" s="118" t="inlineStr">
        <is>
          <t>Y3_M3</t>
        </is>
      </c>
      <c r="AG4" s="118" t="inlineStr">
        <is>
          <t>Y3_M4</t>
        </is>
      </c>
      <c r="AH4" s="118" t="inlineStr">
        <is>
          <t>Y3_M5</t>
        </is>
      </c>
      <c r="AI4" s="118" t="inlineStr">
        <is>
          <t>Y3_M6</t>
        </is>
      </c>
      <c r="AJ4" s="118" t="inlineStr">
        <is>
          <t>Y3_M7</t>
        </is>
      </c>
      <c r="AK4" s="118" t="inlineStr">
        <is>
          <t>Y3_M8</t>
        </is>
      </c>
      <c r="AL4" s="118" t="inlineStr">
        <is>
          <t>Y3_M9</t>
        </is>
      </c>
      <c r="AM4" s="118" t="inlineStr">
        <is>
          <t>Y3_M10</t>
        </is>
      </c>
      <c r="AN4" s="118" t="inlineStr">
        <is>
          <t>Y3_M11</t>
        </is>
      </c>
      <c r="AO4" s="118" t="inlineStr">
        <is>
          <t>Y3_M12</t>
        </is>
      </c>
      <c r="AP4" s="118" t="inlineStr">
        <is>
          <t>Y4_M1</t>
        </is>
      </c>
      <c r="AQ4" s="118" t="inlineStr">
        <is>
          <t>Y4_M2</t>
        </is>
      </c>
      <c r="AR4" s="118" t="inlineStr">
        <is>
          <t>Y4_M3</t>
        </is>
      </c>
      <c r="AS4" s="118" t="inlineStr">
        <is>
          <t>Y4_M4</t>
        </is>
      </c>
      <c r="AT4" s="118" t="inlineStr">
        <is>
          <t>Y4_M5</t>
        </is>
      </c>
      <c r="AU4" s="118" t="inlineStr">
        <is>
          <t>Y4_M6</t>
        </is>
      </c>
      <c r="AV4" s="118" t="inlineStr">
        <is>
          <t>Y4_M7</t>
        </is>
      </c>
      <c r="AW4" s="118" t="inlineStr">
        <is>
          <t>Y4_M8</t>
        </is>
      </c>
      <c r="AX4" s="118" t="inlineStr">
        <is>
          <t>Y4_M9</t>
        </is>
      </c>
      <c r="AY4" s="118" t="inlineStr">
        <is>
          <t>Y4_M10</t>
        </is>
      </c>
      <c r="AZ4" s="118" t="inlineStr">
        <is>
          <t>Y4_M11</t>
        </is>
      </c>
      <c r="BA4" s="118" t="inlineStr">
        <is>
          <t>Y4_M12</t>
        </is>
      </c>
      <c r="BB4" s="118" t="inlineStr">
        <is>
          <t>Y5_M1</t>
        </is>
      </c>
      <c r="BC4" s="118" t="inlineStr">
        <is>
          <t>Y5_M2</t>
        </is>
      </c>
      <c r="BD4" s="118" t="inlineStr">
        <is>
          <t>Y5_M3</t>
        </is>
      </c>
      <c r="BE4" s="118" t="inlineStr">
        <is>
          <t>Y5_M4</t>
        </is>
      </c>
      <c r="BF4" s="118" t="inlineStr">
        <is>
          <t>Y5_M5</t>
        </is>
      </c>
      <c r="BG4" s="118" t="inlineStr">
        <is>
          <t>Y5_M6</t>
        </is>
      </c>
      <c r="BH4" s="118" t="inlineStr">
        <is>
          <t>Y5_M7</t>
        </is>
      </c>
      <c r="BI4" s="118" t="inlineStr">
        <is>
          <t>Y5_M8</t>
        </is>
      </c>
      <c r="BJ4" s="118" t="inlineStr">
        <is>
          <t>Y5_M9</t>
        </is>
      </c>
      <c r="BK4" s="118" t="inlineStr">
        <is>
          <t>Y5_M10</t>
        </is>
      </c>
      <c r="BL4" s="118" t="inlineStr">
        <is>
          <t>Y5_M11</t>
        </is>
      </c>
      <c r="BM4" s="118" t="inlineStr">
        <is>
          <t>Y5_M12</t>
        </is>
      </c>
      <c r="BN4" s="9" t="inlineStr">
        <is>
          <t>Y1</t>
        </is>
      </c>
      <c r="BO4" s="10" t="inlineStr">
        <is>
          <t>Y2</t>
        </is>
      </c>
      <c r="BP4" s="10" t="inlineStr">
        <is>
          <t>Y3</t>
        </is>
      </c>
      <c r="BQ4" s="10" t="inlineStr">
        <is>
          <t>Y4</t>
        </is>
      </c>
      <c r="BR4" s="10" t="inlineStr">
        <is>
          <t>Y5</t>
        </is>
      </c>
    </row>
    <row r="5">
      <c r="C5" s="80" t="inlineStr">
        <is>
          <t>売上</t>
        </is>
      </c>
      <c r="E5" s="79" t="n"/>
      <c r="F5" s="194">
        <f>F25*F16</f>
        <v>0.0</v>
      </c>
      <c r="G5" s="194">
        <f>G25*G16</f>
        <v>2450.0</v>
      </c>
      <c r="H5" s="194">
        <f>H25*H16</f>
        <v>13426.0</v>
      </c>
      <c r="I5" s="194">
        <f>I25*I16</f>
        <v>24182.48</v>
      </c>
      <c r="J5" s="194">
        <f>J25*J16</f>
        <v>33498.8304</v>
      </c>
      <c r="K5" s="194">
        <f>K25*K16</f>
        <v>45078.853792</v>
      </c>
      <c r="L5" s="194">
        <f>L25*L16</f>
        <v>56427.27671616</v>
      </c>
      <c r="M5" s="194">
        <f>M25*M16</f>
        <v>67548.7311818368</v>
      </c>
      <c r="N5" s="194">
        <f>N25*N16</f>
        <v>80897.7565582001</v>
      </c>
      <c r="O5" s="194">
        <f>O25*O16</f>
        <v>92754.8014270361</v>
      </c>
      <c r="P5" s="194">
        <f>P25*P16</f>
        <v>104374.705398495</v>
      </c>
      <c r="Q5" s="194">
        <f>Q25*Q16</f>
        <v>118212.211290525</v>
      </c>
      <c r="R5" s="195">
        <f>R25*R16</f>
        <v>130547.967064715</v>
      </c>
      <c r="S5" s="194">
        <f>S25*S16</f>
        <v>142637.007723421</v>
      </c>
      <c r="T5" s="194">
        <f>T25*T16</f>
        <v>156934.267568952</v>
      </c>
      <c r="U5" s="194">
        <f>U25*U16</f>
        <v>169720.582217573</v>
      </c>
      <c r="V5" s="194">
        <f>V25*V16</f>
        <v>182251.170573222</v>
      </c>
      <c r="W5" s="194">
        <f>W25*W16</f>
        <v>196981.147161757</v>
      </c>
      <c r="X5" s="194">
        <f>X25*X16</f>
        <v>210191.524218522</v>
      </c>
      <c r="Y5" s="194">
        <f>Y25*Y16</f>
        <v>223137.693734152</v>
      </c>
      <c r="Z5" s="194">
        <f>Z25*Z16</f>
        <v>238274.939859469</v>
      </c>
      <c r="AA5" s="194">
        <f>AA25*AA16</f>
        <v>251884.441062279</v>
      </c>
      <c r="AB5" s="194">
        <f>AB25*AB16</f>
        <v>265221.752241034</v>
      </c>
      <c r="AC5" s="194">
        <f>AC25*AC16</f>
        <v>279517.317196213</v>
      </c>
      <c r="AD5" s="194">
        <f>AD25*AD16</f>
        <v>296675.764145279</v>
      </c>
      <c r="AE5" s="194">
        <f>AE25*AE16</f>
        <v>312308.938272737</v>
      </c>
      <c r="AF5" s="194">
        <f>AF25*AF16</f>
        <v>330118.531852964</v>
      </c>
      <c r="AG5" s="194">
        <f>AG25*AG16</f>
        <v>346391.457545537</v>
      </c>
      <c r="AH5" s="194">
        <f>AH25*AH16</f>
        <v>363604.60703849</v>
      </c>
      <c r="AI5" s="194">
        <f>AI25*AI16</f>
        <v>380516.526415317</v>
      </c>
      <c r="AJ5" s="194">
        <f>AJ25*AJ16</f>
        <v>398357.487203049</v>
      </c>
      <c r="AK5" s="194">
        <f>AK25*AK16</f>
        <v>414661.231176995</v>
      </c>
      <c r="AL5" s="194">
        <f>AL25*AL16</f>
        <v>433129.659631398</v>
      </c>
      <c r="AM5" s="194">
        <f>AM25*AM16</f>
        <v>450049.890587848</v>
      </c>
      <c r="AN5" s="194">
        <f>AN25*AN16</f>
        <v>466674.017502561</v>
      </c>
      <c r="AO5" s="194">
        <f>AO25*AO16</f>
        <v>485457.222196266</v>
      </c>
      <c r="AP5" s="194">
        <f>AP25*AP16</f>
        <v>502686.720807832</v>
      </c>
      <c r="AQ5" s="194">
        <f>AQ25*AQ16</f>
        <v>519614.703193694</v>
      </c>
      <c r="AR5" s="194">
        <f>AR25*AR16</f>
        <v>537471.445887805</v>
      </c>
      <c r="AS5" s="194">
        <f>AS25*AS16</f>
        <v>555015.695584768</v>
      </c>
      <c r="AT5" s="194">
        <f>AT25*AT16</f>
        <v>572252.920912035</v>
      </c>
      <c r="AU5" s="194">
        <f>AU25*AU16</f>
        <v>590413.494796074</v>
      </c>
      <c r="AV5" s="194">
        <f>AV25*AV16</f>
        <v>608256.258637143</v>
      </c>
      <c r="AW5" s="194">
        <f>AW25*AW16</f>
        <v>625786.774110993</v>
      </c>
      <c r="AX5" s="194">
        <f>AX25*AX16</f>
        <v>644235.50556405</v>
      </c>
      <c r="AY5" s="194">
        <f>AY25*AY16</f>
        <v>661136.38421668</v>
      </c>
      <c r="AZ5" s="194">
        <f>AZ25*AZ16</f>
        <v>678966.497492888</v>
      </c>
      <c r="BA5" s="194">
        <f>BA25*BA16</f>
        <v>696484.583786762</v>
      </c>
      <c r="BB5" s="194">
        <f>BB25*BB16</f>
        <v>721562.315029961</v>
      </c>
      <c r="BC5" s="194">
        <f>BC25*BC16</f>
        <v>745038.880304511</v>
      </c>
      <c r="BD5" s="194">
        <f>BD25*BD16</f>
        <v>769388.297099944</v>
      </c>
      <c r="BE5" s="194">
        <f>BE25*BE16</f>
        <v>793372.472643444</v>
      </c>
      <c r="BF5" s="194">
        <f>BF25*BF16</f>
        <v>816996.885553793</v>
      </c>
      <c r="BG5" s="194">
        <f>BG25*BG16</f>
        <v>842716.932270486</v>
      </c>
      <c r="BH5" s="194">
        <f>BH25*BH16</f>
        <v>866826.178286429</v>
      </c>
      <c r="BI5" s="194">
        <f>BI25*BI16</f>
        <v>890573.785612132</v>
      </c>
      <c r="BJ5" s="194">
        <f>BJ25*BJ16</f>
        <v>915190.17882795</v>
      </c>
      <c r="BK5" s="194">
        <f>BK25*BK16</f>
        <v>939437.326145531</v>
      </c>
      <c r="BL5" s="194">
        <f>BL25*BL16</f>
        <v>963320.766253348</v>
      </c>
      <c r="BM5" s="194">
        <f>BM25*BM16</f>
        <v>988070.954759548</v>
      </c>
      <c r="BN5" s="196">
        <f>SUM(F5:Q5)</f>
        <v>638851.646764254</v>
      </c>
      <c r="BO5" s="197">
        <f>SUM(R5:AC5)</f>
        <v>2447299.81062131</v>
      </c>
      <c r="BP5" s="197">
        <f>SUM(AD5:AO5)</f>
        <v>4677945.33356844</v>
      </c>
      <c r="BQ5" s="197">
        <f>SUM(AP5:BA5)</f>
        <v>7192320.98499072</v>
      </c>
      <c r="BR5" s="197">
        <f>SUM(BB5:BM5)</f>
        <v>10252494.9727871</v>
      </c>
    </row>
    <row r="6">
      <c r="C6" s="0" t="inlineStr">
        <is>
          <t>顧問先</t>
        </is>
      </c>
      <c r="D6" s="79" t="n"/>
      <c r="E6" s="79" t="n"/>
      <c r="F6" s="81">
        <f>35*F18</f>
        <v>0.0</v>
      </c>
      <c r="G6" s="81">
        <f>35*G18</f>
        <v>70.0</v>
      </c>
      <c r="H6" s="81">
        <f>35*H18</f>
        <v>385.0</v>
      </c>
      <c r="I6" s="81">
        <f>35*I18</f>
        <v>700.0</v>
      </c>
      <c r="J6" s="81">
        <f>35*J18</f>
        <v>980.0</v>
      </c>
      <c r="K6" s="81">
        <f>35*K18</f>
        <v>1330.0</v>
      </c>
      <c r="L6" s="81">
        <f>35*L18</f>
        <v>1680.0</v>
      </c>
      <c r="M6" s="81">
        <f>35*M18</f>
        <v>2030.0</v>
      </c>
      <c r="N6" s="81">
        <f>35*N18</f>
        <v>2450.0</v>
      </c>
      <c r="O6" s="81">
        <f>35*O18</f>
        <v>2835.0</v>
      </c>
      <c r="P6" s="81">
        <f>35*P18</f>
        <v>3220.0</v>
      </c>
      <c r="Q6" s="81">
        <f>35*Q18</f>
        <v>3675.0</v>
      </c>
      <c r="R6" s="82">
        <f>35*R18</f>
        <v>4095.0</v>
      </c>
      <c r="S6" s="81">
        <f>35*S18</f>
        <v>4515.0</v>
      </c>
      <c r="T6" s="81">
        <f>35*T18</f>
        <v>5005.0</v>
      </c>
      <c r="U6" s="81">
        <f>35*U18</f>
        <v>5460.0</v>
      </c>
      <c r="V6" s="81">
        <f>35*V18</f>
        <v>5915.0</v>
      </c>
      <c r="W6" s="81">
        <f>35*W18</f>
        <v>6440.0</v>
      </c>
      <c r="X6" s="81">
        <f>35*X18</f>
        <v>6930.0</v>
      </c>
      <c r="Y6" s="81">
        <f>35*Y18</f>
        <v>7420.0</v>
      </c>
      <c r="Z6" s="81">
        <f>35*Z18</f>
        <v>7980.0</v>
      </c>
      <c r="AA6" s="81">
        <f>35*AA18</f>
        <v>8505.0</v>
      </c>
      <c r="AB6" s="81">
        <f>35*AB18</f>
        <v>9030.0</v>
      </c>
      <c r="AC6" s="81">
        <f>35*AC18</f>
        <v>9590.0</v>
      </c>
      <c r="AD6" s="81">
        <f>35*AD18</f>
        <v>10220.0</v>
      </c>
      <c r="AE6" s="81">
        <f>35*AE18</f>
        <v>10815.0</v>
      </c>
      <c r="AF6" s="81">
        <f>35*AF18</f>
        <v>11480.0</v>
      </c>
      <c r="AG6" s="81">
        <f>35*AG18</f>
        <v>12110.0</v>
      </c>
      <c r="AH6" s="81">
        <f>35*AH18</f>
        <v>12775.0</v>
      </c>
      <c r="AI6" s="81">
        <f>35*AI18</f>
        <v>13440.0</v>
      </c>
      <c r="AJ6" s="81">
        <f>35*AJ18</f>
        <v>14140.0</v>
      </c>
      <c r="AK6" s="81">
        <f>35*AK18</f>
        <v>14805.0</v>
      </c>
      <c r="AL6" s="81">
        <f>35*AL18</f>
        <v>15540.0</v>
      </c>
      <c r="AM6" s="81">
        <f>35*AM18</f>
        <v>16240.0</v>
      </c>
      <c r="AN6" s="81">
        <f>35*AN18</f>
        <v>16940.0</v>
      </c>
      <c r="AO6" s="81">
        <f>35*AO18</f>
        <v>17710.0</v>
      </c>
      <c r="AP6" s="81">
        <f>35*AP18</f>
        <v>18445.0</v>
      </c>
      <c r="AQ6" s="81">
        <f>35*AQ18</f>
        <v>19180.0</v>
      </c>
      <c r="AR6" s="81">
        <f>35*AR18</f>
        <v>19950.0</v>
      </c>
      <c r="AS6" s="81">
        <f>35*AS18</f>
        <v>20720.0</v>
      </c>
      <c r="AT6" s="81">
        <f>35*AT18</f>
        <v>21490.0</v>
      </c>
      <c r="AU6" s="81">
        <f>35*AU18</f>
        <v>22295.0</v>
      </c>
      <c r="AV6" s="81">
        <f>35*AV18</f>
        <v>23100.0</v>
      </c>
      <c r="AW6" s="81">
        <f>35*AW18</f>
        <v>23905.0</v>
      </c>
      <c r="AX6" s="81">
        <f>35*AX18</f>
        <v>24745.0</v>
      </c>
      <c r="AY6" s="81">
        <f>35*AY18</f>
        <v>25550.0</v>
      </c>
      <c r="AZ6" s="81">
        <f>35*AZ18</f>
        <v>26390.0</v>
      </c>
      <c r="BA6" s="81">
        <f>35*BA18</f>
        <v>27230.0</v>
      </c>
      <c r="BB6" s="81">
        <f>35*BB18</f>
        <v>28245.0</v>
      </c>
      <c r="BC6" s="81">
        <f>35*BC18</f>
        <v>29225.0</v>
      </c>
      <c r="BD6" s="81">
        <f>35*BD18</f>
        <v>30240.0</v>
      </c>
      <c r="BE6" s="81">
        <f>35*BE18</f>
        <v>31255.0</v>
      </c>
      <c r="BF6" s="81">
        <f>35*BF18</f>
        <v>32270.0</v>
      </c>
      <c r="BG6" s="81">
        <f>35*BG18</f>
        <v>33355.0</v>
      </c>
      <c r="BH6" s="81">
        <f>35*BH18</f>
        <v>34405.0</v>
      </c>
      <c r="BI6" s="81">
        <f>35*BI18</f>
        <v>35455.0</v>
      </c>
      <c r="BJ6" s="81">
        <f>35*BJ18</f>
        <v>36540.0</v>
      </c>
      <c r="BK6" s="81">
        <f>35*BK18</f>
        <v>37625.0</v>
      </c>
      <c r="BL6" s="81">
        <f>35*BL18</f>
        <v>38710.0</v>
      </c>
      <c r="BM6" s="81">
        <f>35*BM18</f>
        <v>39830.0</v>
      </c>
      <c r="BN6" s="96">
        <f>35*BN18</f>
        <v>3675.0</v>
      </c>
      <c r="BO6" s="81">
        <f>35*BO18</f>
        <v>9590.0</v>
      </c>
      <c r="BP6" s="81">
        <f>35*BP18</f>
        <v>17710.0</v>
      </c>
      <c r="BQ6" s="81">
        <f>35*BQ18</f>
        <v>27230.0</v>
      </c>
      <c r="BR6" s="81">
        <f>35*BR18</f>
        <v>39830.0</v>
      </c>
    </row>
    <row r="7">
      <c r="C7" s="0" t="inlineStr">
        <is>
          <t>電力コスト大・切替メリットあり割合</t>
        </is>
      </c>
      <c r="D7" s="0" t="inlineStr">
        <is>
          <t>検出＝決算書の水道光熱費が売上比大（製造・飲食・介護等）。推定</t>
        </is>
      </c>
      <c r="E7" s="79" t="n"/>
      <c r="F7" s="0" t="n">
        <v>0.4</v>
      </c>
      <c r="G7" s="0" t="n">
        <v>0.4</v>
      </c>
      <c r="H7" s="0" t="n">
        <v>0.4</v>
      </c>
      <c r="I7" s="0" t="n">
        <v>0.4</v>
      </c>
      <c r="J7" s="0" t="n">
        <v>0.4</v>
      </c>
      <c r="K7" s="0" t="n">
        <v>0.4</v>
      </c>
      <c r="L7" s="0" t="n">
        <v>0.4</v>
      </c>
      <c r="M7" s="0" t="n">
        <v>0.4</v>
      </c>
      <c r="N7" s="0" t="n">
        <v>0.4</v>
      </c>
      <c r="O7" s="0" t="n">
        <v>0.4</v>
      </c>
      <c r="P7" s="0" t="n">
        <v>0.4</v>
      </c>
      <c r="Q7" s="0" t="n">
        <v>0.4</v>
      </c>
      <c r="R7" s="83" t="n">
        <v>0.4</v>
      </c>
      <c r="S7" s="0" t="n">
        <v>0.4</v>
      </c>
      <c r="T7" s="0" t="n">
        <v>0.4</v>
      </c>
      <c r="U7" s="0" t="n">
        <v>0.4</v>
      </c>
      <c r="V7" s="0" t="n">
        <v>0.4</v>
      </c>
      <c r="W7" s="0" t="n">
        <v>0.4</v>
      </c>
      <c r="X7" s="0" t="n">
        <v>0.4</v>
      </c>
      <c r="Y7" s="0" t="n">
        <v>0.4</v>
      </c>
      <c r="Z7" s="0" t="n">
        <v>0.4</v>
      </c>
      <c r="AA7" s="0" t="n">
        <v>0.4</v>
      </c>
      <c r="AB7" s="0" t="n">
        <v>0.4</v>
      </c>
      <c r="AC7" s="0" t="n">
        <v>0.4</v>
      </c>
      <c r="AD7" s="0" t="n">
        <v>0.4</v>
      </c>
      <c r="AE7" s="0" t="n">
        <v>0.4</v>
      </c>
      <c r="AF7" s="0" t="n">
        <v>0.4</v>
      </c>
      <c r="AG7" s="0" t="n">
        <v>0.4</v>
      </c>
      <c r="AH7" s="0" t="n">
        <v>0.4</v>
      </c>
      <c r="AI7" s="0" t="n">
        <v>0.4</v>
      </c>
      <c r="AJ7" s="0" t="n">
        <v>0.4</v>
      </c>
      <c r="AK7" s="0" t="n">
        <v>0.4</v>
      </c>
      <c r="AL7" s="0" t="n">
        <v>0.4</v>
      </c>
      <c r="AM7" s="0" t="n">
        <v>0.4</v>
      </c>
      <c r="AN7" s="0" t="n">
        <v>0.4</v>
      </c>
      <c r="AO7" s="0" t="n">
        <v>0.4</v>
      </c>
      <c r="AP7" s="0" t="n">
        <v>0.4</v>
      </c>
      <c r="AQ7" s="0" t="n">
        <v>0.4</v>
      </c>
      <c r="AR7" s="0" t="n">
        <v>0.4</v>
      </c>
      <c r="AS7" s="0" t="n">
        <v>0.4</v>
      </c>
      <c r="AT7" s="0" t="n">
        <v>0.4</v>
      </c>
      <c r="AU7" s="0" t="n">
        <v>0.4</v>
      </c>
      <c r="AV7" s="0" t="n">
        <v>0.4</v>
      </c>
      <c r="AW7" s="0" t="n">
        <v>0.4</v>
      </c>
      <c r="AX7" s="0" t="n">
        <v>0.4</v>
      </c>
      <c r="AY7" s="0" t="n">
        <v>0.4</v>
      </c>
      <c r="AZ7" s="0" t="n">
        <v>0.4</v>
      </c>
      <c r="BA7" s="0" t="n">
        <v>0.4</v>
      </c>
      <c r="BB7" s="0" t="n">
        <v>0.4</v>
      </c>
      <c r="BC7" s="0" t="n">
        <v>0.4</v>
      </c>
      <c r="BD7" s="0" t="n">
        <v>0.4</v>
      </c>
      <c r="BE7" s="0" t="n">
        <v>0.4</v>
      </c>
      <c r="BF7" s="0" t="n">
        <v>0.4</v>
      </c>
      <c r="BG7" s="0" t="n">
        <v>0.4</v>
      </c>
      <c r="BH7" s="0" t="n">
        <v>0.4</v>
      </c>
      <c r="BI7" s="0" t="n">
        <v>0.4</v>
      </c>
      <c r="BJ7" s="0" t="n">
        <v>0.4</v>
      </c>
      <c r="BK7" s="0" t="n">
        <v>0.4</v>
      </c>
      <c r="BL7" s="0" t="n">
        <v>0.4</v>
      </c>
      <c r="BM7" s="0" t="n">
        <v>0.4</v>
      </c>
      <c r="BN7" s="96" t="n">
        <v>0.4</v>
      </c>
      <c r="BO7" s="0" t="n">
        <v>0.4</v>
      </c>
      <c r="BP7" s="0" t="n">
        <v>0.4</v>
      </c>
      <c r="BQ7" s="0" t="n">
        <v>0.4</v>
      </c>
      <c r="BR7" s="0" t="n">
        <v>0.4</v>
      </c>
    </row>
    <row r="8">
      <c r="C8" s="0" t="inlineStr">
        <is>
          <t>税理士 ➡ 企業提案</t>
        </is>
      </c>
      <c r="D8" s="0" t="inlineStr">
        <is>
          <t>工事なし・書類1枚・削減額は請求書で確定＝提案しやすい。推定</t>
        </is>
      </c>
      <c r="E8" s="79" t="n"/>
      <c r="F8" s="0" t="n">
        <v>0.5</v>
      </c>
      <c r="G8" s="0" t="n">
        <v>0.5</v>
      </c>
      <c r="H8" s="0" t="n">
        <v>0.5</v>
      </c>
      <c r="I8" s="0" t="n">
        <v>0.5</v>
      </c>
      <c r="J8" s="0" t="n">
        <v>0.5</v>
      </c>
      <c r="K8" s="0" t="n">
        <v>0.5</v>
      </c>
      <c r="L8" s="0" t="n">
        <v>0.5</v>
      </c>
      <c r="M8" s="0" t="n">
        <v>0.5</v>
      </c>
      <c r="N8" s="0" t="n">
        <v>0.5</v>
      </c>
      <c r="O8" s="0" t="n">
        <v>0.5</v>
      </c>
      <c r="P8" s="0" t="n">
        <v>0.5</v>
      </c>
      <c r="Q8" s="0" t="n">
        <v>0.5</v>
      </c>
      <c r="R8" s="83" t="n">
        <v>0.5</v>
      </c>
      <c r="S8" s="0" t="n">
        <v>0.5</v>
      </c>
      <c r="T8" s="0" t="n">
        <v>0.5</v>
      </c>
      <c r="U8" s="0" t="n">
        <v>0.5</v>
      </c>
      <c r="V8" s="0" t="n">
        <v>0.5</v>
      </c>
      <c r="W8" s="0" t="n">
        <v>0.5</v>
      </c>
      <c r="X8" s="0" t="n">
        <v>0.5</v>
      </c>
      <c r="Y8" s="0" t="n">
        <v>0.5</v>
      </c>
      <c r="Z8" s="0" t="n">
        <v>0.5</v>
      </c>
      <c r="AA8" s="0" t="n">
        <v>0.5</v>
      </c>
      <c r="AB8" s="0" t="n">
        <v>0.5</v>
      </c>
      <c r="AC8" s="0" t="n">
        <v>0.5</v>
      </c>
      <c r="AD8" s="0" t="n">
        <v>0.5</v>
      </c>
      <c r="AE8" s="0" t="n">
        <v>0.5</v>
      </c>
      <c r="AF8" s="0" t="n">
        <v>0.5</v>
      </c>
      <c r="AG8" s="0" t="n">
        <v>0.5</v>
      </c>
      <c r="AH8" s="0" t="n">
        <v>0.5</v>
      </c>
      <c r="AI8" s="0" t="n">
        <v>0.5</v>
      </c>
      <c r="AJ8" s="0" t="n">
        <v>0.5</v>
      </c>
      <c r="AK8" s="0" t="n">
        <v>0.5</v>
      </c>
      <c r="AL8" s="0" t="n">
        <v>0.5</v>
      </c>
      <c r="AM8" s="0" t="n">
        <v>0.5</v>
      </c>
      <c r="AN8" s="0" t="n">
        <v>0.5</v>
      </c>
      <c r="AO8" s="0" t="n">
        <v>0.5</v>
      </c>
      <c r="AP8" s="0" t="n">
        <v>0.5</v>
      </c>
      <c r="AQ8" s="0" t="n">
        <v>0.5</v>
      </c>
      <c r="AR8" s="0" t="n">
        <v>0.5</v>
      </c>
      <c r="AS8" s="0" t="n">
        <v>0.5</v>
      </c>
      <c r="AT8" s="0" t="n">
        <v>0.5</v>
      </c>
      <c r="AU8" s="0" t="n">
        <v>0.5</v>
      </c>
      <c r="AV8" s="0" t="n">
        <v>0.5</v>
      </c>
      <c r="AW8" s="0" t="n">
        <v>0.5</v>
      </c>
      <c r="AX8" s="0" t="n">
        <v>0.5</v>
      </c>
      <c r="AY8" s="0" t="n">
        <v>0.5</v>
      </c>
      <c r="AZ8" s="0" t="n">
        <v>0.5</v>
      </c>
      <c r="BA8" s="0" t="n">
        <v>0.5</v>
      </c>
      <c r="BB8" s="0" t="n">
        <v>0.5</v>
      </c>
      <c r="BC8" s="0" t="n">
        <v>0.5</v>
      </c>
      <c r="BD8" s="0" t="n">
        <v>0.5</v>
      </c>
      <c r="BE8" s="0" t="n">
        <v>0.5</v>
      </c>
      <c r="BF8" s="0" t="n">
        <v>0.5</v>
      </c>
      <c r="BG8" s="0" t="n">
        <v>0.5</v>
      </c>
      <c r="BH8" s="0" t="n">
        <v>0.5</v>
      </c>
      <c r="BI8" s="0" t="n">
        <v>0.5</v>
      </c>
      <c r="BJ8" s="0" t="n">
        <v>0.5</v>
      </c>
      <c r="BK8" s="0" t="n">
        <v>0.5</v>
      </c>
      <c r="BL8" s="0" t="n">
        <v>0.5</v>
      </c>
      <c r="BM8" s="0" t="n">
        <v>0.5</v>
      </c>
      <c r="BN8" s="96" t="n">
        <v>0.5</v>
      </c>
      <c r="BO8" s="0" t="n">
        <v>0.5</v>
      </c>
      <c r="BP8" s="0" t="n">
        <v>0.5</v>
      </c>
      <c r="BQ8" s="0" t="n">
        <v>0.5</v>
      </c>
      <c r="BR8" s="0" t="n">
        <v>0.5</v>
      </c>
    </row>
    <row r="9">
      <c r="C9" s="0" t="inlineStr">
        <is>
          <t>受注率</t>
        </is>
      </c>
      <c r="D9" s="0" t="inlineStr">
        <is>
          <t>推定</t>
        </is>
      </c>
      <c r="E9" s="79" t="n"/>
      <c r="F9" s="81" t="n">
        <v>0.5</v>
      </c>
      <c r="G9" s="81" t="n">
        <v>0.5</v>
      </c>
      <c r="H9" s="81" t="n">
        <v>0.5</v>
      </c>
      <c r="I9" s="81" t="n">
        <v>0.5</v>
      </c>
      <c r="J9" s="81" t="n">
        <v>0.5</v>
      </c>
      <c r="K9" s="81" t="n">
        <v>0.5</v>
      </c>
      <c r="L9" s="81" t="n">
        <v>0.5</v>
      </c>
      <c r="M9" s="81" t="n">
        <v>0.5</v>
      </c>
      <c r="N9" s="81" t="n">
        <v>0.5</v>
      </c>
      <c r="O9" s="81" t="n">
        <v>0.5</v>
      </c>
      <c r="P9" s="81" t="n">
        <v>0.5</v>
      </c>
      <c r="Q9" s="81" t="n">
        <v>0.5</v>
      </c>
      <c r="R9" s="82" t="n">
        <v>0.5</v>
      </c>
      <c r="S9" s="81" t="n">
        <v>0.5</v>
      </c>
      <c r="T9" s="81" t="n">
        <v>0.5</v>
      </c>
      <c r="U9" s="81" t="n">
        <v>0.5</v>
      </c>
      <c r="V9" s="81" t="n">
        <v>0.5</v>
      </c>
      <c r="W9" s="81" t="n">
        <v>0.5</v>
      </c>
      <c r="X9" s="81" t="n">
        <v>0.5</v>
      </c>
      <c r="Y9" s="81" t="n">
        <v>0.5</v>
      </c>
      <c r="Z9" s="81" t="n">
        <v>0.5</v>
      </c>
      <c r="AA9" s="81" t="n">
        <v>0.5</v>
      </c>
      <c r="AB9" s="81" t="n">
        <v>0.5</v>
      </c>
      <c r="AC9" s="81" t="n">
        <v>0.5</v>
      </c>
      <c r="AD9" s="81" t="n">
        <v>0.5</v>
      </c>
      <c r="AE9" s="81" t="n">
        <v>0.5</v>
      </c>
      <c r="AF9" s="81" t="n">
        <v>0.5</v>
      </c>
      <c r="AG9" s="81" t="n">
        <v>0.5</v>
      </c>
      <c r="AH9" s="81" t="n">
        <v>0.5</v>
      </c>
      <c r="AI9" s="81" t="n">
        <v>0.5</v>
      </c>
      <c r="AJ9" s="81" t="n">
        <v>0.5</v>
      </c>
      <c r="AK9" s="81" t="n">
        <v>0.5</v>
      </c>
      <c r="AL9" s="81" t="n">
        <v>0.5</v>
      </c>
      <c r="AM9" s="81" t="n">
        <v>0.5</v>
      </c>
      <c r="AN9" s="81" t="n">
        <v>0.5</v>
      </c>
      <c r="AO9" s="81" t="n">
        <v>0.5</v>
      </c>
      <c r="AP9" s="81" t="n">
        <v>0.5</v>
      </c>
      <c r="AQ9" s="81" t="n">
        <v>0.5</v>
      </c>
      <c r="AR9" s="81" t="n">
        <v>0.5</v>
      </c>
      <c r="AS9" s="81" t="n">
        <v>0.5</v>
      </c>
      <c r="AT9" s="81" t="n">
        <v>0.5</v>
      </c>
      <c r="AU9" s="81" t="n">
        <v>0.5</v>
      </c>
      <c r="AV9" s="81" t="n">
        <v>0.5</v>
      </c>
      <c r="AW9" s="81" t="n">
        <v>0.5</v>
      </c>
      <c r="AX9" s="81" t="n">
        <v>0.5</v>
      </c>
      <c r="AY9" s="81" t="n">
        <v>0.5</v>
      </c>
      <c r="AZ9" s="81" t="n">
        <v>0.5</v>
      </c>
      <c r="BA9" s="81" t="n">
        <v>0.5</v>
      </c>
      <c r="BB9" s="81" t="n">
        <v>0.5</v>
      </c>
      <c r="BC9" s="81" t="n">
        <v>0.5</v>
      </c>
      <c r="BD9" s="81" t="n">
        <v>0.5</v>
      </c>
      <c r="BE9" s="81" t="n">
        <v>0.5</v>
      </c>
      <c r="BF9" s="81" t="n">
        <v>0.5</v>
      </c>
      <c r="BG9" s="81" t="n">
        <v>0.5</v>
      </c>
      <c r="BH9" s="81" t="n">
        <v>0.5</v>
      </c>
      <c r="BI9" s="81" t="n">
        <v>0.5</v>
      </c>
      <c r="BJ9" s="81" t="n">
        <v>0.5</v>
      </c>
      <c r="BK9" s="81" t="n">
        <v>0.5</v>
      </c>
      <c r="BL9" s="81" t="n">
        <v>0.5</v>
      </c>
      <c r="BM9" s="81" t="n">
        <v>0.5</v>
      </c>
      <c r="BN9" s="96" t="n">
        <v>0.5</v>
      </c>
      <c r="BO9" s="81" t="n">
        <v>0.5</v>
      </c>
      <c r="BP9" s="81" t="n">
        <v>0.5</v>
      </c>
      <c r="BQ9" s="81" t="n">
        <v>0.5</v>
      </c>
      <c r="BR9" s="81" t="n">
        <v>0.5</v>
      </c>
    </row>
    <row r="10">
      <c r="C10" s="0" t="inlineStr">
        <is>
          <t>定常浸透率</t>
        </is>
      </c>
      <c r="D10" s="0" t="inlineStr">
        <is>
          <t>導入後の継続利用率。推定</t>
        </is>
      </c>
      <c r="E10" s="79" t="n"/>
      <c r="F10" s="0" t="n">
        <v>0.7</v>
      </c>
      <c r="G10" s="0" t="n">
        <v>0.7</v>
      </c>
      <c r="H10" s="0" t="n">
        <v>0.7</v>
      </c>
      <c r="I10" s="0" t="n">
        <v>0.7</v>
      </c>
      <c r="J10" s="0" t="n">
        <v>0.7</v>
      </c>
      <c r="K10" s="0" t="n">
        <v>0.7</v>
      </c>
      <c r="L10" s="0" t="n">
        <v>0.7</v>
      </c>
      <c r="M10" s="0" t="n">
        <v>0.7</v>
      </c>
      <c r="N10" s="0" t="n">
        <v>0.7</v>
      </c>
      <c r="O10" s="0" t="n">
        <v>0.7</v>
      </c>
      <c r="P10" s="0" t="n">
        <v>0.7</v>
      </c>
      <c r="Q10" s="0" t="n">
        <v>0.7</v>
      </c>
      <c r="R10" s="83" t="n">
        <v>0.7</v>
      </c>
      <c r="S10" s="0" t="n">
        <v>0.7</v>
      </c>
      <c r="T10" s="0" t="n">
        <v>0.7</v>
      </c>
      <c r="U10" s="0" t="n">
        <v>0.7</v>
      </c>
      <c r="V10" s="0" t="n">
        <v>0.7</v>
      </c>
      <c r="W10" s="0" t="n">
        <v>0.7</v>
      </c>
      <c r="X10" s="0" t="n">
        <v>0.7</v>
      </c>
      <c r="Y10" s="0" t="n">
        <v>0.7</v>
      </c>
      <c r="Z10" s="0" t="n">
        <v>0.7</v>
      </c>
      <c r="AA10" s="0" t="n">
        <v>0.7</v>
      </c>
      <c r="AB10" s="0" t="n">
        <v>0.7</v>
      </c>
      <c r="AC10" s="0" t="n">
        <v>0.7</v>
      </c>
      <c r="AD10" s="0" t="n">
        <v>0.7</v>
      </c>
      <c r="AE10" s="0" t="n">
        <v>0.7</v>
      </c>
      <c r="AF10" s="0" t="n">
        <v>0.7</v>
      </c>
      <c r="AG10" s="0" t="n">
        <v>0.7</v>
      </c>
      <c r="AH10" s="0" t="n">
        <v>0.7</v>
      </c>
      <c r="AI10" s="0" t="n">
        <v>0.7</v>
      </c>
      <c r="AJ10" s="0" t="n">
        <v>0.7</v>
      </c>
      <c r="AK10" s="0" t="n">
        <v>0.7</v>
      </c>
      <c r="AL10" s="0" t="n">
        <v>0.7</v>
      </c>
      <c r="AM10" s="0" t="n">
        <v>0.7</v>
      </c>
      <c r="AN10" s="0" t="n">
        <v>0.7</v>
      </c>
      <c r="AO10" s="0" t="n">
        <v>0.7</v>
      </c>
      <c r="AP10" s="0" t="n">
        <v>0.7</v>
      </c>
      <c r="AQ10" s="0" t="n">
        <v>0.7</v>
      </c>
      <c r="AR10" s="0" t="n">
        <v>0.7</v>
      </c>
      <c r="AS10" s="0" t="n">
        <v>0.7</v>
      </c>
      <c r="AT10" s="0" t="n">
        <v>0.7</v>
      </c>
      <c r="AU10" s="0" t="n">
        <v>0.7</v>
      </c>
      <c r="AV10" s="0" t="n">
        <v>0.7</v>
      </c>
      <c r="AW10" s="0" t="n">
        <v>0.7</v>
      </c>
      <c r="AX10" s="0" t="n">
        <v>0.7</v>
      </c>
      <c r="AY10" s="0" t="n">
        <v>0.7</v>
      </c>
      <c r="AZ10" s="0" t="n">
        <v>0.7</v>
      </c>
      <c r="BA10" s="0" t="n">
        <v>0.7</v>
      </c>
      <c r="BB10" s="0" t="n">
        <v>0.7</v>
      </c>
      <c r="BC10" s="0" t="n">
        <v>0.7</v>
      </c>
      <c r="BD10" s="0" t="n">
        <v>0.7</v>
      </c>
      <c r="BE10" s="0" t="n">
        <v>0.7</v>
      </c>
      <c r="BF10" s="0" t="n">
        <v>0.7</v>
      </c>
      <c r="BG10" s="0" t="n">
        <v>0.7</v>
      </c>
      <c r="BH10" s="0" t="n">
        <v>0.7</v>
      </c>
      <c r="BI10" s="0" t="n">
        <v>0.7</v>
      </c>
      <c r="BJ10" s="0" t="n">
        <v>0.7</v>
      </c>
      <c r="BK10" s="0" t="n">
        <v>0.7</v>
      </c>
      <c r="BL10" s="0" t="n">
        <v>0.7</v>
      </c>
      <c r="BM10" s="0" t="n">
        <v>0.7</v>
      </c>
      <c r="BN10" s="96" t="n">
        <v>0.7</v>
      </c>
      <c r="BO10" s="0" t="n">
        <v>0.7</v>
      </c>
      <c r="BP10" s="0" t="n">
        <v>0.7</v>
      </c>
      <c r="BQ10" s="0" t="n">
        <v>0.7</v>
      </c>
      <c r="BR10" s="0" t="n">
        <v>0.7</v>
      </c>
    </row>
    <row r="11" s="159">
      <c r="C11" s="0" t="inlineStr">
        <is>
          <t>１税理士 / 受注数（定常）（累計獲得数・解約前）</t>
        </is>
      </c>
      <c r="D11" s="79" t="n"/>
      <c r="E11" s="79" t="n"/>
      <c r="F11" s="0">
        <f>PRODUCT(F6:F10)</f>
        <v>0.0</v>
      </c>
      <c r="G11" s="0">
        <f>PRODUCT(G6:G10)</f>
        <v>4.9</v>
      </c>
      <c r="H11" s="0">
        <f>PRODUCT(H6:H10)</f>
        <v>26.95</v>
      </c>
      <c r="I11" s="0">
        <f>PRODUCT(I6:I10)</f>
        <v>49.0</v>
      </c>
      <c r="J11" s="0">
        <f>PRODUCT(J6:J10)</f>
        <v>68.6</v>
      </c>
      <c r="K11" s="0">
        <f>PRODUCT(K6:K10)</f>
        <v>93.1</v>
      </c>
      <c r="L11" s="0">
        <f>PRODUCT(L6:L10)</f>
        <v>117.6</v>
      </c>
      <c r="M11" s="0">
        <f>PRODUCT(M6:M10)</f>
        <v>142.1</v>
      </c>
      <c r="N11" s="0">
        <f>PRODUCT(N6:N10)</f>
        <v>171.5</v>
      </c>
      <c r="O11" s="0">
        <f>PRODUCT(O6:O10)</f>
        <v>198.45</v>
      </c>
      <c r="P11" s="0">
        <f>PRODUCT(P6:P10)</f>
        <v>225.4</v>
      </c>
      <c r="Q11" s="0">
        <f>PRODUCT(Q6:Q10)</f>
        <v>257.25</v>
      </c>
      <c r="R11" s="83">
        <f>PRODUCT(R6:R10)</f>
        <v>286.65</v>
      </c>
      <c r="S11" s="0">
        <f>PRODUCT(S6:S10)</f>
        <v>316.05</v>
      </c>
      <c r="T11" s="0">
        <f>PRODUCT(T6:T10)</f>
        <v>350.35</v>
      </c>
      <c r="U11" s="0">
        <f>PRODUCT(U6:U10)</f>
        <v>382.2</v>
      </c>
      <c r="V11" s="0">
        <f>PRODUCT(V6:V10)</f>
        <v>414.05</v>
      </c>
      <c r="W11" s="0">
        <f>PRODUCT(W6:W10)</f>
        <v>450.8</v>
      </c>
      <c r="X11" s="0">
        <f>PRODUCT(X6:X10)</f>
        <v>485.1</v>
      </c>
      <c r="Y11" s="0">
        <f>PRODUCT(Y6:Y10)</f>
        <v>519.4</v>
      </c>
      <c r="Z11" s="0">
        <f>PRODUCT(Z6:Z10)</f>
        <v>558.6</v>
      </c>
      <c r="AA11" s="0">
        <f>PRODUCT(AA6:AA10)</f>
        <v>595.35</v>
      </c>
      <c r="AB11" s="0">
        <f>PRODUCT(AB6:AB10)</f>
        <v>632.1</v>
      </c>
      <c r="AC11" s="0">
        <f>PRODUCT(AC6:AC10)</f>
        <v>671.3</v>
      </c>
      <c r="AD11" s="0">
        <f>PRODUCT(AD6:AD10)</f>
        <v>715.4</v>
      </c>
      <c r="AE11" s="0">
        <f>PRODUCT(AE6:AE10)</f>
        <v>757.05</v>
      </c>
      <c r="AF11" s="0">
        <f>PRODUCT(AF6:AF10)</f>
        <v>803.6</v>
      </c>
      <c r="AG11" s="0">
        <f>PRODUCT(AG6:AG10)</f>
        <v>847.7</v>
      </c>
      <c r="AH11" s="0">
        <f>PRODUCT(AH6:AH10)</f>
        <v>894.25</v>
      </c>
      <c r="AI11" s="0">
        <f>PRODUCT(AI6:AI10)</f>
        <v>940.8</v>
      </c>
      <c r="AJ11" s="0">
        <f>PRODUCT(AJ6:AJ10)</f>
        <v>989.8</v>
      </c>
      <c r="AK11" s="0">
        <f>PRODUCT(AK6:AK10)</f>
        <v>1036.35</v>
      </c>
      <c r="AL11" s="0">
        <f>PRODUCT(AL6:AL10)</f>
        <v>1087.8</v>
      </c>
      <c r="AM11" s="0">
        <f>PRODUCT(AM6:AM10)</f>
        <v>1136.8</v>
      </c>
      <c r="AN11" s="0">
        <f>PRODUCT(AN6:AN10)</f>
        <v>1185.8</v>
      </c>
      <c r="AO11" s="0">
        <f>PRODUCT(AO6:AO10)</f>
        <v>1239.7</v>
      </c>
      <c r="AP11" s="0">
        <f>PRODUCT(AP6:AP10)</f>
        <v>1291.15</v>
      </c>
      <c r="AQ11" s="0">
        <f>PRODUCT(AQ6:AQ10)</f>
        <v>1342.6</v>
      </c>
      <c r="AR11" s="0">
        <f>PRODUCT(AR6:AR10)</f>
        <v>1396.5</v>
      </c>
      <c r="AS11" s="0">
        <f>PRODUCT(AS6:AS10)</f>
        <v>1450.4</v>
      </c>
      <c r="AT11" s="0">
        <f>PRODUCT(AT6:AT10)</f>
        <v>1504.3</v>
      </c>
      <c r="AU11" s="0">
        <f>PRODUCT(AU6:AU10)</f>
        <v>1560.65</v>
      </c>
      <c r="AV11" s="0">
        <f>PRODUCT(AV6:AV10)</f>
        <v>1617.0</v>
      </c>
      <c r="AW11" s="0">
        <f>PRODUCT(AW6:AW10)</f>
        <v>1673.35</v>
      </c>
      <c r="AX11" s="0">
        <f>PRODUCT(AX6:AX10)</f>
        <v>1732.15</v>
      </c>
      <c r="AY11" s="0">
        <f>PRODUCT(AY6:AY10)</f>
        <v>1788.5</v>
      </c>
      <c r="AZ11" s="0">
        <f>PRODUCT(AZ6:AZ10)</f>
        <v>1847.3</v>
      </c>
      <c r="BA11" s="0">
        <f>PRODUCT(BA6:BA10)</f>
        <v>1906.1</v>
      </c>
      <c r="BB11" s="0">
        <f>PRODUCT(BB6:BB10)</f>
        <v>1977.15</v>
      </c>
      <c r="BC11" s="0">
        <f>PRODUCT(BC6:BC10)</f>
        <v>2045.75</v>
      </c>
      <c r="BD11" s="0">
        <f>PRODUCT(BD6:BD10)</f>
        <v>2116.8</v>
      </c>
      <c r="BE11" s="0">
        <f>PRODUCT(BE6:BE10)</f>
        <v>2187.85</v>
      </c>
      <c r="BF11" s="0">
        <f>PRODUCT(BF6:BF10)</f>
        <v>2258.9</v>
      </c>
      <c r="BG11" s="0">
        <f>PRODUCT(BG6:BG10)</f>
        <v>2334.85</v>
      </c>
      <c r="BH11" s="0">
        <f>PRODUCT(BH6:BH10)</f>
        <v>2408.35</v>
      </c>
      <c r="BI11" s="0">
        <f>PRODUCT(BI6:BI10)</f>
        <v>2481.85</v>
      </c>
      <c r="BJ11" s="0">
        <f>PRODUCT(BJ6:BJ10)</f>
        <v>2557.8</v>
      </c>
      <c r="BK11" s="0">
        <f>PRODUCT(BK6:BK10)</f>
        <v>2633.75</v>
      </c>
      <c r="BL11" s="0">
        <f>PRODUCT(BL6:BL10)</f>
        <v>2709.7</v>
      </c>
      <c r="BM11" s="0">
        <f>PRODUCT(BM6:BM10)</f>
        <v>2788.1</v>
      </c>
      <c r="BN11" s="96">
        <f>PRODUCT(BN6:BN10)</f>
        <v>257.25</v>
      </c>
      <c r="BO11" s="0">
        <f>PRODUCT(BO6:BO10)</f>
        <v>671.3</v>
      </c>
      <c r="BP11" s="0">
        <f>PRODUCT(BP6:BP10)</f>
        <v>1239.7</v>
      </c>
      <c r="BQ11" s="0">
        <f>PRODUCT(BQ6:BQ10)</f>
        <v>1906.1</v>
      </c>
      <c r="BR11" s="0">
        <f>PRODUCT(BR6:BR10)</f>
        <v>2788.1</v>
      </c>
    </row>
    <row r="12">
      <c r="C12" s="0" t="inlineStr">
        <is>
          <t>想定電気料金（月/社）</t>
        </is>
      </c>
      <c r="D12" s="0" t="inlineStr">
        <is>
          <t>中小の電気代 月10〜30万の保守側。推定</t>
        </is>
      </c>
      <c r="E12" s="79" t="n"/>
      <c r="F12" s="198" t="n">
        <v>150000</v>
      </c>
      <c r="G12" s="198" t="n">
        <v>150000</v>
      </c>
      <c r="H12" s="198" t="n">
        <v>150000</v>
      </c>
      <c r="I12" s="198" t="n">
        <v>150000</v>
      </c>
      <c r="J12" s="198" t="n">
        <v>150000</v>
      </c>
      <c r="K12" s="198" t="n">
        <v>150000</v>
      </c>
      <c r="L12" s="198" t="n">
        <v>150000</v>
      </c>
      <c r="M12" s="198" t="n">
        <v>150000</v>
      </c>
      <c r="N12" s="198" t="n">
        <v>150000</v>
      </c>
      <c r="O12" s="198" t="n">
        <v>150000</v>
      </c>
      <c r="P12" s="198" t="n">
        <v>150000</v>
      </c>
      <c r="Q12" s="198" t="n">
        <v>150000</v>
      </c>
      <c r="R12" s="199" t="n">
        <v>150000</v>
      </c>
      <c r="S12" s="198" t="n">
        <v>150000</v>
      </c>
      <c r="T12" s="198" t="n">
        <v>150000</v>
      </c>
      <c r="U12" s="198" t="n">
        <v>150000</v>
      </c>
      <c r="V12" s="198" t="n">
        <v>150000</v>
      </c>
      <c r="W12" s="198" t="n">
        <v>150000</v>
      </c>
      <c r="X12" s="198" t="n">
        <v>150000</v>
      </c>
      <c r="Y12" s="198" t="n">
        <v>150000</v>
      </c>
      <c r="Z12" s="198" t="n">
        <v>150000</v>
      </c>
      <c r="AA12" s="198" t="n">
        <v>150000</v>
      </c>
      <c r="AB12" s="198" t="n">
        <v>150000</v>
      </c>
      <c r="AC12" s="198" t="n">
        <v>150000</v>
      </c>
      <c r="AD12" s="198" t="n">
        <v>150000</v>
      </c>
      <c r="AE12" s="198" t="n">
        <v>150000</v>
      </c>
      <c r="AF12" s="198" t="n">
        <v>150000</v>
      </c>
      <c r="AG12" s="198" t="n">
        <v>150000</v>
      </c>
      <c r="AH12" s="198" t="n">
        <v>150000</v>
      </c>
      <c r="AI12" s="198" t="n">
        <v>150000</v>
      </c>
      <c r="AJ12" s="198" t="n">
        <v>150000</v>
      </c>
      <c r="AK12" s="198" t="n">
        <v>150000</v>
      </c>
      <c r="AL12" s="198" t="n">
        <v>150000</v>
      </c>
      <c r="AM12" s="198" t="n">
        <v>150000</v>
      </c>
      <c r="AN12" s="198" t="n">
        <v>150000</v>
      </c>
      <c r="AO12" s="198" t="n">
        <v>150000</v>
      </c>
      <c r="AP12" s="198" t="n">
        <v>150000</v>
      </c>
      <c r="AQ12" s="198" t="n">
        <v>150000</v>
      </c>
      <c r="AR12" s="198" t="n">
        <v>150000</v>
      </c>
      <c r="AS12" s="198" t="n">
        <v>150000</v>
      </c>
      <c r="AT12" s="198" t="n">
        <v>150000</v>
      </c>
      <c r="AU12" s="198" t="n">
        <v>150000</v>
      </c>
      <c r="AV12" s="198" t="n">
        <v>150000</v>
      </c>
      <c r="AW12" s="198" t="n">
        <v>150000</v>
      </c>
      <c r="AX12" s="198" t="n">
        <v>150000</v>
      </c>
      <c r="AY12" s="198" t="n">
        <v>150000</v>
      </c>
      <c r="AZ12" s="198" t="n">
        <v>150000</v>
      </c>
      <c r="BA12" s="198" t="n">
        <v>150000</v>
      </c>
      <c r="BB12" s="198" t="n">
        <v>150000</v>
      </c>
      <c r="BC12" s="198" t="n">
        <v>150000</v>
      </c>
      <c r="BD12" s="198" t="n">
        <v>150000</v>
      </c>
      <c r="BE12" s="198" t="n">
        <v>150000</v>
      </c>
      <c r="BF12" s="198" t="n">
        <v>150000</v>
      </c>
      <c r="BG12" s="198" t="n">
        <v>150000</v>
      </c>
      <c r="BH12" s="198" t="n">
        <v>150000</v>
      </c>
      <c r="BI12" s="198" t="n">
        <v>150000</v>
      </c>
      <c r="BJ12" s="198" t="n">
        <v>150000</v>
      </c>
      <c r="BK12" s="198" t="n">
        <v>150000</v>
      </c>
      <c r="BL12" s="198" t="n">
        <v>150000</v>
      </c>
      <c r="BM12" s="198" t="n">
        <v>150000</v>
      </c>
      <c r="BN12" s="200" t="n">
        <v>150000</v>
      </c>
      <c r="BO12" s="198" t="n">
        <v>150000</v>
      </c>
      <c r="BP12" s="198" t="n">
        <v>150000</v>
      </c>
      <c r="BQ12" s="198" t="n">
        <v>150000</v>
      </c>
      <c r="BR12" s="198" t="n">
        <v>150000</v>
      </c>
    </row>
    <row r="13">
      <c r="C13" s="0" t="inlineStr">
        <is>
          <t>取次手数料率（継続・対電気料金）</t>
        </is>
      </c>
      <c r="D13" s="0" t="inlineStr">
        <is>
          <t>新電力取次の相場1〜5%の下側。料率は非公開＝要交渉。推定</t>
        </is>
      </c>
      <c r="E13" s="79" t="n"/>
      <c r="F13" s="0" t="n">
        <v>0.02</v>
      </c>
      <c r="G13" s="0" t="n">
        <v>0.02</v>
      </c>
      <c r="H13" s="0" t="n">
        <v>0.02</v>
      </c>
      <c r="I13" s="0" t="n">
        <v>0.02</v>
      </c>
      <c r="J13" s="0" t="n">
        <v>0.02</v>
      </c>
      <c r="K13" s="0" t="n">
        <v>0.02</v>
      </c>
      <c r="L13" s="0" t="n">
        <v>0.02</v>
      </c>
      <c r="M13" s="0" t="n">
        <v>0.02</v>
      </c>
      <c r="N13" s="0" t="n">
        <v>0.02</v>
      </c>
      <c r="O13" s="0" t="n">
        <v>0.02</v>
      </c>
      <c r="P13" s="0" t="n">
        <v>0.02</v>
      </c>
      <c r="Q13" s="0" t="n">
        <v>0.02</v>
      </c>
      <c r="R13" s="83" t="n">
        <v>0.02</v>
      </c>
      <c r="S13" s="0" t="n">
        <v>0.02</v>
      </c>
      <c r="T13" s="0" t="n">
        <v>0.02</v>
      </c>
      <c r="U13" s="0" t="n">
        <v>0.02</v>
      </c>
      <c r="V13" s="0" t="n">
        <v>0.02</v>
      </c>
      <c r="W13" s="0" t="n">
        <v>0.02</v>
      </c>
      <c r="X13" s="0" t="n">
        <v>0.02</v>
      </c>
      <c r="Y13" s="0" t="n">
        <v>0.02</v>
      </c>
      <c r="Z13" s="0" t="n">
        <v>0.02</v>
      </c>
      <c r="AA13" s="0" t="n">
        <v>0.02</v>
      </c>
      <c r="AB13" s="0" t="n">
        <v>0.02</v>
      </c>
      <c r="AC13" s="0" t="n">
        <v>0.02</v>
      </c>
      <c r="AD13" s="0" t="n">
        <v>0.02</v>
      </c>
      <c r="AE13" s="0" t="n">
        <v>0.02</v>
      </c>
      <c r="AF13" s="0" t="n">
        <v>0.02</v>
      </c>
      <c r="AG13" s="0" t="n">
        <v>0.02</v>
      </c>
      <c r="AH13" s="0" t="n">
        <v>0.02</v>
      </c>
      <c r="AI13" s="0" t="n">
        <v>0.02</v>
      </c>
      <c r="AJ13" s="0" t="n">
        <v>0.02</v>
      </c>
      <c r="AK13" s="0" t="n">
        <v>0.02</v>
      </c>
      <c r="AL13" s="0" t="n">
        <v>0.02</v>
      </c>
      <c r="AM13" s="0" t="n">
        <v>0.02</v>
      </c>
      <c r="AN13" s="0" t="n">
        <v>0.02</v>
      </c>
      <c r="AO13" s="0" t="n">
        <v>0.02</v>
      </c>
      <c r="AP13" s="0" t="n">
        <v>0.02</v>
      </c>
      <c r="AQ13" s="0" t="n">
        <v>0.02</v>
      </c>
      <c r="AR13" s="0" t="n">
        <v>0.02</v>
      </c>
      <c r="AS13" s="0" t="n">
        <v>0.02</v>
      </c>
      <c r="AT13" s="0" t="n">
        <v>0.02</v>
      </c>
      <c r="AU13" s="0" t="n">
        <v>0.02</v>
      </c>
      <c r="AV13" s="0" t="n">
        <v>0.02</v>
      </c>
      <c r="AW13" s="0" t="n">
        <v>0.02</v>
      </c>
      <c r="AX13" s="0" t="n">
        <v>0.02</v>
      </c>
      <c r="AY13" s="0" t="n">
        <v>0.02</v>
      </c>
      <c r="AZ13" s="0" t="n">
        <v>0.02</v>
      </c>
      <c r="BA13" s="0" t="n">
        <v>0.02</v>
      </c>
      <c r="BB13" s="0" t="n">
        <v>0.02</v>
      </c>
      <c r="BC13" s="0" t="n">
        <v>0.02</v>
      </c>
      <c r="BD13" s="0" t="n">
        <v>0.02</v>
      </c>
      <c r="BE13" s="0" t="n">
        <v>0.02</v>
      </c>
      <c r="BF13" s="0" t="n">
        <v>0.02</v>
      </c>
      <c r="BG13" s="0" t="n">
        <v>0.02</v>
      </c>
      <c r="BH13" s="0" t="n">
        <v>0.02</v>
      </c>
      <c r="BI13" s="0" t="n">
        <v>0.02</v>
      </c>
      <c r="BJ13" s="0" t="n">
        <v>0.02</v>
      </c>
      <c r="BK13" s="0" t="n">
        <v>0.02</v>
      </c>
      <c r="BL13" s="0" t="n">
        <v>0.02</v>
      </c>
      <c r="BM13" s="0" t="n">
        <v>0.02</v>
      </c>
      <c r="BN13" s="96" t="n">
        <v>0.02</v>
      </c>
      <c r="BO13" s="0" t="n">
        <v>0.02</v>
      </c>
      <c r="BP13" s="0" t="n">
        <v>0.02</v>
      </c>
      <c r="BQ13" s="0" t="n">
        <v>0.02</v>
      </c>
      <c r="BR13" s="0" t="n">
        <v>0.02</v>
      </c>
    </row>
    <row r="14">
      <c r="C14" s="0" t="inlineStr">
        <is>
          <t>手数料計（月/社）</t>
        </is>
      </c>
      <c r="D14" s="79" t="n"/>
      <c r="E14" s="79" t="n"/>
      <c r="F14" s="0">
        <f>F12*F13</f>
        <v>3000.0</v>
      </c>
      <c r="G14" s="0">
        <f>G12*G13</f>
        <v>3000.0</v>
      </c>
      <c r="H14" s="0">
        <f>H12*H13</f>
        <v>3000.0</v>
      </c>
      <c r="I14" s="0">
        <f>I12*I13</f>
        <v>3000.0</v>
      </c>
      <c r="J14" s="0">
        <f>J12*J13</f>
        <v>3000.0</v>
      </c>
      <c r="K14" s="0">
        <f>K12*K13</f>
        <v>3000.0</v>
      </c>
      <c r="L14" s="0">
        <f>L12*L13</f>
        <v>3000.0</v>
      </c>
      <c r="M14" s="0">
        <f>M12*M13</f>
        <v>3000.0</v>
      </c>
      <c r="N14" s="0">
        <f>N12*N13</f>
        <v>3000.0</v>
      </c>
      <c r="O14" s="0">
        <f>O12*O13</f>
        <v>3000.0</v>
      </c>
      <c r="P14" s="0">
        <f>P12*P13</f>
        <v>3000.0</v>
      </c>
      <c r="Q14" s="0">
        <f>Q12*Q13</f>
        <v>3000.0</v>
      </c>
      <c r="R14" s="83">
        <f>R12*R13</f>
        <v>3000.0</v>
      </c>
      <c r="S14" s="0">
        <f>S12*S13</f>
        <v>3000.0</v>
      </c>
      <c r="T14" s="0">
        <f>T12*T13</f>
        <v>3000.0</v>
      </c>
      <c r="U14" s="0">
        <f>U12*U13</f>
        <v>3000.0</v>
      </c>
      <c r="V14" s="0">
        <f>V12*V13</f>
        <v>3000.0</v>
      </c>
      <c r="W14" s="0">
        <f>W12*W13</f>
        <v>3000.0</v>
      </c>
      <c r="X14" s="0">
        <f>X12*X13</f>
        <v>3000.0</v>
      </c>
      <c r="Y14" s="0">
        <f>Y12*Y13</f>
        <v>3000.0</v>
      </c>
      <c r="Z14" s="0">
        <f>Z12*Z13</f>
        <v>3000.0</v>
      </c>
      <c r="AA14" s="0">
        <f>AA12*AA13</f>
        <v>3000.0</v>
      </c>
      <c r="AB14" s="0">
        <f>AB12*AB13</f>
        <v>3000.0</v>
      </c>
      <c r="AC14" s="0">
        <f>AC12*AC13</f>
        <v>3000.0</v>
      </c>
      <c r="AD14" s="0">
        <f>AD12*AD13</f>
        <v>3000.0</v>
      </c>
      <c r="AE14" s="0">
        <f>AE12*AE13</f>
        <v>3000.0</v>
      </c>
      <c r="AF14" s="0">
        <f>AF12*AF13</f>
        <v>3000.0</v>
      </c>
      <c r="AG14" s="0">
        <f>AG12*AG13</f>
        <v>3000.0</v>
      </c>
      <c r="AH14" s="0">
        <f>AH12*AH13</f>
        <v>3000.0</v>
      </c>
      <c r="AI14" s="0">
        <f>AI12*AI13</f>
        <v>3000.0</v>
      </c>
      <c r="AJ14" s="0">
        <f>AJ12*AJ13</f>
        <v>3000.0</v>
      </c>
      <c r="AK14" s="0">
        <f>AK12*AK13</f>
        <v>3000.0</v>
      </c>
      <c r="AL14" s="0">
        <f>AL12*AL13</f>
        <v>3000.0</v>
      </c>
      <c r="AM14" s="0">
        <f>AM12*AM13</f>
        <v>3000.0</v>
      </c>
      <c r="AN14" s="0">
        <f>AN12*AN13</f>
        <v>3000.0</v>
      </c>
      <c r="AO14" s="0">
        <f>AO12*AO13</f>
        <v>3000.0</v>
      </c>
      <c r="AP14" s="0">
        <f>AP12*AP13</f>
        <v>3000.0</v>
      </c>
      <c r="AQ14" s="0">
        <f>AQ12*AQ13</f>
        <v>3000.0</v>
      </c>
      <c r="AR14" s="0">
        <f>AR12*AR13</f>
        <v>3000.0</v>
      </c>
      <c r="AS14" s="0">
        <f>AS12*AS13</f>
        <v>3000.0</v>
      </c>
      <c r="AT14" s="0">
        <f>AT12*AT13</f>
        <v>3000.0</v>
      </c>
      <c r="AU14" s="0">
        <f>AU12*AU13</f>
        <v>3000.0</v>
      </c>
      <c r="AV14" s="0">
        <f>AV12*AV13</f>
        <v>3000.0</v>
      </c>
      <c r="AW14" s="0">
        <f>AW12*AW13</f>
        <v>3000.0</v>
      </c>
      <c r="AX14" s="0">
        <f>AX12*AX13</f>
        <v>3000.0</v>
      </c>
      <c r="AY14" s="0">
        <f>AY12*AY13</f>
        <v>3000.0</v>
      </c>
      <c r="AZ14" s="0">
        <f>AZ12*AZ13</f>
        <v>3000.0</v>
      </c>
      <c r="BA14" s="0">
        <f>BA12*BA13</f>
        <v>3000.0</v>
      </c>
      <c r="BB14" s="0">
        <f>BB12*BB13</f>
        <v>3000.0</v>
      </c>
      <c r="BC14" s="0">
        <f>BC12*BC13</f>
        <v>3000.0</v>
      </c>
      <c r="BD14" s="0">
        <f>BD12*BD13</f>
        <v>3000.0</v>
      </c>
      <c r="BE14" s="0">
        <f>BE12*BE13</f>
        <v>3000.0</v>
      </c>
      <c r="BF14" s="0">
        <f>BF12*BF13</f>
        <v>3000.0</v>
      </c>
      <c r="BG14" s="0">
        <f>BG12*BG13</f>
        <v>3000.0</v>
      </c>
      <c r="BH14" s="0">
        <f>BH12*BH13</f>
        <v>3000.0</v>
      </c>
      <c r="BI14" s="0">
        <f>BI12*BI13</f>
        <v>3000.0</v>
      </c>
      <c r="BJ14" s="0">
        <f>BJ12*BJ13</f>
        <v>3000.0</v>
      </c>
      <c r="BK14" s="0">
        <f>BK12*BK13</f>
        <v>3000.0</v>
      </c>
      <c r="BL14" s="0">
        <f>BL12*BL13</f>
        <v>3000.0</v>
      </c>
      <c r="BM14" s="0">
        <f>BM12*BM13</f>
        <v>3000.0</v>
      </c>
      <c r="BN14" s="96">
        <f>BN12*BN13</f>
        <v>3000.0</v>
      </c>
      <c r="BO14" s="0">
        <f>BO12*BO13</f>
        <v>3000.0</v>
      </c>
      <c r="BP14" s="0">
        <f>BP12*BP13</f>
        <v>3000.0</v>
      </c>
      <c r="BQ14" s="0">
        <f>BQ12*BQ13</f>
        <v>3000.0</v>
      </c>
      <c r="BR14" s="0">
        <f>BR12*BR13</f>
        <v>3000.0</v>
      </c>
    </row>
    <row r="15">
      <c r="C15" s="0" t="inlineStr">
        <is>
          <t>内・税理士（月/社）</t>
        </is>
      </c>
      <c r="D15" s="0" t="inlineStr">
        <is>
          <t>ビジとりと同配分（税理士5：taXel1）</t>
        </is>
      </c>
      <c r="E15" s="79" t="n"/>
      <c r="F15" s="0" t="n">
        <v>2500</v>
      </c>
      <c r="G15" s="0" t="n">
        <v>2500</v>
      </c>
      <c r="H15" s="0" t="n">
        <v>2500</v>
      </c>
      <c r="I15" s="0" t="n">
        <v>2500</v>
      </c>
      <c r="J15" s="0" t="n">
        <v>2500</v>
      </c>
      <c r="K15" s="0" t="n">
        <v>2500</v>
      </c>
      <c r="L15" s="0" t="n">
        <v>2500</v>
      </c>
      <c r="M15" s="0" t="n">
        <v>2500</v>
      </c>
      <c r="N15" s="0" t="n">
        <v>2500</v>
      </c>
      <c r="O15" s="0" t="n">
        <v>2500</v>
      </c>
      <c r="P15" s="0" t="n">
        <v>2500</v>
      </c>
      <c r="Q15" s="0" t="n">
        <v>2500</v>
      </c>
      <c r="R15" s="83" t="n">
        <v>2500</v>
      </c>
      <c r="S15" s="0" t="n">
        <v>2500</v>
      </c>
      <c r="T15" s="0" t="n">
        <v>2500</v>
      </c>
      <c r="U15" s="0" t="n">
        <v>2500</v>
      </c>
      <c r="V15" s="0" t="n">
        <v>2500</v>
      </c>
      <c r="W15" s="0" t="n">
        <v>2500</v>
      </c>
      <c r="X15" s="0" t="n">
        <v>2500</v>
      </c>
      <c r="Y15" s="0" t="n">
        <v>2500</v>
      </c>
      <c r="Z15" s="0" t="n">
        <v>2500</v>
      </c>
      <c r="AA15" s="0" t="n">
        <v>2500</v>
      </c>
      <c r="AB15" s="0" t="n">
        <v>2500</v>
      </c>
      <c r="AC15" s="0" t="n">
        <v>2500</v>
      </c>
      <c r="AD15" s="0" t="n">
        <v>2500</v>
      </c>
      <c r="AE15" s="0" t="n">
        <v>2500</v>
      </c>
      <c r="AF15" s="0" t="n">
        <v>2500</v>
      </c>
      <c r="AG15" s="0" t="n">
        <v>2500</v>
      </c>
      <c r="AH15" s="0" t="n">
        <v>2500</v>
      </c>
      <c r="AI15" s="0" t="n">
        <v>2500</v>
      </c>
      <c r="AJ15" s="0" t="n">
        <v>2500</v>
      </c>
      <c r="AK15" s="0" t="n">
        <v>2500</v>
      </c>
      <c r="AL15" s="0" t="n">
        <v>2500</v>
      </c>
      <c r="AM15" s="0" t="n">
        <v>2500</v>
      </c>
      <c r="AN15" s="0" t="n">
        <v>2500</v>
      </c>
      <c r="AO15" s="0" t="n">
        <v>2500</v>
      </c>
      <c r="AP15" s="0" t="n">
        <v>2500</v>
      </c>
      <c r="AQ15" s="0" t="n">
        <v>2500</v>
      </c>
      <c r="AR15" s="0" t="n">
        <v>2500</v>
      </c>
      <c r="AS15" s="0" t="n">
        <v>2500</v>
      </c>
      <c r="AT15" s="0" t="n">
        <v>2500</v>
      </c>
      <c r="AU15" s="0" t="n">
        <v>2500</v>
      </c>
      <c r="AV15" s="0" t="n">
        <v>2500</v>
      </c>
      <c r="AW15" s="0" t="n">
        <v>2500</v>
      </c>
      <c r="AX15" s="0" t="n">
        <v>2500</v>
      </c>
      <c r="AY15" s="0" t="n">
        <v>2500</v>
      </c>
      <c r="AZ15" s="0" t="n">
        <v>2500</v>
      </c>
      <c r="BA15" s="0" t="n">
        <v>2500</v>
      </c>
      <c r="BB15" s="0" t="n">
        <v>2500</v>
      </c>
      <c r="BC15" s="0" t="n">
        <v>2500</v>
      </c>
      <c r="BD15" s="0" t="n">
        <v>2500</v>
      </c>
      <c r="BE15" s="0" t="n">
        <v>2500</v>
      </c>
      <c r="BF15" s="0" t="n">
        <v>2500</v>
      </c>
      <c r="BG15" s="0" t="n">
        <v>2500</v>
      </c>
      <c r="BH15" s="0" t="n">
        <v>2500</v>
      </c>
      <c r="BI15" s="0" t="n">
        <v>2500</v>
      </c>
      <c r="BJ15" s="0" t="n">
        <v>2500</v>
      </c>
      <c r="BK15" s="0" t="n">
        <v>2500</v>
      </c>
      <c r="BL15" s="0" t="n">
        <v>2500</v>
      </c>
      <c r="BM15" s="0" t="n">
        <v>2500</v>
      </c>
      <c r="BN15" s="96" t="n">
        <v>2500</v>
      </c>
      <c r="BO15" s="0" t="n">
        <v>2500</v>
      </c>
      <c r="BP15" s="0" t="n">
        <v>2500</v>
      </c>
      <c r="BQ15" s="0" t="n">
        <v>2500</v>
      </c>
      <c r="BR15" s="0" t="n">
        <v>2500</v>
      </c>
    </row>
    <row r="16">
      <c r="C16" s="80" t="inlineStr">
        <is>
          <t>内・taXel（月/社）</t>
        </is>
      </c>
      <c r="D16" s="79" t="n"/>
      <c r="E16" s="79" t="n"/>
      <c r="F16" s="201">
        <f>F14-F15</f>
        <v>500.0</v>
      </c>
      <c r="G16" s="201">
        <f>G14-G15</f>
        <v>500.0</v>
      </c>
      <c r="H16" s="201">
        <f>H14-H15</f>
        <v>500.0</v>
      </c>
      <c r="I16" s="201">
        <f>I14-I15</f>
        <v>500.0</v>
      </c>
      <c r="J16" s="201">
        <f>J14-J15</f>
        <v>500.0</v>
      </c>
      <c r="K16" s="201">
        <f>K14-K15</f>
        <v>500.0</v>
      </c>
      <c r="L16" s="201">
        <f>L14-L15</f>
        <v>500.0</v>
      </c>
      <c r="M16" s="201">
        <f>M14-M15</f>
        <v>500.0</v>
      </c>
      <c r="N16" s="201">
        <f>N14-N15</f>
        <v>500.0</v>
      </c>
      <c r="O16" s="201">
        <f>O14-O15</f>
        <v>500.0</v>
      </c>
      <c r="P16" s="201">
        <f>P14-P15</f>
        <v>500.0</v>
      </c>
      <c r="Q16" s="201">
        <f>Q14-Q15</f>
        <v>500.0</v>
      </c>
      <c r="R16" s="202">
        <f>R14-R15</f>
        <v>500.0</v>
      </c>
      <c r="S16" s="201">
        <f>S14-S15</f>
        <v>500.0</v>
      </c>
      <c r="T16" s="201">
        <f>T14-T15</f>
        <v>500.0</v>
      </c>
      <c r="U16" s="201">
        <f>U14-U15</f>
        <v>500.0</v>
      </c>
      <c r="V16" s="201">
        <f>V14-V15</f>
        <v>500.0</v>
      </c>
      <c r="W16" s="201">
        <f>W14-W15</f>
        <v>500.0</v>
      </c>
      <c r="X16" s="201">
        <f>X14-X15</f>
        <v>500.0</v>
      </c>
      <c r="Y16" s="201">
        <f>Y14-Y15</f>
        <v>500.0</v>
      </c>
      <c r="Z16" s="201">
        <f>Z14-Z15</f>
        <v>500.0</v>
      </c>
      <c r="AA16" s="201">
        <f>AA14-AA15</f>
        <v>500.0</v>
      </c>
      <c r="AB16" s="201">
        <f>AB14-AB15</f>
        <v>500.0</v>
      </c>
      <c r="AC16" s="201">
        <f>AC14-AC15</f>
        <v>500.0</v>
      </c>
      <c r="AD16" s="201">
        <f>AD14-AD15</f>
        <v>500.0</v>
      </c>
      <c r="AE16" s="201">
        <f>AE14-AE15</f>
        <v>500.0</v>
      </c>
      <c r="AF16" s="201">
        <f>AF14-AF15</f>
        <v>500.0</v>
      </c>
      <c r="AG16" s="201">
        <f>AG14-AG15</f>
        <v>500.0</v>
      </c>
      <c r="AH16" s="201">
        <f>AH14-AH15</f>
        <v>500.0</v>
      </c>
      <c r="AI16" s="201">
        <f>AI14-AI15</f>
        <v>500.0</v>
      </c>
      <c r="AJ16" s="201">
        <f>AJ14-AJ15</f>
        <v>500.0</v>
      </c>
      <c r="AK16" s="201">
        <f>AK14-AK15</f>
        <v>500.0</v>
      </c>
      <c r="AL16" s="201">
        <f>AL14-AL15</f>
        <v>500.0</v>
      </c>
      <c r="AM16" s="201">
        <f>AM14-AM15</f>
        <v>500.0</v>
      </c>
      <c r="AN16" s="201">
        <f>AN14-AN15</f>
        <v>500.0</v>
      </c>
      <c r="AO16" s="201">
        <f>AO14-AO15</f>
        <v>500.0</v>
      </c>
      <c r="AP16" s="201">
        <f>AP14-AP15</f>
        <v>500.0</v>
      </c>
      <c r="AQ16" s="201">
        <f>AQ14-AQ15</f>
        <v>500.0</v>
      </c>
      <c r="AR16" s="201">
        <f>AR14-AR15</f>
        <v>500.0</v>
      </c>
      <c r="AS16" s="201">
        <f>AS14-AS15</f>
        <v>500.0</v>
      </c>
      <c r="AT16" s="201">
        <f>AT14-AT15</f>
        <v>500.0</v>
      </c>
      <c r="AU16" s="201">
        <f>AU14-AU15</f>
        <v>500.0</v>
      </c>
      <c r="AV16" s="201">
        <f>AV14-AV15</f>
        <v>500.0</v>
      </c>
      <c r="AW16" s="201">
        <f>AW14-AW15</f>
        <v>500.0</v>
      </c>
      <c r="AX16" s="201">
        <f>AX14-AX15</f>
        <v>500.0</v>
      </c>
      <c r="AY16" s="201">
        <f>AY14-AY15</f>
        <v>500.0</v>
      </c>
      <c r="AZ16" s="201">
        <f>AZ14-AZ15</f>
        <v>500.0</v>
      </c>
      <c r="BA16" s="201">
        <f>BA14-BA15</f>
        <v>500.0</v>
      </c>
      <c r="BB16" s="201">
        <f>BB14-BB15</f>
        <v>500.0</v>
      </c>
      <c r="BC16" s="201">
        <f>BC14-BC15</f>
        <v>500.0</v>
      </c>
      <c r="BD16" s="201">
        <f>BD14-BD15</f>
        <v>500.0</v>
      </c>
      <c r="BE16" s="201">
        <f>BE14-BE15</f>
        <v>500.0</v>
      </c>
      <c r="BF16" s="201">
        <f>BF14-BF15</f>
        <v>500.0</v>
      </c>
      <c r="BG16" s="203">
        <f>BG14-BG15</f>
        <v>500.0</v>
      </c>
      <c r="BH16" s="203">
        <f>BH14-BH15</f>
        <v>500.0</v>
      </c>
      <c r="BI16" s="203">
        <f>BI14-BI15</f>
        <v>500.0</v>
      </c>
      <c r="BJ16" s="203">
        <f>BJ14-BJ15</f>
        <v>500.0</v>
      </c>
      <c r="BK16" s="203">
        <f>BK14-BK15</f>
        <v>500.0</v>
      </c>
      <c r="BL16" s="203">
        <f>BL14-BL15</f>
        <v>500.0</v>
      </c>
      <c r="BM16" s="203">
        <f>BM14-BM15</f>
        <v>500.0</v>
      </c>
      <c r="BN16" s="204">
        <f>BN14-BN15</f>
        <v>500.0</v>
      </c>
      <c r="BO16" s="203">
        <f>BO14-BO15</f>
        <v>500.0</v>
      </c>
      <c r="BP16" s="203">
        <f>BP14-BP15</f>
        <v>500.0</v>
      </c>
      <c r="BQ16" s="203">
        <f>BQ14-BQ15</f>
        <v>500.0</v>
      </c>
      <c r="BR16" s="203">
        <f>BR14-BR15</f>
        <v>500.0</v>
      </c>
    </row>
    <row r="17">
      <c r="C17" s="0" t="inlineStr">
        <is>
          <t>１税理士 / 紹介費用</t>
        </is>
      </c>
      <c r="D17" s="0" t="inlineStr">
        <is>
          <t>Y2（M13）から開拓</t>
        </is>
      </c>
      <c r="E17" s="79" t="n"/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83">
        <f>R16*R25</f>
        <v>130547.967064715</v>
      </c>
      <c r="S17" s="0">
        <f>S16*S25</f>
        <v>142637.007723421</v>
      </c>
      <c r="T17" s="0">
        <f>T16*T25</f>
        <v>156934.267568952</v>
      </c>
      <c r="U17" s="0">
        <f>U16*U25</f>
        <v>169720.582217573</v>
      </c>
      <c r="V17" s="0">
        <f>V16*V25</f>
        <v>182251.170573222</v>
      </c>
      <c r="W17" s="0">
        <f>W16*W25</f>
        <v>196981.147161757</v>
      </c>
      <c r="X17" s="0">
        <f>X16*X25</f>
        <v>210191.524218522</v>
      </c>
      <c r="Y17" s="0">
        <f>Y16*Y25</f>
        <v>223137.693734152</v>
      </c>
      <c r="Z17" s="0">
        <f>Z16*Z25</f>
        <v>238274.939859469</v>
      </c>
      <c r="AA17" s="0">
        <f>AA16*AA25</f>
        <v>251884.441062279</v>
      </c>
      <c r="AB17" s="0">
        <f>AB16*AB25</f>
        <v>265221.752241034</v>
      </c>
      <c r="AC17" s="0">
        <f>AC16*AC25</f>
        <v>279517.317196213</v>
      </c>
      <c r="AD17" s="0">
        <f>AD16*AD25</f>
        <v>296675.764145279</v>
      </c>
      <c r="AE17" s="0">
        <f>AE16*AE25</f>
        <v>312308.938272737</v>
      </c>
      <c r="AF17" s="0">
        <f>AF16*AF25</f>
        <v>330118.531852964</v>
      </c>
      <c r="AG17" s="0">
        <f>AG16*AG25</f>
        <v>346391.457545537</v>
      </c>
      <c r="AH17" s="0">
        <f>AH16*AH25</f>
        <v>363604.60703849</v>
      </c>
      <c r="AI17" s="0">
        <f>AI16*AI25</f>
        <v>380516.526415317</v>
      </c>
      <c r="AJ17" s="0">
        <f>AJ16*AJ25</f>
        <v>398357.487203049</v>
      </c>
      <c r="AK17" s="0">
        <f>AK16*AK25</f>
        <v>414661.231176995</v>
      </c>
      <c r="AL17" s="0">
        <f>AL16*AL25</f>
        <v>433129.659631398</v>
      </c>
      <c r="AM17" s="0">
        <f>AM16*AM25</f>
        <v>450049.890587848</v>
      </c>
      <c r="AN17" s="0">
        <f>AN16*AN25</f>
        <v>466674.017502561</v>
      </c>
      <c r="AO17" s="0">
        <f>AO16*AO25</f>
        <v>485457.222196266</v>
      </c>
      <c r="AP17" s="0">
        <f>AP16*AP25</f>
        <v>502686.720807832</v>
      </c>
      <c r="AQ17" s="0">
        <f>AQ16*AQ25</f>
        <v>519614.703193694</v>
      </c>
      <c r="AR17" s="0">
        <f>AR16*AR25</f>
        <v>537471.445887805</v>
      </c>
      <c r="AS17" s="0">
        <f>AS16*AS25</f>
        <v>555015.695584768</v>
      </c>
      <c r="AT17" s="0">
        <f>AT16*AT25</f>
        <v>572252.920912035</v>
      </c>
      <c r="AU17" s="0">
        <f>AU16*AU25</f>
        <v>590413.494796074</v>
      </c>
      <c r="AV17" s="0">
        <f>AV16*AV25</f>
        <v>608256.258637143</v>
      </c>
      <c r="AW17" s="0">
        <f>AW16*AW25</f>
        <v>625786.774110993</v>
      </c>
      <c r="AX17" s="0">
        <f>AX16*AX25</f>
        <v>644235.50556405</v>
      </c>
      <c r="AY17" s="0">
        <f>AY16*AY25</f>
        <v>661136.38421668</v>
      </c>
      <c r="AZ17" s="0">
        <f>AZ16*AZ25</f>
        <v>678966.497492888</v>
      </c>
      <c r="BA17" s="0">
        <f>BA16*BA25</f>
        <v>696484.583786762</v>
      </c>
      <c r="BB17" s="0">
        <f>BB16*BB25</f>
        <v>721562.315029961</v>
      </c>
      <c r="BC17" s="0">
        <f>BC16*BC25</f>
        <v>745038.880304511</v>
      </c>
      <c r="BD17" s="0">
        <f>BD16*BD25</f>
        <v>769388.297099944</v>
      </c>
      <c r="BE17" s="0">
        <f>BE16*BE25</f>
        <v>793372.472643444</v>
      </c>
      <c r="BF17" s="0">
        <f>BF16*BF25</f>
        <v>816996.885553793</v>
      </c>
      <c r="BG17" s="0">
        <f>BG16*BG25</f>
        <v>842716.932270486</v>
      </c>
      <c r="BH17" s="0">
        <f>BH16*BH25</f>
        <v>866826.178286429</v>
      </c>
      <c r="BI17" s="0">
        <f>BI16*BI25</f>
        <v>890573.785612132</v>
      </c>
      <c r="BJ17" s="0">
        <f>BJ16*BJ25</f>
        <v>915190.17882795</v>
      </c>
      <c r="BK17" s="0">
        <f>BK16*BK25</f>
        <v>939437.326145531</v>
      </c>
      <c r="BL17" s="0">
        <f>BL16*BL25</f>
        <v>963320.766253348</v>
      </c>
      <c r="BM17" s="0">
        <f>BM16*BM25</f>
        <v>988070.954759548</v>
      </c>
      <c r="BN17" s="96">
        <f>SUM(F17:Q17)</f>
        <v>0.0</v>
      </c>
      <c r="BO17" s="0">
        <f>SUM(R17:AC17)</f>
        <v>2447299.81062131</v>
      </c>
      <c r="BP17" s="0">
        <f>SUM(AD17:AO17)</f>
        <v>4677945.33356844</v>
      </c>
      <c r="BQ17" s="0">
        <f>SUM(AP17:BA17)</f>
        <v>7192320.98499072</v>
      </c>
      <c r="BR17" s="0">
        <f>SUM(BB17:BM17)</f>
        <v>10252494.9727871</v>
      </c>
    </row>
    <row r="18">
      <c r="C18" s="17" t="inlineStr">
        <is>
          <t>税理士数＝アカウト数</t>
        </is>
      </c>
      <c r="D18" s="12" t="n"/>
      <c r="E18" s="12" t="n"/>
      <c r="F18" s="20" t="n">
        <v>0</v>
      </c>
      <c r="G18" s="20" t="n">
        <v>2</v>
      </c>
      <c r="H18" s="20" t="n">
        <v>11</v>
      </c>
      <c r="I18" s="20" t="n">
        <v>20</v>
      </c>
      <c r="J18" s="20" t="n">
        <v>28</v>
      </c>
      <c r="K18" s="20" t="n">
        <v>38</v>
      </c>
      <c r="L18" s="20" t="n">
        <v>48</v>
      </c>
      <c r="M18" s="20" t="n">
        <v>58</v>
      </c>
      <c r="N18" s="20" t="n">
        <v>70</v>
      </c>
      <c r="O18" s="20" t="n">
        <v>81</v>
      </c>
      <c r="P18" s="20" t="n">
        <v>92</v>
      </c>
      <c r="Q18" s="20" t="n">
        <v>105</v>
      </c>
      <c r="R18" s="39" t="n">
        <v>117</v>
      </c>
      <c r="S18" s="20" t="n">
        <v>129</v>
      </c>
      <c r="T18" s="20" t="n">
        <v>143</v>
      </c>
      <c r="U18" s="20" t="n">
        <v>156</v>
      </c>
      <c r="V18" s="20" t="n">
        <v>169</v>
      </c>
      <c r="W18" s="20" t="n">
        <v>184</v>
      </c>
      <c r="X18" s="20" t="n">
        <v>198</v>
      </c>
      <c r="Y18" s="20" t="n">
        <v>212</v>
      </c>
      <c r="Z18" s="20" t="n">
        <v>228</v>
      </c>
      <c r="AA18" s="20" t="n">
        <v>243</v>
      </c>
      <c r="AB18" s="20" t="n">
        <v>258</v>
      </c>
      <c r="AC18" s="20" t="n">
        <v>274</v>
      </c>
      <c r="AD18" s="20" t="n">
        <v>292</v>
      </c>
      <c r="AE18" s="20" t="n">
        <v>309</v>
      </c>
      <c r="AF18" s="20" t="n">
        <v>328</v>
      </c>
      <c r="AG18" s="20" t="n">
        <v>346</v>
      </c>
      <c r="AH18" s="20" t="n">
        <v>365</v>
      </c>
      <c r="AI18" s="20" t="n">
        <v>384</v>
      </c>
      <c r="AJ18" s="20" t="n">
        <v>404</v>
      </c>
      <c r="AK18" s="20" t="n">
        <v>423</v>
      </c>
      <c r="AL18" s="20" t="n">
        <v>444</v>
      </c>
      <c r="AM18" s="20" t="n">
        <v>464</v>
      </c>
      <c r="AN18" s="20" t="n">
        <v>484</v>
      </c>
      <c r="AO18" s="20" t="n">
        <v>506</v>
      </c>
      <c r="AP18" s="20" t="n">
        <v>527</v>
      </c>
      <c r="AQ18" s="20" t="n">
        <v>548</v>
      </c>
      <c r="AR18" s="20" t="n">
        <v>570</v>
      </c>
      <c r="AS18" s="20" t="n">
        <v>592</v>
      </c>
      <c r="AT18" s="20" t="n">
        <v>614</v>
      </c>
      <c r="AU18" s="20" t="n">
        <v>637</v>
      </c>
      <c r="AV18" s="20" t="n">
        <v>660</v>
      </c>
      <c r="AW18" s="20" t="n">
        <v>683</v>
      </c>
      <c r="AX18" s="20" t="n">
        <v>707</v>
      </c>
      <c r="AY18" s="20" t="n">
        <v>730</v>
      </c>
      <c r="AZ18" s="20" t="n">
        <v>754</v>
      </c>
      <c r="BA18" s="20" t="n">
        <v>778</v>
      </c>
      <c r="BB18" s="20" t="n">
        <v>807</v>
      </c>
      <c r="BC18" s="20" t="n">
        <v>835</v>
      </c>
      <c r="BD18" s="20" t="n">
        <v>864</v>
      </c>
      <c r="BE18" s="20" t="n">
        <v>893</v>
      </c>
      <c r="BF18" s="20" t="n">
        <v>922</v>
      </c>
      <c r="BG18" s="20" t="n">
        <v>953</v>
      </c>
      <c r="BH18" s="20" t="n">
        <v>983</v>
      </c>
      <c r="BI18" s="20" t="n">
        <v>1013</v>
      </c>
      <c r="BJ18" s="20" t="n">
        <v>1044</v>
      </c>
      <c r="BK18" s="20" t="n">
        <v>1075</v>
      </c>
      <c r="BL18" s="20" t="n">
        <v>1106</v>
      </c>
      <c r="BM18" s="20" t="n">
        <v>1138</v>
      </c>
      <c r="BN18" s="99">
        <f>Q18</f>
        <v>105.0</v>
      </c>
      <c r="BO18" s="20">
        <f>AC18</f>
        <v>274.0</v>
      </c>
      <c r="BP18" s="20">
        <f>AO18</f>
        <v>506.0</v>
      </c>
      <c r="BQ18" s="20">
        <f>BA18</f>
        <v>778.0</v>
      </c>
      <c r="BR18" s="20">
        <f>BM18</f>
        <v>1138.0</v>
      </c>
    </row>
    <row r="19">
      <c r="C19" s="160" t="inlineStr">
        <is>
          <t>新規</t>
        </is>
      </c>
      <c r="D19" s="12" t="n"/>
      <c r="E19" s="160" t="n"/>
      <c r="F19" s="8" t="n">
        <v>0</v>
      </c>
      <c r="G19" s="26" t="n">
        <v>1</v>
      </c>
      <c r="H19" s="26" t="n">
        <v>5</v>
      </c>
      <c r="I19" s="26" t="n">
        <v>5</v>
      </c>
      <c r="J19" s="26" t="n">
        <v>5</v>
      </c>
      <c r="K19" s="26">
        <f>H19+1</f>
        <v>6.0</v>
      </c>
      <c r="L19" s="26">
        <f>I19+1</f>
        <v>6.0</v>
      </c>
      <c r="M19" s="26">
        <f>J19+1</f>
        <v>6.0</v>
      </c>
      <c r="N19" s="26">
        <f>K19+1</f>
        <v>7.0</v>
      </c>
      <c r="O19" s="26">
        <f>L19+1</f>
        <v>7.0</v>
      </c>
      <c r="P19" s="26">
        <f>M19+1</f>
        <v>7.0</v>
      </c>
      <c r="Q19" s="26">
        <f>N19+1</f>
        <v>8.0</v>
      </c>
      <c r="R19" s="40">
        <f>O19+1</f>
        <v>8.0</v>
      </c>
      <c r="S19" s="26">
        <f>P19+1</f>
        <v>8.0</v>
      </c>
      <c r="T19" s="26">
        <f>Q19+1</f>
        <v>9.0</v>
      </c>
      <c r="U19" s="26">
        <f>R19+1</f>
        <v>9.0</v>
      </c>
      <c r="V19" s="26">
        <f>S19+1</f>
        <v>9.0</v>
      </c>
      <c r="W19" s="26">
        <f>T19+1</f>
        <v>10.0</v>
      </c>
      <c r="X19" s="26">
        <f>U19+1</f>
        <v>10.0</v>
      </c>
      <c r="Y19" s="26">
        <f>V19+1</f>
        <v>10.0</v>
      </c>
      <c r="Z19" s="26">
        <f>W19+1</f>
        <v>11.0</v>
      </c>
      <c r="AA19" s="26">
        <f>X19+1</f>
        <v>11.0</v>
      </c>
      <c r="AB19" s="26">
        <f>Y19+1</f>
        <v>11.0</v>
      </c>
      <c r="AC19" s="26">
        <f>Z19+1</f>
        <v>12.0</v>
      </c>
      <c r="AD19" s="26">
        <f>AA19+1</f>
        <v>12.0</v>
      </c>
      <c r="AE19" s="26">
        <f>AB19+1</f>
        <v>12.0</v>
      </c>
      <c r="AF19" s="26">
        <f>AC19+1</f>
        <v>13.0</v>
      </c>
      <c r="AG19" s="26">
        <f>AD19+1</f>
        <v>13.0</v>
      </c>
      <c r="AH19" s="26">
        <f>AE19+1</f>
        <v>13.0</v>
      </c>
      <c r="AI19" s="26">
        <f>AF19+1</f>
        <v>14.0</v>
      </c>
      <c r="AJ19" s="26">
        <f>AG19+1</f>
        <v>14.0</v>
      </c>
      <c r="AK19" s="26">
        <f>AH19+1</f>
        <v>14.0</v>
      </c>
      <c r="AL19" s="26">
        <f>AI19+1</f>
        <v>15.0</v>
      </c>
      <c r="AM19" s="26">
        <f>AJ19+1</f>
        <v>15.0</v>
      </c>
      <c r="AN19" s="26">
        <f>AK19+1</f>
        <v>15.0</v>
      </c>
      <c r="AO19" s="26">
        <f>AL19+1</f>
        <v>16.0</v>
      </c>
      <c r="AP19" s="26">
        <f>AM19+1</f>
        <v>16.0</v>
      </c>
      <c r="AQ19" s="26">
        <f>AN19+1</f>
        <v>16.0</v>
      </c>
      <c r="AR19" s="26">
        <f>AO19+1</f>
        <v>17.0</v>
      </c>
      <c r="AS19" s="26">
        <f>AP19+1</f>
        <v>17.0</v>
      </c>
      <c r="AT19" s="26">
        <f>AQ19+1</f>
        <v>17.0</v>
      </c>
      <c r="AU19" s="26">
        <f>AR19+1</f>
        <v>18.0</v>
      </c>
      <c r="AV19" s="26">
        <f>AS19+1</f>
        <v>18.0</v>
      </c>
      <c r="AW19" s="26">
        <f>AT19+1</f>
        <v>18.0</v>
      </c>
      <c r="AX19" s="26">
        <f>AU19+1</f>
        <v>19.0</v>
      </c>
      <c r="AY19" s="26">
        <f>AV19+1</f>
        <v>19.0</v>
      </c>
      <c r="AZ19" s="26">
        <f>AW19+1</f>
        <v>19.0</v>
      </c>
      <c r="BA19" s="26">
        <f>AX19+1</f>
        <v>20.0</v>
      </c>
      <c r="BB19" s="26">
        <f>AY19+1</f>
        <v>20.0</v>
      </c>
      <c r="BC19" s="26">
        <f>AZ19+1</f>
        <v>20.0</v>
      </c>
      <c r="BD19" s="26">
        <f>BA19+1</f>
        <v>21.0</v>
      </c>
      <c r="BE19" s="26">
        <f>BB19+1</f>
        <v>21.0</v>
      </c>
      <c r="BF19" s="26">
        <f>BC19+1</f>
        <v>21.0</v>
      </c>
      <c r="BG19" s="26">
        <f>BD19+1</f>
        <v>22.0</v>
      </c>
      <c r="BH19" s="26">
        <f>BE19+1</f>
        <v>22.0</v>
      </c>
      <c r="BI19" s="26">
        <f>BF19+1</f>
        <v>22.0</v>
      </c>
      <c r="BJ19" s="26">
        <f>BG19+1</f>
        <v>23.0</v>
      </c>
      <c r="BK19" s="26">
        <f>BH19+1</f>
        <v>23.0</v>
      </c>
      <c r="BL19" s="26">
        <f>BI19+1</f>
        <v>23.0</v>
      </c>
      <c r="BM19" s="26">
        <f>BJ19+1</f>
        <v>24.0</v>
      </c>
      <c r="BN19" s="100">
        <f>SUM(F19:Q19)</f>
        <v>63.0</v>
      </c>
      <c r="BO19" s="26">
        <f>SUM(R19:AC19)</f>
        <v>118.0</v>
      </c>
      <c r="BP19" s="26">
        <f>SUM(AD19:AO19)</f>
        <v>166.0</v>
      </c>
      <c r="BQ19" s="26">
        <f>SUM(AP19:BA19)</f>
        <v>214.0</v>
      </c>
      <c r="BR19" s="26">
        <f>SUM(BB19:BM19)</f>
        <v>262.0</v>
      </c>
    </row>
    <row r="20">
      <c r="C20" s="160" t="inlineStr">
        <is>
          <t>解約予想数</t>
        </is>
      </c>
      <c r="D20" s="12" t="n"/>
      <c r="E20" s="160" t="n"/>
      <c r="F20" s="28" t="n">
        <v>0</v>
      </c>
      <c r="G20" s="28">
        <f>F25*G21</f>
        <v>0.0</v>
      </c>
      <c r="H20" s="28">
        <f>G25*H21</f>
        <v>0.098</v>
      </c>
      <c r="I20" s="28">
        <f>H25*I21</f>
        <v>0.53704</v>
      </c>
      <c r="J20" s="28">
        <f>I25*J21</f>
        <v>0.9672992</v>
      </c>
      <c r="K20" s="28">
        <f>J25*K21</f>
        <v>1.339953216</v>
      </c>
      <c r="L20" s="28">
        <f>K25*L21</f>
        <v>1.80315415168</v>
      </c>
      <c r="M20" s="28">
        <f>L25*M21</f>
        <v>2.2570910686464</v>
      </c>
      <c r="N20" s="28">
        <f>M25*N21</f>
        <v>2.70194924727347</v>
      </c>
      <c r="O20" s="28">
        <f>N25*O21</f>
        <v>3.235910262328</v>
      </c>
      <c r="P20" s="28">
        <f>O25*P21</f>
        <v>3.71019205708144</v>
      </c>
      <c r="Q20" s="28">
        <f>P25*Q21</f>
        <v>4.17498821593981</v>
      </c>
      <c r="R20" s="86">
        <f>Q25*R21</f>
        <v>4.72848845162102</v>
      </c>
      <c r="S20" s="28">
        <f>R25*S21</f>
        <v>5.2219186825886</v>
      </c>
      <c r="T20" s="28">
        <f>S25*T21</f>
        <v>5.70548030893683</v>
      </c>
      <c r="U20" s="28">
        <f>T25*U21</f>
        <v>6.27737070275809</v>
      </c>
      <c r="V20" s="28">
        <f>U25*V21</f>
        <v>6.78882328870293</v>
      </c>
      <c r="W20" s="28">
        <f>V25*W21</f>
        <v>7.29004682292887</v>
      </c>
      <c r="X20" s="28">
        <f>W25*X21</f>
        <v>7.87924588647029</v>
      </c>
      <c r="Y20" s="28">
        <f>X25*Y21</f>
        <v>8.40766096874089</v>
      </c>
      <c r="Z20" s="28">
        <f>Y25*Z21</f>
        <v>8.92550774936607</v>
      </c>
      <c r="AA20" s="28">
        <f>Z25*AA21</f>
        <v>9.53099759437875</v>
      </c>
      <c r="AB20" s="28">
        <f>AA25*AB21</f>
        <v>10.0753776424912</v>
      </c>
      <c r="AC20" s="28">
        <f>AB25*AC21</f>
        <v>10.6088700896413</v>
      </c>
      <c r="AD20" s="28">
        <f>AC25*AD21</f>
        <v>9.78310610186746</v>
      </c>
      <c r="AE20" s="28">
        <f>AD25*AE21</f>
        <v>10.3836517450848</v>
      </c>
      <c r="AF20" s="28">
        <f>AE25*AF21</f>
        <v>10.9308128395458</v>
      </c>
      <c r="AG20" s="28">
        <f>AF25*AG21</f>
        <v>11.5541486148537</v>
      </c>
      <c r="AH20" s="28">
        <f>AG25*AH21</f>
        <v>12.1237010140938</v>
      </c>
      <c r="AI20" s="28">
        <f>AH25*AI21</f>
        <v>12.7261612463472</v>
      </c>
      <c r="AJ20" s="28">
        <f>AI25*AJ21</f>
        <v>13.3180784245361</v>
      </c>
      <c r="AK20" s="28">
        <f>AJ25*AK21</f>
        <v>13.9425120521067</v>
      </c>
      <c r="AL20" s="28">
        <f>AK25*AL21</f>
        <v>14.5131430911948</v>
      </c>
      <c r="AM20" s="28">
        <f>AL25*AM21</f>
        <v>15.1595380870989</v>
      </c>
      <c r="AN20" s="28">
        <f>AM25*AN21</f>
        <v>15.7517461705747</v>
      </c>
      <c r="AO20" s="28">
        <f>AN25*AO21</f>
        <v>16.3335906125896</v>
      </c>
      <c r="AP20" s="28">
        <f>AO25*AP21</f>
        <v>16.9910027768693</v>
      </c>
      <c r="AQ20" s="28">
        <f>AP25*AQ21</f>
        <v>17.5940352282741</v>
      </c>
      <c r="AR20" s="28">
        <f>AQ25*AR21</f>
        <v>18.1865146117793</v>
      </c>
      <c r="AS20" s="28">
        <f>AR25*AS21</f>
        <v>18.8115006060732</v>
      </c>
      <c r="AT20" s="28">
        <f>AS25*AT21</f>
        <v>19.4255493454669</v>
      </c>
      <c r="AU20" s="28">
        <f>AT25*AU21</f>
        <v>20.0288522319212</v>
      </c>
      <c r="AV20" s="28">
        <f>AU25*AV21</f>
        <v>20.6644723178626</v>
      </c>
      <c r="AW20" s="28">
        <f>AV25*AW21</f>
        <v>21.2889690523</v>
      </c>
      <c r="AX20" s="28">
        <f>AW25*AX21</f>
        <v>21.9025370938848</v>
      </c>
      <c r="AY20" s="28">
        <f>AX25*AY21</f>
        <v>22.5482426947418</v>
      </c>
      <c r="AZ20" s="28">
        <f>AY25*AZ21</f>
        <v>23.1397734475838</v>
      </c>
      <c r="BA20" s="28">
        <f>AZ25*BA21</f>
        <v>23.7638274122511</v>
      </c>
      <c r="BB20" s="28">
        <f>BA25*BB21</f>
        <v>20.8945375136029</v>
      </c>
      <c r="BC20" s="28">
        <f>BB25*BC21</f>
        <v>21.6468694508988</v>
      </c>
      <c r="BD20" s="28">
        <f>BC25*BD21</f>
        <v>22.3511664091353</v>
      </c>
      <c r="BE20" s="28">
        <f>BD25*BE21</f>
        <v>23.0816489129983</v>
      </c>
      <c r="BF20" s="28">
        <f>BE25*BF21</f>
        <v>23.8011741793033</v>
      </c>
      <c r="BG20" s="28">
        <f>BF25*BG21</f>
        <v>24.5099065666138</v>
      </c>
      <c r="BH20" s="28">
        <f>BG25*BH21</f>
        <v>25.2815079681146</v>
      </c>
      <c r="BI20" s="28">
        <f>BH25*BI21</f>
        <v>26.0047853485929</v>
      </c>
      <c r="BJ20" s="28">
        <f>BI25*BJ21</f>
        <v>26.717213568364</v>
      </c>
      <c r="BK20" s="28">
        <f>BJ25*BK21</f>
        <v>27.4557053648385</v>
      </c>
      <c r="BL20" s="28">
        <f>BK25*BL21</f>
        <v>28.1831197843659</v>
      </c>
      <c r="BM20" s="28">
        <f>BL25*BM21</f>
        <v>28.8996229876004</v>
      </c>
      <c r="BN20" s="100">
        <f>SUM(F20:Q20)</f>
        <v>20.8255774189491</v>
      </c>
      <c r="BO20" s="28">
        <f>SUM(R20:AC20)</f>
        <v>91.4397881886248</v>
      </c>
      <c r="BP20" s="28">
        <f>SUM(AD20:AO20)</f>
        <v>156.520189999894</v>
      </c>
      <c r="BQ20" s="28">
        <f>SUM(AP20:BA20)</f>
        <v>244.345276819008</v>
      </c>
      <c r="BR20" s="28">
        <f>SUM(BB20:BM20)</f>
        <v>298.827258054429</v>
      </c>
    </row>
    <row r="21">
      <c r="C21" s="160" t="inlineStr">
        <is>
          <t>解約率</t>
        </is>
      </c>
      <c r="D21" s="12" t="inlineStr">
        <is>
          <t>F&amp;M オフィスステーション1.01%</t>
        </is>
      </c>
      <c r="E21" s="160" t="n"/>
      <c r="F21" s="29" t="n">
        <v>0.02</v>
      </c>
      <c r="G21" s="29" t="n">
        <v>0.02</v>
      </c>
      <c r="H21" s="29" t="n">
        <v>0.02</v>
      </c>
      <c r="I21" s="29" t="n">
        <v>0.02</v>
      </c>
      <c r="J21" s="29" t="n">
        <v>0.02</v>
      </c>
      <c r="K21" s="29" t="n">
        <v>0.02</v>
      </c>
      <c r="L21" s="29" t="n">
        <v>0.02</v>
      </c>
      <c r="M21" s="29" t="n">
        <v>0.02</v>
      </c>
      <c r="N21" s="29" t="n">
        <v>0.02</v>
      </c>
      <c r="O21" s="29" t="n">
        <v>0.02</v>
      </c>
      <c r="P21" s="29" t="n">
        <v>0.02</v>
      </c>
      <c r="Q21" s="29" t="n">
        <v>0.02</v>
      </c>
      <c r="R21" s="78" t="n">
        <v>0.02</v>
      </c>
      <c r="S21" s="29" t="n">
        <v>0.02</v>
      </c>
      <c r="T21" s="29" t="n">
        <v>0.02</v>
      </c>
      <c r="U21" s="29" t="n">
        <v>0.02</v>
      </c>
      <c r="V21" s="29" t="n">
        <v>0.02</v>
      </c>
      <c r="W21" s="29" t="n">
        <v>0.02</v>
      </c>
      <c r="X21" s="29" t="n">
        <v>0.02</v>
      </c>
      <c r="Y21" s="29" t="n">
        <v>0.02</v>
      </c>
      <c r="Z21" s="29" t="n">
        <v>0.02</v>
      </c>
      <c r="AA21" s="29" t="n">
        <v>0.02</v>
      </c>
      <c r="AB21" s="29" t="n">
        <v>0.02</v>
      </c>
      <c r="AC21" s="29" t="n">
        <v>0.02</v>
      </c>
      <c r="AD21" s="162" t="n">
        <v>0.0175</v>
      </c>
      <c r="AE21" s="162" t="n">
        <v>0.0175</v>
      </c>
      <c r="AF21" s="162" t="n">
        <v>0.0175</v>
      </c>
      <c r="AG21" s="162" t="n">
        <v>0.0175</v>
      </c>
      <c r="AH21" s="162" t="n">
        <v>0.0175</v>
      </c>
      <c r="AI21" s="162" t="n">
        <v>0.0175</v>
      </c>
      <c r="AJ21" s="162" t="n">
        <v>0.0175</v>
      </c>
      <c r="AK21" s="162" t="n">
        <v>0.0175</v>
      </c>
      <c r="AL21" s="162" t="n">
        <v>0.0175</v>
      </c>
      <c r="AM21" s="162" t="n">
        <v>0.0175</v>
      </c>
      <c r="AN21" s="162" t="n">
        <v>0.0175</v>
      </c>
      <c r="AO21" s="162" t="n">
        <v>0.0175</v>
      </c>
      <c r="AP21" s="162" t="n">
        <v>0.0175</v>
      </c>
      <c r="AQ21" s="162" t="n">
        <v>0.0175</v>
      </c>
      <c r="AR21" s="162" t="n">
        <v>0.0175</v>
      </c>
      <c r="AS21" s="162" t="n">
        <v>0.0175</v>
      </c>
      <c r="AT21" s="162" t="n">
        <v>0.0175</v>
      </c>
      <c r="AU21" s="162" t="n">
        <v>0.0175</v>
      </c>
      <c r="AV21" s="162" t="n">
        <v>0.0175</v>
      </c>
      <c r="AW21" s="162" t="n">
        <v>0.0175</v>
      </c>
      <c r="AX21" s="162" t="n">
        <v>0.0175</v>
      </c>
      <c r="AY21" s="162" t="n">
        <v>0.0175</v>
      </c>
      <c r="AZ21" s="162" t="n">
        <v>0.0175</v>
      </c>
      <c r="BA21" s="162" t="n">
        <v>0.0175</v>
      </c>
      <c r="BB21" s="29" t="n">
        <v>0.015</v>
      </c>
      <c r="BC21" s="29" t="n">
        <v>0.015</v>
      </c>
      <c r="BD21" s="29" t="n">
        <v>0.015</v>
      </c>
      <c r="BE21" s="29" t="n">
        <v>0.015</v>
      </c>
      <c r="BF21" s="29" t="n">
        <v>0.015</v>
      </c>
      <c r="BG21" s="29" t="n">
        <v>0.015</v>
      </c>
      <c r="BH21" s="29" t="n">
        <v>0.015</v>
      </c>
      <c r="BI21" s="29" t="n">
        <v>0.015</v>
      </c>
      <c r="BJ21" s="29" t="n">
        <v>0.015</v>
      </c>
      <c r="BK21" s="29" t="n">
        <v>0.015</v>
      </c>
      <c r="BL21" s="29" t="n">
        <v>0.015</v>
      </c>
      <c r="BM21" s="29" t="n">
        <v>0.015</v>
      </c>
      <c r="BN21" s="101">
        <f>AVERAGE(F21:Q21)</f>
        <v>0.02</v>
      </c>
      <c r="BO21" s="29">
        <f>AVERAGE(R21:AC21)</f>
        <v>0.02</v>
      </c>
      <c r="BP21" s="29">
        <f>AVERAGE(AD21:AO21)</f>
        <v>0.0175</v>
      </c>
      <c r="BQ21" s="29">
        <f>AVERAGE(AP21:BA21)</f>
        <v>0.0175</v>
      </c>
      <c r="BR21" s="29">
        <f>AVERAGE(BB21:BM21)</f>
        <v>0.015</v>
      </c>
    </row>
    <row r="23">
      <c r="C23" s="220" t="inlineStr">
        <is>
          <t>■ ストック計算（契約社数＝前月契約社数＋当月新規受注－当月解約）</t>
        </is>
      </c>
    </row>
    <row r="24" s="159">
      <c r="A24" s="220" t="n"/>
      <c r="B24" s="220" t="n"/>
      <c r="C24" s="228" t="inlineStr">
        <is>
          <t>新規受注数（当月）</t>
        </is>
      </c>
      <c r="D24" s="79" t="inlineStr">
        <is>
          <t>＝当月の累計獲得数(11行)－前月の累計獲得数。税理士獲得ロジック(×35等)は別途検討中のため、既存ファネルを流用</t>
        </is>
      </c>
      <c r="E24" s="79" t="n"/>
      <c r="F24" s="229">
        <f>F11</f>
        <v>0.0</v>
      </c>
      <c r="G24" s="229">
        <f>G11-F11</f>
        <v>4.9</v>
      </c>
      <c r="H24" s="229">
        <f>H11-G11</f>
        <v>22.05</v>
      </c>
      <c r="I24" s="229">
        <f>I11-H11</f>
        <v>22.05</v>
      </c>
      <c r="J24" s="229">
        <f>J11-I11</f>
        <v>19.6</v>
      </c>
      <c r="K24" s="229">
        <f>K11-J11</f>
        <v>24.5</v>
      </c>
      <c r="L24" s="229">
        <f>L11-K11</f>
        <v>24.5</v>
      </c>
      <c r="M24" s="229">
        <f>M11-L11</f>
        <v>24.5</v>
      </c>
      <c r="N24" s="229">
        <f>N11-M11</f>
        <v>29.4</v>
      </c>
      <c r="O24" s="229">
        <f>O11-N11</f>
        <v>26.95</v>
      </c>
      <c r="P24" s="229">
        <f>P11-O11</f>
        <v>26.95</v>
      </c>
      <c r="Q24" s="229">
        <f>Q11-P11</f>
        <v>31.85</v>
      </c>
      <c r="R24" s="230">
        <f>R11-Q11</f>
        <v>29.4</v>
      </c>
      <c r="S24" s="229">
        <f>S11-R11</f>
        <v>29.4</v>
      </c>
      <c r="T24" s="229">
        <f>T11-S11</f>
        <v>34.3</v>
      </c>
      <c r="U24" s="229">
        <f>U11-T11</f>
        <v>31.85</v>
      </c>
      <c r="V24" s="229">
        <f>V11-U11</f>
        <v>31.85</v>
      </c>
      <c r="W24" s="229">
        <f>W11-V11</f>
        <v>36.75</v>
      </c>
      <c r="X24" s="229">
        <f>X11-W11</f>
        <v>34.3</v>
      </c>
      <c r="Y24" s="229">
        <f>Y11-X11</f>
        <v>34.3</v>
      </c>
      <c r="Z24" s="229">
        <f>Z11-Y11</f>
        <v>39.1999999999999</v>
      </c>
      <c r="AA24" s="229">
        <f>AA11-Z11</f>
        <v>36.75</v>
      </c>
      <c r="AB24" s="229">
        <f>AB11-AA11</f>
        <v>36.75</v>
      </c>
      <c r="AC24" s="229">
        <f>AC11-AB11</f>
        <v>39.2</v>
      </c>
      <c r="AD24" s="229">
        <f>AD11-AC11</f>
        <v>44.1</v>
      </c>
      <c r="AE24" s="229">
        <f>AE11-AD11</f>
        <v>41.65</v>
      </c>
      <c r="AF24" s="229">
        <f>AF11-AE11</f>
        <v>46.55</v>
      </c>
      <c r="AG24" s="229">
        <f>AG11-AF11</f>
        <v>44.1</v>
      </c>
      <c r="AH24" s="229">
        <f>AH11-AG11</f>
        <v>46.5500000000001</v>
      </c>
      <c r="AI24" s="229">
        <f>AI11-AH11</f>
        <v>46.55</v>
      </c>
      <c r="AJ24" s="229">
        <f>AJ11-AI11</f>
        <v>49.0</v>
      </c>
      <c r="AK24" s="229">
        <f>AK11-AJ11</f>
        <v>46.55</v>
      </c>
      <c r="AL24" s="229">
        <f>AL11-AK11</f>
        <v>51.45</v>
      </c>
      <c r="AM24" s="229">
        <f>AM11-AL11</f>
        <v>49.0</v>
      </c>
      <c r="AN24" s="229">
        <f>AN11-AM11</f>
        <v>49.0</v>
      </c>
      <c r="AO24" s="229">
        <f>AO11-AN11</f>
        <v>53.8999999999999</v>
      </c>
      <c r="AP24" s="229">
        <f>AP11-AO11</f>
        <v>51.45</v>
      </c>
      <c r="AQ24" s="229">
        <f>AQ11-AP11</f>
        <v>51.45</v>
      </c>
      <c r="AR24" s="229">
        <f>AR11-AQ11</f>
        <v>53.9000000000001</v>
      </c>
      <c r="AS24" s="229">
        <f>AS11-AR11</f>
        <v>53.8999999999999</v>
      </c>
      <c r="AT24" s="229">
        <f>AT11-AS11</f>
        <v>53.9000000000001</v>
      </c>
      <c r="AU24" s="229">
        <f>AU11-AT11</f>
        <v>56.3499999999999</v>
      </c>
      <c r="AV24" s="229">
        <f>AV11-AU11</f>
        <v>56.3500000000001</v>
      </c>
      <c r="AW24" s="229">
        <f>AW11-AV11</f>
        <v>56.3499999999999</v>
      </c>
      <c r="AX24" s="229">
        <f>AX11-AW11</f>
        <v>58.8</v>
      </c>
      <c r="AY24" s="229">
        <f>AY11-AX11</f>
        <v>56.3500000000001</v>
      </c>
      <c r="AZ24" s="229">
        <f>AZ11-AY11</f>
        <v>58.8</v>
      </c>
      <c r="BA24" s="229">
        <f>BA11-AZ11</f>
        <v>58.8</v>
      </c>
      <c r="BB24" s="229">
        <f>BB11-BA11</f>
        <v>71.05</v>
      </c>
      <c r="BC24" s="229">
        <f>BC11-BB11</f>
        <v>68.5999999999999</v>
      </c>
      <c r="BD24" s="229">
        <f>BD11-BC11</f>
        <v>71.05</v>
      </c>
      <c r="BE24" s="229">
        <f>BE11-BD11</f>
        <v>71.0500000000002</v>
      </c>
      <c r="BF24" s="229">
        <f>BF11-BE11</f>
        <v>71.0499999999997</v>
      </c>
      <c r="BG24" s="229">
        <f>BG11-BF11</f>
        <v>75.9500000000003</v>
      </c>
      <c r="BH24" s="229">
        <f>BH11-BG11</f>
        <v>73.5</v>
      </c>
      <c r="BI24" s="229">
        <f>BI11-BH11</f>
        <v>73.5</v>
      </c>
      <c r="BJ24" s="229">
        <f>BJ11-BI11</f>
        <v>75.9499999999998</v>
      </c>
      <c r="BK24" s="229">
        <f>BK11-BJ11</f>
        <v>75.9500000000003</v>
      </c>
      <c r="BL24" s="229">
        <f>BL11-BK11</f>
        <v>75.9499999999998</v>
      </c>
      <c r="BM24" s="229">
        <f>BM11-BL11</f>
        <v>78.4000000000001</v>
      </c>
      <c r="BN24" s="231">
        <f>SUM(F24:Q24)</f>
        <v>257.25</v>
      </c>
      <c r="BO24" s="229">
        <f>SUM(R24:AC24)</f>
        <v>414.05</v>
      </c>
      <c r="BP24" s="229">
        <f>SUM(AD24:AO24)</f>
        <v>568.4</v>
      </c>
      <c r="BQ24" s="229">
        <f>SUM(AP24:BA24)</f>
        <v>666.4</v>
      </c>
      <c r="BR24" s="229">
        <f>SUM(BB24:BM24)</f>
        <v>882.0</v>
      </c>
    </row>
    <row r="25" s="159">
      <c r="A25" s="220" t="n"/>
      <c r="B25" s="220" t="n"/>
      <c r="C25" s="228" t="inlineStr">
        <is>
          <t>期末契約社数（ストック）</t>
        </is>
      </c>
      <c r="D25" s="79" t="inlineStr">
        <is>
          <t>＝前月末契約社数＋新規受注数－解約予想数。売上＝本行×単価</t>
        </is>
      </c>
      <c r="E25" s="79" t="n"/>
      <c r="F25" s="229">
        <f>F24-F20</f>
        <v>0.0</v>
      </c>
      <c r="G25" s="229">
        <f>F25+G24-G20</f>
        <v>4.9</v>
      </c>
      <c r="H25" s="229">
        <f>G25+H24-H20</f>
        <v>26.852</v>
      </c>
      <c r="I25" s="229">
        <f>H25+I24-I20</f>
        <v>48.36496</v>
      </c>
      <c r="J25" s="229">
        <f>I25+J24-J20</f>
        <v>66.9976608</v>
      </c>
      <c r="K25" s="229">
        <f>J25+K24-K20</f>
        <v>90.157707584</v>
      </c>
      <c r="L25" s="229">
        <f>K25+L24-L20</f>
        <v>112.85455343232</v>
      </c>
      <c r="M25" s="229">
        <f>L25+M24-M20</f>
        <v>135.097462363674</v>
      </c>
      <c r="N25" s="229">
        <f>M25+N24-N20</f>
        <v>161.7955131164</v>
      </c>
      <c r="O25" s="229">
        <f>N25+O24-O20</f>
        <v>185.509602854072</v>
      </c>
      <c r="P25" s="229">
        <f>O25+P24-P20</f>
        <v>208.749410796991</v>
      </c>
      <c r="Q25" s="229">
        <f>P25+Q24-Q20</f>
        <v>236.424422581051</v>
      </c>
      <c r="R25" s="230">
        <f>Q25+R24-R20</f>
        <v>261.09593412943</v>
      </c>
      <c r="S25" s="229">
        <f>R25+S24-S20</f>
        <v>285.274015446841</v>
      </c>
      <c r="T25" s="229">
        <f>S25+T24-T20</f>
        <v>313.868535137904</v>
      </c>
      <c r="U25" s="229">
        <f>T25+U24-U20</f>
        <v>339.441164435146</v>
      </c>
      <c r="V25" s="229">
        <f>U25+V24-V20</f>
        <v>364.502341146443</v>
      </c>
      <c r="W25" s="229">
        <f>V25+W24-W20</f>
        <v>393.962294323515</v>
      </c>
      <c r="X25" s="229">
        <f>W25+X24-X20</f>
        <v>420.383048437044</v>
      </c>
      <c r="Y25" s="229">
        <f>X25+Y24-Y20</f>
        <v>446.275387468303</v>
      </c>
      <c r="Z25" s="229">
        <f>Y25+Z24-Z20</f>
        <v>476.549879718937</v>
      </c>
      <c r="AA25" s="229">
        <f>Z25+AA24-AA20</f>
        <v>503.768882124559</v>
      </c>
      <c r="AB25" s="229">
        <f>AA25+AB24-AB20</f>
        <v>530.443504482067</v>
      </c>
      <c r="AC25" s="229">
        <f>AB25+AC24-AC20</f>
        <v>559.034634392426</v>
      </c>
      <c r="AD25" s="229">
        <f>AC25+AD24-AD20</f>
        <v>593.351528290559</v>
      </c>
      <c r="AE25" s="229">
        <f>AD25+AE24-AE20</f>
        <v>624.617876545474</v>
      </c>
      <c r="AF25" s="229">
        <f>AE25+AF24-AF20</f>
        <v>660.237063705928</v>
      </c>
      <c r="AG25" s="229">
        <f>AF25+AG24-AG20</f>
        <v>692.782915091074</v>
      </c>
      <c r="AH25" s="229">
        <f>AG25+AH24-AH20</f>
        <v>727.209214076981</v>
      </c>
      <c r="AI25" s="229">
        <f>AH25+AI24-AI20</f>
        <v>761.033052830633</v>
      </c>
      <c r="AJ25" s="229">
        <f>AI25+AJ24-AJ20</f>
        <v>796.714974406097</v>
      </c>
      <c r="AK25" s="229">
        <f>AJ25+AK24-AK20</f>
        <v>829.322462353991</v>
      </c>
      <c r="AL25" s="229">
        <f>AK25+AL24-AL20</f>
        <v>866.259319262796</v>
      </c>
      <c r="AM25" s="229">
        <f>AL25+AM24-AM20</f>
        <v>900.099781175697</v>
      </c>
      <c r="AN25" s="229">
        <f>AM25+AN24-AN20</f>
        <v>933.348035005122</v>
      </c>
      <c r="AO25" s="229">
        <f>AN25+AO24-AO20</f>
        <v>970.914444392532</v>
      </c>
      <c r="AP25" s="229">
        <f>AO25+AP24-AP20</f>
        <v>1005.37344161566</v>
      </c>
      <c r="AQ25" s="229">
        <f>AP25+AQ24-AQ20</f>
        <v>1039.22940638739</v>
      </c>
      <c r="AR25" s="229">
        <f>AQ25+AR24-AR20</f>
        <v>1074.94289177561</v>
      </c>
      <c r="AS25" s="229">
        <f>AR25+AS24-AS20</f>
        <v>1110.03139116954</v>
      </c>
      <c r="AT25" s="229">
        <f>AS25+AT24-AT20</f>
        <v>1144.50584182407</v>
      </c>
      <c r="AU25" s="229">
        <f>AT25+AU24-AU20</f>
        <v>1180.82698959215</v>
      </c>
      <c r="AV25" s="229">
        <f>AU25+AV24-AV20</f>
        <v>1216.51251727429</v>
      </c>
      <c r="AW25" s="229">
        <f>AV25+AW24-AW20</f>
        <v>1251.57354822199</v>
      </c>
      <c r="AX25" s="229">
        <f>AW25+AX24-AX20</f>
        <v>1288.4710111281</v>
      </c>
      <c r="AY25" s="229">
        <f>AX25+AY24-AY20</f>
        <v>1322.27276843336</v>
      </c>
      <c r="AZ25" s="229">
        <f>AY25+AZ24-AZ20</f>
        <v>1357.93299498578</v>
      </c>
      <c r="BA25" s="229">
        <f>AZ25+BA24-BA20</f>
        <v>1392.96916757352</v>
      </c>
      <c r="BB25" s="229">
        <f>BA25+BB24-BB20</f>
        <v>1443.12463005992</v>
      </c>
      <c r="BC25" s="229">
        <f>BB25+BC24-BC20</f>
        <v>1490.07776060902</v>
      </c>
      <c r="BD25" s="229">
        <f>BC25+BD24-BD20</f>
        <v>1538.77659419989</v>
      </c>
      <c r="BE25" s="229">
        <f>BD25+BE24-BE20</f>
        <v>1586.74494528689</v>
      </c>
      <c r="BF25" s="229">
        <f>BE25+BF24-BF20</f>
        <v>1633.99377110759</v>
      </c>
      <c r="BG25" s="229">
        <f>BF25+BG24-BG20</f>
        <v>1685.43386454097</v>
      </c>
      <c r="BH25" s="229">
        <f>BG25+BH24-BH20</f>
        <v>1733.65235657286</v>
      </c>
      <c r="BI25" s="229">
        <f>BH25+BI24-BI20</f>
        <v>1781.14757122426</v>
      </c>
      <c r="BJ25" s="229">
        <f>BI25+BJ24-BJ20</f>
        <v>1830.3803576559</v>
      </c>
      <c r="BK25" s="229">
        <f>BJ25+BK24-BK20</f>
        <v>1878.87465229106</v>
      </c>
      <c r="BL25" s="229">
        <f>BK25+BL24-BL20</f>
        <v>1926.6415325067</v>
      </c>
      <c r="BM25" s="229">
        <f>BL25+BM24-BM20</f>
        <v>1976.1419095191</v>
      </c>
      <c r="BN25" s="231">
        <f>Q25</f>
        <v>236.424422581051</v>
      </c>
      <c r="BO25" s="229">
        <f>AC25</f>
        <v>559.034634392426</v>
      </c>
      <c r="BP25" s="229">
        <f>AO25</f>
        <v>970.914444392532</v>
      </c>
      <c r="BQ25" s="229">
        <f>BA25</f>
        <v>1392.96916757352</v>
      </c>
      <c r="BR25" s="229">
        <f>BM25</f>
        <v>1976.1419095191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4:BR25"/>
  <sheetViews>
    <sheetView tabSelected="1" topLeftCell="B1" workbookViewId="0">
      <selection activeCell="K28" sqref="K28"/>
    </sheetView>
  </sheetViews>
  <sheetFormatPr baseColWidth="10" defaultRowHeight="20"/>
  <sheetData>
    <row r="4">
      <c r="C4" s="120" t="inlineStr">
        <is>
          <t>■ ⑤ 売掛保証（保証型ファクタリング）※Y1から開拓</t>
        </is>
      </c>
      <c r="D4" s="120" t="inlineStr">
        <is>
          <t>イー・ギャランティ（東証プライム・会計事務所チャネルが本業）等。買取型ファクタリングは扱わない（高手数料・信用リスク）。URIHOは2026/3新規終了</t>
        </is>
      </c>
      <c r="E4" s="77" t="n"/>
      <c r="F4" s="121" t="inlineStr">
        <is>
          <t>Y1_M1</t>
        </is>
      </c>
      <c r="G4" s="121" t="inlineStr">
        <is>
          <t>Y1_M2</t>
        </is>
      </c>
      <c r="H4" s="121" t="inlineStr">
        <is>
          <t>Y1_M3</t>
        </is>
      </c>
      <c r="I4" s="121" t="inlineStr">
        <is>
          <t>Y1_M4</t>
        </is>
      </c>
      <c r="J4" s="121" t="inlineStr">
        <is>
          <t>Y1_M5</t>
        </is>
      </c>
      <c r="K4" s="121" t="inlineStr">
        <is>
          <t>Y1_M6</t>
        </is>
      </c>
      <c r="L4" s="121" t="inlineStr">
        <is>
          <t>Y1_M7</t>
        </is>
      </c>
      <c r="M4" s="121" t="inlineStr">
        <is>
          <t>Y1_M8</t>
        </is>
      </c>
      <c r="N4" s="121" t="inlineStr">
        <is>
          <t>Y1_M9</t>
        </is>
      </c>
      <c r="O4" s="121" t="inlineStr">
        <is>
          <t>Y1_M10</t>
        </is>
      </c>
      <c r="P4" s="121" t="inlineStr">
        <is>
          <t>Y1_M11</t>
        </is>
      </c>
      <c r="Q4" s="121" t="inlineStr">
        <is>
          <t>Y1_M12</t>
        </is>
      </c>
      <c r="R4" s="121" t="inlineStr">
        <is>
          <t>Y2_M1</t>
        </is>
      </c>
      <c r="S4" s="121" t="inlineStr">
        <is>
          <t>Y2_M2</t>
        </is>
      </c>
      <c r="T4" s="121" t="inlineStr">
        <is>
          <t>Y2_M3</t>
        </is>
      </c>
      <c r="U4" s="121" t="inlineStr">
        <is>
          <t>Y2_M4</t>
        </is>
      </c>
      <c r="V4" s="121" t="inlineStr">
        <is>
          <t>Y2_M5</t>
        </is>
      </c>
      <c r="W4" s="121" t="inlineStr">
        <is>
          <t>Y2_M6</t>
        </is>
      </c>
      <c r="X4" s="121" t="inlineStr">
        <is>
          <t>Y2_M7</t>
        </is>
      </c>
      <c r="Y4" s="121" t="inlineStr">
        <is>
          <t>Y2_M8</t>
        </is>
      </c>
      <c r="Z4" s="121" t="inlineStr">
        <is>
          <t>Y2_M9</t>
        </is>
      </c>
      <c r="AA4" s="121" t="inlineStr">
        <is>
          <t>Y2_M10</t>
        </is>
      </c>
      <c r="AB4" s="121" t="inlineStr">
        <is>
          <t>Y2_M11</t>
        </is>
      </c>
      <c r="AC4" s="121" t="inlineStr">
        <is>
          <t>Y2_M12</t>
        </is>
      </c>
      <c r="AD4" s="121" t="inlineStr">
        <is>
          <t>Y3_M1</t>
        </is>
      </c>
      <c r="AE4" s="121" t="inlineStr">
        <is>
          <t>Y3_M2</t>
        </is>
      </c>
      <c r="AF4" s="121" t="inlineStr">
        <is>
          <t>Y3_M3</t>
        </is>
      </c>
      <c r="AG4" s="121" t="inlineStr">
        <is>
          <t>Y3_M4</t>
        </is>
      </c>
      <c r="AH4" s="121" t="inlineStr">
        <is>
          <t>Y3_M5</t>
        </is>
      </c>
      <c r="AI4" s="121" t="inlineStr">
        <is>
          <t>Y3_M6</t>
        </is>
      </c>
      <c r="AJ4" s="121" t="inlineStr">
        <is>
          <t>Y3_M7</t>
        </is>
      </c>
      <c r="AK4" s="121" t="inlineStr">
        <is>
          <t>Y3_M8</t>
        </is>
      </c>
      <c r="AL4" s="121" t="inlineStr">
        <is>
          <t>Y3_M9</t>
        </is>
      </c>
      <c r="AM4" s="121" t="inlineStr">
        <is>
          <t>Y3_M10</t>
        </is>
      </c>
      <c r="AN4" s="121" t="inlineStr">
        <is>
          <t>Y3_M11</t>
        </is>
      </c>
      <c r="AO4" s="121" t="inlineStr">
        <is>
          <t>Y3_M12</t>
        </is>
      </c>
      <c r="AP4" s="121" t="inlineStr">
        <is>
          <t>Y4_M1</t>
        </is>
      </c>
      <c r="AQ4" s="121" t="inlineStr">
        <is>
          <t>Y4_M2</t>
        </is>
      </c>
      <c r="AR4" s="121" t="inlineStr">
        <is>
          <t>Y4_M3</t>
        </is>
      </c>
      <c r="AS4" s="121" t="inlineStr">
        <is>
          <t>Y4_M4</t>
        </is>
      </c>
      <c r="AT4" s="121" t="inlineStr">
        <is>
          <t>Y4_M5</t>
        </is>
      </c>
      <c r="AU4" s="121" t="inlineStr">
        <is>
          <t>Y4_M6</t>
        </is>
      </c>
      <c r="AV4" s="121" t="inlineStr">
        <is>
          <t>Y4_M7</t>
        </is>
      </c>
      <c r="AW4" s="121" t="inlineStr">
        <is>
          <t>Y4_M8</t>
        </is>
      </c>
      <c r="AX4" s="121" t="inlineStr">
        <is>
          <t>Y4_M9</t>
        </is>
      </c>
      <c r="AY4" s="121" t="inlineStr">
        <is>
          <t>Y4_M10</t>
        </is>
      </c>
      <c r="AZ4" s="121" t="inlineStr">
        <is>
          <t>Y4_M11</t>
        </is>
      </c>
      <c r="BA4" s="121" t="inlineStr">
        <is>
          <t>Y4_M12</t>
        </is>
      </c>
      <c r="BB4" s="121" t="inlineStr">
        <is>
          <t>Y5_M1</t>
        </is>
      </c>
      <c r="BC4" s="121" t="inlineStr">
        <is>
          <t>Y5_M2</t>
        </is>
      </c>
      <c r="BD4" s="121" t="inlineStr">
        <is>
          <t>Y5_M3</t>
        </is>
      </c>
      <c r="BE4" s="121" t="inlineStr">
        <is>
          <t>Y5_M4</t>
        </is>
      </c>
      <c r="BF4" s="121" t="inlineStr">
        <is>
          <t>Y5_M5</t>
        </is>
      </c>
      <c r="BG4" s="121" t="inlineStr">
        <is>
          <t>Y5_M6</t>
        </is>
      </c>
      <c r="BH4" s="121" t="inlineStr">
        <is>
          <t>Y5_M7</t>
        </is>
      </c>
      <c r="BI4" s="121" t="inlineStr">
        <is>
          <t>Y5_M8</t>
        </is>
      </c>
      <c r="BJ4" s="121" t="inlineStr">
        <is>
          <t>Y5_M9</t>
        </is>
      </c>
      <c r="BK4" s="121" t="inlineStr">
        <is>
          <t>Y5_M10</t>
        </is>
      </c>
      <c r="BL4" s="121" t="inlineStr">
        <is>
          <t>Y5_M11</t>
        </is>
      </c>
      <c r="BM4" s="121" t="inlineStr">
        <is>
          <t>Y5_M12</t>
        </is>
      </c>
      <c r="BN4" s="122" t="inlineStr">
        <is>
          <t>Y1</t>
        </is>
      </c>
      <c r="BO4" s="122" t="inlineStr">
        <is>
          <t>Y2</t>
        </is>
      </c>
      <c r="BP4" s="122" t="inlineStr">
        <is>
          <t>Y3</t>
        </is>
      </c>
      <c r="BQ4" s="122" t="inlineStr">
        <is>
          <t>Y4</t>
        </is>
      </c>
      <c r="BR4" s="122" t="inlineStr">
        <is>
          <t>Y5</t>
        </is>
      </c>
    </row>
    <row r="5">
      <c r="C5" s="123" t="inlineStr">
        <is>
          <t>売上</t>
        </is>
      </c>
      <c r="F5" s="124">
        <f>F25*F16</f>
        <v>0.0</v>
      </c>
      <c r="G5" s="205">
        <f>G25*G16</f>
        <v>3780.0</v>
      </c>
      <c r="H5" s="205">
        <f>H25*H16</f>
        <v>20714.4</v>
      </c>
      <c r="I5" s="205">
        <f>I25*I16</f>
        <v>37310.112</v>
      </c>
      <c r="J5" s="205">
        <f>J25*J16</f>
        <v>51683.90976</v>
      </c>
      <c r="K5" s="205">
        <f>K25*K16</f>
        <v>69550.2315648</v>
      </c>
      <c r="L5" s="205">
        <f>L25*L16</f>
        <v>87059.226933504</v>
      </c>
      <c r="M5" s="205">
        <f>M25*M16</f>
        <v>104218.042394834</v>
      </c>
      <c r="N5" s="205">
        <f>N25*N16</f>
        <v>124813.681546937</v>
      </c>
      <c r="O5" s="205">
        <f>O25*O16</f>
        <v>143107.407915998</v>
      </c>
      <c r="P5" s="205">
        <f>P25*P16</f>
        <v>161035.259757679</v>
      </c>
      <c r="Q5" s="205">
        <f>Q25*Q16</f>
        <v>182384.554562525</v>
      </c>
      <c r="R5" s="206">
        <f>R25*R16</f>
        <v>201416.863471274</v>
      </c>
      <c r="S5" s="205">
        <f>S25*S16</f>
        <v>220068.526201849</v>
      </c>
      <c r="T5" s="205">
        <f>T25*T16</f>
        <v>242127.155677812</v>
      </c>
      <c r="U5" s="205">
        <f>U25*U16</f>
        <v>261854.612564256</v>
      </c>
      <c r="V5" s="205">
        <f>V25*V16</f>
        <v>281187.520312971</v>
      </c>
      <c r="W5" s="205">
        <f>W25*W16</f>
        <v>303913.769906711</v>
      </c>
      <c r="X5" s="205">
        <f>X25*X16</f>
        <v>324295.494508577</v>
      </c>
      <c r="Y5" s="205">
        <f>Y25*Y16</f>
        <v>344269.584618405</v>
      </c>
      <c r="Z5" s="205">
        <f>Z25*Z16</f>
        <v>367624.192926037</v>
      </c>
      <c r="AA5" s="205">
        <f>AA25*AA16</f>
        <v>388621.709067516</v>
      </c>
      <c r="AB5" s="205">
        <f>AB25*AB16</f>
        <v>409199.274886166</v>
      </c>
      <c r="AC5" s="205">
        <f>AC25*AC16</f>
        <v>431255.289388443</v>
      </c>
      <c r="AD5" s="205">
        <f>AD25*AD16</f>
        <v>457728.321824145</v>
      </c>
      <c r="AE5" s="205">
        <f>AE25*AE16</f>
        <v>481848.076192223</v>
      </c>
      <c r="AF5" s="205">
        <f>AF25*AF16</f>
        <v>509325.734858859</v>
      </c>
      <c r="AG5" s="205">
        <f>AG25*AG16</f>
        <v>534432.534498829</v>
      </c>
      <c r="AH5" s="205">
        <f>AH25*AH16</f>
        <v>560989.965145099</v>
      </c>
      <c r="AI5" s="205">
        <f>AI25*AI16</f>
        <v>587082.64075506</v>
      </c>
      <c r="AJ5" s="205">
        <f>AJ25*AJ16</f>
        <v>614608.694541846</v>
      </c>
      <c r="AK5" s="205">
        <f>AK25*AK16</f>
        <v>639763.042387364</v>
      </c>
      <c r="AL5" s="205">
        <f>AL25*AL16</f>
        <v>668257.189145585</v>
      </c>
      <c r="AM5" s="205">
        <f>AM25*AM16</f>
        <v>694362.688335537</v>
      </c>
      <c r="AN5" s="205">
        <f>AN25*AN16</f>
        <v>720011.341289665</v>
      </c>
      <c r="AO5" s="205">
        <f>AO25*AO16</f>
        <v>748991.142817096</v>
      </c>
      <c r="AP5" s="205">
        <f>AP25*AP16</f>
        <v>775573.797817797</v>
      </c>
      <c r="AQ5" s="205">
        <f>AQ25*AQ16</f>
        <v>801691.256355986</v>
      </c>
      <c r="AR5" s="205">
        <f>AR25*AR16</f>
        <v>829241.659369756</v>
      </c>
      <c r="AS5" s="205">
        <f>AS25*AS16</f>
        <v>856309.930330785</v>
      </c>
      <c r="AT5" s="205">
        <f>AT25*AT16</f>
        <v>882904.506549996</v>
      </c>
      <c r="AU5" s="205">
        <f>AU25*AU16</f>
        <v>910923.677685372</v>
      </c>
      <c r="AV5" s="205">
        <f>AV25*AV16</f>
        <v>938452.513325878</v>
      </c>
      <c r="AW5" s="205">
        <f>AW25*AW16</f>
        <v>965499.594342675</v>
      </c>
      <c r="AX5" s="205">
        <f>AX25*AX16</f>
        <v>993963.351441678</v>
      </c>
      <c r="AY5" s="205">
        <f>AY25*AY16</f>
        <v>1020038.99279145</v>
      </c>
      <c r="AZ5" s="205">
        <f>AZ25*AZ16</f>
        <v>1047548.3104176</v>
      </c>
      <c r="BA5" s="205">
        <f>BA25*BA16</f>
        <v>1074576.21498529</v>
      </c>
      <c r="BB5" s="205">
        <f>BB25*BB16</f>
        <v>1113267.57176051</v>
      </c>
      <c r="BC5" s="205">
        <f>BC25*BC16</f>
        <v>1149488.5581841</v>
      </c>
      <c r="BD5" s="205">
        <f>BD25*BD16</f>
        <v>1187056.22981134</v>
      </c>
      <c r="BE5" s="205">
        <f>BE25*BE16</f>
        <v>1224060.38636417</v>
      </c>
      <c r="BF5" s="205">
        <f>BF25*BF16</f>
        <v>1260509.48056871</v>
      </c>
      <c r="BG5" s="205">
        <f>BG25*BG16</f>
        <v>1300191.83836018</v>
      </c>
      <c r="BH5" s="205">
        <f>BH25*BH16</f>
        <v>1337388.96078478</v>
      </c>
      <c r="BI5" s="205">
        <f>BI25*BI16</f>
        <v>1374028.126373</v>
      </c>
      <c r="BJ5" s="205">
        <f>BJ25*BJ16</f>
        <v>1412007.70447741</v>
      </c>
      <c r="BK5" s="205">
        <f>BK25*BK16</f>
        <v>1449417.58891025</v>
      </c>
      <c r="BL5" s="205">
        <f>BL25*BL16</f>
        <v>1486266.32507659</v>
      </c>
      <c r="BM5" s="205">
        <f>BM25*BM16</f>
        <v>1524452.33020045</v>
      </c>
      <c r="BN5" s="207">
        <f>SUM(F5:Q5)</f>
        <v>985656.826436277</v>
      </c>
      <c r="BO5" s="208">
        <f>SUM(R5:AC5)</f>
        <v>3775833.99353002</v>
      </c>
      <c r="BP5" s="208">
        <f>SUM(AD5:AO5)</f>
        <v>7217401.37179131</v>
      </c>
      <c r="BQ5" s="208">
        <f>SUM(AP5:BA5)</f>
        <v>11096723.8054143</v>
      </c>
      <c r="BR5" s="208">
        <f>SUM(BB5:BM5)</f>
        <v>15818135.1008715</v>
      </c>
    </row>
    <row r="6">
      <c r="C6" s="129" t="inlineStr">
        <is>
          <t>顧問先</t>
        </is>
      </c>
      <c r="D6" s="129" t="n"/>
      <c r="E6" s="129" t="n"/>
      <c r="F6" s="129">
        <f>35*F18</f>
        <v>0.0</v>
      </c>
      <c r="G6" s="129">
        <f>35*G18</f>
        <v>70.0</v>
      </c>
      <c r="H6" s="129">
        <f>35*H18</f>
        <v>385.0</v>
      </c>
      <c r="I6" s="129">
        <f>35*I18</f>
        <v>700.0</v>
      </c>
      <c r="J6" s="129">
        <f>35*J18</f>
        <v>980.0</v>
      </c>
      <c r="K6" s="129">
        <f>35*K18</f>
        <v>1330.0</v>
      </c>
      <c r="L6" s="129">
        <f>35*L18</f>
        <v>1680.0</v>
      </c>
      <c r="M6" s="129">
        <f>35*M18</f>
        <v>2030.0</v>
      </c>
      <c r="N6" s="129">
        <f>35*N18</f>
        <v>2450.0</v>
      </c>
      <c r="O6" s="129">
        <f>35*O18</f>
        <v>2835.0</v>
      </c>
      <c r="P6" s="129">
        <f>35*P18</f>
        <v>3220.0</v>
      </c>
      <c r="Q6" s="129">
        <f>35*Q18</f>
        <v>3675.0</v>
      </c>
      <c r="R6" s="130">
        <f>35*R18</f>
        <v>4095.0</v>
      </c>
      <c r="S6" s="129">
        <f>35*S18</f>
        <v>4515.0</v>
      </c>
      <c r="T6" s="129">
        <f>35*T18</f>
        <v>5005.0</v>
      </c>
      <c r="U6" s="129">
        <f>35*U18</f>
        <v>5460.0</v>
      </c>
      <c r="V6" s="129">
        <f>35*V18</f>
        <v>5915.0</v>
      </c>
      <c r="W6" s="129">
        <f>35*W18</f>
        <v>6440.0</v>
      </c>
      <c r="X6" s="129">
        <f>35*X18</f>
        <v>6930.0</v>
      </c>
      <c r="Y6" s="129">
        <f>35*Y18</f>
        <v>7420.0</v>
      </c>
      <c r="Z6" s="129">
        <f>35*Z18</f>
        <v>7980.0</v>
      </c>
      <c r="AA6" s="129">
        <f>35*AA18</f>
        <v>8505.0</v>
      </c>
      <c r="AB6" s="129">
        <f>35*AB18</f>
        <v>9030.0</v>
      </c>
      <c r="AC6" s="129">
        <f>35*AC18</f>
        <v>9590.0</v>
      </c>
      <c r="AD6" s="129">
        <f>35*AD18</f>
        <v>10220.0</v>
      </c>
      <c r="AE6" s="129">
        <f>35*AE18</f>
        <v>10815.0</v>
      </c>
      <c r="AF6" s="129">
        <f>35*AF18</f>
        <v>11480.0</v>
      </c>
      <c r="AG6" s="129">
        <f>35*AG18</f>
        <v>12110.0</v>
      </c>
      <c r="AH6" s="129">
        <f>35*AH18</f>
        <v>12775.0</v>
      </c>
      <c r="AI6" s="129">
        <f>35*AI18</f>
        <v>13440.0</v>
      </c>
      <c r="AJ6" s="129">
        <f>35*AJ18</f>
        <v>14140.0</v>
      </c>
      <c r="AK6" s="129">
        <f>35*AK18</f>
        <v>14805.0</v>
      </c>
      <c r="AL6" s="129">
        <f>35*AL18</f>
        <v>15540.0</v>
      </c>
      <c r="AM6" s="129">
        <f>35*AM18</f>
        <v>16240.0</v>
      </c>
      <c r="AN6" s="129">
        <f>35*AN18</f>
        <v>16940.0</v>
      </c>
      <c r="AO6" s="129">
        <f>35*AO18</f>
        <v>17710.0</v>
      </c>
      <c r="AP6" s="129">
        <f>35*AP18</f>
        <v>18445.0</v>
      </c>
      <c r="AQ6" s="129">
        <f>35*AQ18</f>
        <v>19180.0</v>
      </c>
      <c r="AR6" s="129">
        <f>35*AR18</f>
        <v>19950.0</v>
      </c>
      <c r="AS6" s="129">
        <f>35*AS18</f>
        <v>20720.0</v>
      </c>
      <c r="AT6" s="129">
        <f>35*AT18</f>
        <v>21490.0</v>
      </c>
      <c r="AU6" s="129">
        <f>35*AU18</f>
        <v>22295.0</v>
      </c>
      <c r="AV6" s="129">
        <f>35*AV18</f>
        <v>23100.0</v>
      </c>
      <c r="AW6" s="129">
        <f>35*AW18</f>
        <v>23905.0</v>
      </c>
      <c r="AX6" s="129">
        <f>35*AX18</f>
        <v>24745.0</v>
      </c>
      <c r="AY6" s="129">
        <f>35*AY18</f>
        <v>25550.0</v>
      </c>
      <c r="AZ6" s="129">
        <f>35*AZ18</f>
        <v>26390.0</v>
      </c>
      <c r="BA6" s="129">
        <f>35*BA18</f>
        <v>27230.0</v>
      </c>
      <c r="BB6" s="129">
        <f>35*BB18</f>
        <v>28245.0</v>
      </c>
      <c r="BC6" s="129">
        <f>35*BC18</f>
        <v>29225.0</v>
      </c>
      <c r="BD6" s="129">
        <f>35*BD18</f>
        <v>30240.0</v>
      </c>
      <c r="BE6" s="129">
        <f>35*BE18</f>
        <v>31255.0</v>
      </c>
      <c r="BF6" s="129">
        <f>35*BF18</f>
        <v>32270.0</v>
      </c>
      <c r="BG6" s="129">
        <f>35*BG18</f>
        <v>33355.0</v>
      </c>
      <c r="BH6" s="129">
        <f>35*BH18</f>
        <v>34405.0</v>
      </c>
      <c r="BI6" s="129">
        <f>35*BI18</f>
        <v>35455.0</v>
      </c>
      <c r="BJ6" s="129">
        <f>35*BJ18</f>
        <v>36540.0</v>
      </c>
      <c r="BK6" s="129">
        <f>35*BK18</f>
        <v>37625.0</v>
      </c>
      <c r="BL6" s="129">
        <f>35*BL18</f>
        <v>38710.0</v>
      </c>
      <c r="BM6" s="129">
        <f>35*BM18</f>
        <v>39830.0</v>
      </c>
      <c r="BN6" s="131">
        <f>35*BN18</f>
        <v>3675.0</v>
      </c>
      <c r="BO6" s="132">
        <f>35*BO18</f>
        <v>9590.0</v>
      </c>
      <c r="BP6" s="132">
        <f>35*BP18</f>
        <v>17710.0</v>
      </c>
      <c r="BQ6" s="132">
        <f>35*BQ18</f>
        <v>27230.0</v>
      </c>
      <c r="BR6" s="132">
        <f>35*BR18</f>
        <v>39830.0</v>
      </c>
    </row>
    <row r="7">
      <c r="C7" s="120" t="inlineStr">
        <is>
          <t>掛売り中心・売掛金2ヶ月超割合</t>
        </is>
      </c>
      <c r="D7" s="120" t="inlineStr">
        <is>
          <t>検出＝売掛金÷月商＞2ヶ月（決算書から自動）。推定</t>
        </is>
      </c>
      <c r="E7" s="120" t="n"/>
      <c r="F7" s="120" t="n">
        <v>0.5</v>
      </c>
      <c r="G7" s="120" t="n">
        <v>0.5</v>
      </c>
      <c r="H7" s="120" t="n">
        <v>0.5</v>
      </c>
      <c r="I7" s="120" t="n">
        <v>0.5</v>
      </c>
      <c r="J7" s="120" t="n">
        <v>0.5</v>
      </c>
      <c r="K7" s="120" t="n">
        <v>0.5</v>
      </c>
      <c r="L7" s="120" t="n">
        <v>0.5</v>
      </c>
      <c r="M7" s="120" t="n">
        <v>0.5</v>
      </c>
      <c r="N7" s="120" t="n">
        <v>0.5</v>
      </c>
      <c r="O7" s="120" t="n">
        <v>0.5</v>
      </c>
      <c r="P7" s="120" t="n">
        <v>0.5</v>
      </c>
      <c r="Q7" s="120" t="n">
        <v>0.5</v>
      </c>
      <c r="R7" s="133" t="n">
        <v>0.5</v>
      </c>
      <c r="S7" s="120" t="n">
        <v>0.5</v>
      </c>
      <c r="T7" s="120" t="n">
        <v>0.5</v>
      </c>
      <c r="U7" s="120" t="n">
        <v>0.5</v>
      </c>
      <c r="V7" s="120" t="n">
        <v>0.5</v>
      </c>
      <c r="W7" s="120" t="n">
        <v>0.5</v>
      </c>
      <c r="X7" s="120" t="n">
        <v>0.5</v>
      </c>
      <c r="Y7" s="120" t="n">
        <v>0.5</v>
      </c>
      <c r="Z7" s="120" t="n">
        <v>0.5</v>
      </c>
      <c r="AA7" s="120" t="n">
        <v>0.5</v>
      </c>
      <c r="AB7" s="120" t="n">
        <v>0.5</v>
      </c>
      <c r="AC7" s="120" t="n">
        <v>0.5</v>
      </c>
      <c r="AD7" s="120" t="n">
        <v>0.5</v>
      </c>
      <c r="AE7" s="120" t="n">
        <v>0.5</v>
      </c>
      <c r="AF7" s="120" t="n">
        <v>0.5</v>
      </c>
      <c r="AG7" s="120" t="n">
        <v>0.5</v>
      </c>
      <c r="AH7" s="120" t="n">
        <v>0.5</v>
      </c>
      <c r="AI7" s="120" t="n">
        <v>0.5</v>
      </c>
      <c r="AJ7" s="120" t="n">
        <v>0.5</v>
      </c>
      <c r="AK7" s="120" t="n">
        <v>0.5</v>
      </c>
      <c r="AL7" s="120" t="n">
        <v>0.5</v>
      </c>
      <c r="AM7" s="120" t="n">
        <v>0.5</v>
      </c>
      <c r="AN7" s="120" t="n">
        <v>0.5</v>
      </c>
      <c r="AO7" s="120" t="n">
        <v>0.5</v>
      </c>
      <c r="AP7" s="120" t="n">
        <v>0.5</v>
      </c>
      <c r="AQ7" s="120" t="n">
        <v>0.5</v>
      </c>
      <c r="AR7" s="120" t="n">
        <v>0.5</v>
      </c>
      <c r="AS7" s="120" t="n">
        <v>0.5</v>
      </c>
      <c r="AT7" s="120" t="n">
        <v>0.5</v>
      </c>
      <c r="AU7" s="120" t="n">
        <v>0.5</v>
      </c>
      <c r="AV7" s="120" t="n">
        <v>0.5</v>
      </c>
      <c r="AW7" s="120" t="n">
        <v>0.5</v>
      </c>
      <c r="AX7" s="120" t="n">
        <v>0.5</v>
      </c>
      <c r="AY7" s="120" t="n">
        <v>0.5</v>
      </c>
      <c r="AZ7" s="120" t="n">
        <v>0.5</v>
      </c>
      <c r="BA7" s="120" t="n">
        <v>0.5</v>
      </c>
      <c r="BB7" s="120" t="n">
        <v>0.5</v>
      </c>
      <c r="BC7" s="120" t="n">
        <v>0.5</v>
      </c>
      <c r="BD7" s="120" t="n">
        <v>0.5</v>
      </c>
      <c r="BE7" s="120" t="n">
        <v>0.5</v>
      </c>
      <c r="BF7" s="120" t="n">
        <v>0.5</v>
      </c>
      <c r="BG7" s="120" t="n">
        <v>0.5</v>
      </c>
      <c r="BH7" s="120" t="n">
        <v>0.5</v>
      </c>
      <c r="BI7" s="120" t="n">
        <v>0.5</v>
      </c>
      <c r="BJ7" s="120" t="n">
        <v>0.5</v>
      </c>
      <c r="BK7" s="120" t="n">
        <v>0.5</v>
      </c>
      <c r="BL7" s="120" t="n">
        <v>0.5</v>
      </c>
      <c r="BM7" s="120" t="n">
        <v>0.5</v>
      </c>
      <c r="BN7" s="131" t="n">
        <v>0.5</v>
      </c>
      <c r="BO7" s="120" t="n">
        <v>0.5</v>
      </c>
      <c r="BP7" s="120" t="n">
        <v>0.5</v>
      </c>
      <c r="BQ7" s="120" t="n">
        <v>0.5</v>
      </c>
      <c r="BR7" s="120" t="n">
        <v>0.5</v>
      </c>
    </row>
    <row r="8">
      <c r="C8" s="120" t="inlineStr">
        <is>
          <t>税理士 ➡ 企業提案</t>
        </is>
      </c>
      <c r="D8" s="120" t="inlineStr">
        <is>
          <t>貸倒＝社長の実痛。1社依存の顧問先に刺さる（北村ヒアリング#08）</t>
        </is>
      </c>
      <c r="E8" s="120" t="n"/>
      <c r="F8" s="120" t="n">
        <v>0.4</v>
      </c>
      <c r="G8" s="120" t="n">
        <v>0.4</v>
      </c>
      <c r="H8" s="120" t="n">
        <v>0.4</v>
      </c>
      <c r="I8" s="120" t="n">
        <v>0.4</v>
      </c>
      <c r="J8" s="120" t="n">
        <v>0.4</v>
      </c>
      <c r="K8" s="120" t="n">
        <v>0.4</v>
      </c>
      <c r="L8" s="120" t="n">
        <v>0.4</v>
      </c>
      <c r="M8" s="120" t="n">
        <v>0.4</v>
      </c>
      <c r="N8" s="120" t="n">
        <v>0.4</v>
      </c>
      <c r="O8" s="120" t="n">
        <v>0.4</v>
      </c>
      <c r="P8" s="120" t="n">
        <v>0.4</v>
      </c>
      <c r="Q8" s="120" t="n">
        <v>0.4</v>
      </c>
      <c r="R8" s="133" t="n">
        <v>0.4</v>
      </c>
      <c r="S8" s="120" t="n">
        <v>0.4</v>
      </c>
      <c r="T8" s="120" t="n">
        <v>0.4</v>
      </c>
      <c r="U8" s="120" t="n">
        <v>0.4</v>
      </c>
      <c r="V8" s="120" t="n">
        <v>0.4</v>
      </c>
      <c r="W8" s="120" t="n">
        <v>0.4</v>
      </c>
      <c r="X8" s="120" t="n">
        <v>0.4</v>
      </c>
      <c r="Y8" s="120" t="n">
        <v>0.4</v>
      </c>
      <c r="Z8" s="120" t="n">
        <v>0.4</v>
      </c>
      <c r="AA8" s="120" t="n">
        <v>0.4</v>
      </c>
      <c r="AB8" s="120" t="n">
        <v>0.4</v>
      </c>
      <c r="AC8" s="120" t="n">
        <v>0.4</v>
      </c>
      <c r="AD8" s="120" t="n">
        <v>0.4</v>
      </c>
      <c r="AE8" s="120" t="n">
        <v>0.4</v>
      </c>
      <c r="AF8" s="120" t="n">
        <v>0.4</v>
      </c>
      <c r="AG8" s="120" t="n">
        <v>0.4</v>
      </c>
      <c r="AH8" s="120" t="n">
        <v>0.4</v>
      </c>
      <c r="AI8" s="120" t="n">
        <v>0.4</v>
      </c>
      <c r="AJ8" s="120" t="n">
        <v>0.4</v>
      </c>
      <c r="AK8" s="120" t="n">
        <v>0.4</v>
      </c>
      <c r="AL8" s="120" t="n">
        <v>0.4</v>
      </c>
      <c r="AM8" s="120" t="n">
        <v>0.4</v>
      </c>
      <c r="AN8" s="120" t="n">
        <v>0.4</v>
      </c>
      <c r="AO8" s="120" t="n">
        <v>0.4</v>
      </c>
      <c r="AP8" s="120" t="n">
        <v>0.4</v>
      </c>
      <c r="AQ8" s="120" t="n">
        <v>0.4</v>
      </c>
      <c r="AR8" s="120" t="n">
        <v>0.4</v>
      </c>
      <c r="AS8" s="120" t="n">
        <v>0.4</v>
      </c>
      <c r="AT8" s="120" t="n">
        <v>0.4</v>
      </c>
      <c r="AU8" s="120" t="n">
        <v>0.4</v>
      </c>
      <c r="AV8" s="120" t="n">
        <v>0.4</v>
      </c>
      <c r="AW8" s="120" t="n">
        <v>0.4</v>
      </c>
      <c r="AX8" s="120" t="n">
        <v>0.4</v>
      </c>
      <c r="AY8" s="120" t="n">
        <v>0.4</v>
      </c>
      <c r="AZ8" s="120" t="n">
        <v>0.4</v>
      </c>
      <c r="BA8" s="120" t="n">
        <v>0.4</v>
      </c>
      <c r="BB8" s="120" t="n">
        <v>0.4</v>
      </c>
      <c r="BC8" s="120" t="n">
        <v>0.4</v>
      </c>
      <c r="BD8" s="120" t="n">
        <v>0.4</v>
      </c>
      <c r="BE8" s="120" t="n">
        <v>0.4</v>
      </c>
      <c r="BF8" s="120" t="n">
        <v>0.4</v>
      </c>
      <c r="BG8" s="120" t="n">
        <v>0.4</v>
      </c>
      <c r="BH8" s="120" t="n">
        <v>0.4</v>
      </c>
      <c r="BI8" s="120" t="n">
        <v>0.4</v>
      </c>
      <c r="BJ8" s="120" t="n">
        <v>0.4</v>
      </c>
      <c r="BK8" s="120" t="n">
        <v>0.4</v>
      </c>
      <c r="BL8" s="120" t="n">
        <v>0.4</v>
      </c>
      <c r="BM8" s="120" t="n">
        <v>0.4</v>
      </c>
      <c r="BN8" s="131" t="n">
        <v>0.4</v>
      </c>
      <c r="BO8" s="120" t="n">
        <v>0.4</v>
      </c>
      <c r="BP8" s="120" t="n">
        <v>0.4</v>
      </c>
      <c r="BQ8" s="120" t="n">
        <v>0.4</v>
      </c>
      <c r="BR8" s="120" t="n">
        <v>0.4</v>
      </c>
    </row>
    <row r="9">
      <c r="C9" s="129" t="inlineStr">
        <is>
          <t>受注率</t>
        </is>
      </c>
      <c r="D9" s="129" t="inlineStr">
        <is>
          <t>保証料コストが発生するため保守。推定</t>
        </is>
      </c>
      <c r="E9" s="129" t="n"/>
      <c r="F9" s="129" t="n">
        <v>0.3</v>
      </c>
      <c r="G9" s="129" t="n">
        <v>0.3</v>
      </c>
      <c r="H9" s="129" t="n">
        <v>0.3</v>
      </c>
      <c r="I9" s="129" t="n">
        <v>0.3</v>
      </c>
      <c r="J9" s="129" t="n">
        <v>0.3</v>
      </c>
      <c r="K9" s="129" t="n">
        <v>0.3</v>
      </c>
      <c r="L9" s="129" t="n">
        <v>0.3</v>
      </c>
      <c r="M9" s="129" t="n">
        <v>0.3</v>
      </c>
      <c r="N9" s="129" t="n">
        <v>0.3</v>
      </c>
      <c r="O9" s="129" t="n">
        <v>0.3</v>
      </c>
      <c r="P9" s="129" t="n">
        <v>0.3</v>
      </c>
      <c r="Q9" s="129" t="n">
        <v>0.3</v>
      </c>
      <c r="R9" s="130" t="n">
        <v>0.3</v>
      </c>
      <c r="S9" s="129" t="n">
        <v>0.3</v>
      </c>
      <c r="T9" s="129" t="n">
        <v>0.3</v>
      </c>
      <c r="U9" s="129" t="n">
        <v>0.3</v>
      </c>
      <c r="V9" s="129" t="n">
        <v>0.3</v>
      </c>
      <c r="W9" s="129" t="n">
        <v>0.3</v>
      </c>
      <c r="X9" s="129" t="n">
        <v>0.3</v>
      </c>
      <c r="Y9" s="129" t="n">
        <v>0.3</v>
      </c>
      <c r="Z9" s="129" t="n">
        <v>0.3</v>
      </c>
      <c r="AA9" s="129" t="n">
        <v>0.3</v>
      </c>
      <c r="AB9" s="129" t="n">
        <v>0.3</v>
      </c>
      <c r="AC9" s="129" t="n">
        <v>0.3</v>
      </c>
      <c r="AD9" s="129" t="n">
        <v>0.3</v>
      </c>
      <c r="AE9" s="129" t="n">
        <v>0.3</v>
      </c>
      <c r="AF9" s="129" t="n">
        <v>0.3</v>
      </c>
      <c r="AG9" s="129" t="n">
        <v>0.3</v>
      </c>
      <c r="AH9" s="129" t="n">
        <v>0.3</v>
      </c>
      <c r="AI9" s="129" t="n">
        <v>0.3</v>
      </c>
      <c r="AJ9" s="129" t="n">
        <v>0.3</v>
      </c>
      <c r="AK9" s="129" t="n">
        <v>0.3</v>
      </c>
      <c r="AL9" s="129" t="n">
        <v>0.3</v>
      </c>
      <c r="AM9" s="129" t="n">
        <v>0.3</v>
      </c>
      <c r="AN9" s="129" t="n">
        <v>0.3</v>
      </c>
      <c r="AO9" s="129" t="n">
        <v>0.3</v>
      </c>
      <c r="AP9" s="129" t="n">
        <v>0.3</v>
      </c>
      <c r="AQ9" s="129" t="n">
        <v>0.3</v>
      </c>
      <c r="AR9" s="129" t="n">
        <v>0.3</v>
      </c>
      <c r="AS9" s="129" t="n">
        <v>0.3</v>
      </c>
      <c r="AT9" s="129" t="n">
        <v>0.3</v>
      </c>
      <c r="AU9" s="129" t="n">
        <v>0.3</v>
      </c>
      <c r="AV9" s="129" t="n">
        <v>0.3</v>
      </c>
      <c r="AW9" s="129" t="n">
        <v>0.3</v>
      </c>
      <c r="AX9" s="129" t="n">
        <v>0.3</v>
      </c>
      <c r="AY9" s="129" t="n">
        <v>0.3</v>
      </c>
      <c r="AZ9" s="129" t="n">
        <v>0.3</v>
      </c>
      <c r="BA9" s="129" t="n">
        <v>0.3</v>
      </c>
      <c r="BB9" s="129" t="n">
        <v>0.3</v>
      </c>
      <c r="BC9" s="129" t="n">
        <v>0.3</v>
      </c>
      <c r="BD9" s="129" t="n">
        <v>0.3</v>
      </c>
      <c r="BE9" s="129" t="n">
        <v>0.3</v>
      </c>
      <c r="BF9" s="129" t="n">
        <v>0.3</v>
      </c>
      <c r="BG9" s="129" t="n">
        <v>0.3</v>
      </c>
      <c r="BH9" s="129" t="n">
        <v>0.3</v>
      </c>
      <c r="BI9" s="129" t="n">
        <v>0.3</v>
      </c>
      <c r="BJ9" s="129" t="n">
        <v>0.3</v>
      </c>
      <c r="BK9" s="129" t="n">
        <v>0.3</v>
      </c>
      <c r="BL9" s="129" t="n">
        <v>0.3</v>
      </c>
      <c r="BM9" s="129" t="n">
        <v>0.3</v>
      </c>
      <c r="BN9" s="131" t="n">
        <v>0.3</v>
      </c>
      <c r="BO9" s="132" t="n">
        <v>0.3</v>
      </c>
      <c r="BP9" s="132" t="n">
        <v>0.3</v>
      </c>
      <c r="BQ9" s="132" t="n">
        <v>0.3</v>
      </c>
      <c r="BR9" s="132" t="n">
        <v>0.3</v>
      </c>
    </row>
    <row r="10">
      <c r="C10" s="120" t="inlineStr">
        <is>
          <t>定常浸透率</t>
        </is>
      </c>
      <c r="D10" s="120" t="inlineStr">
        <is>
          <t>保証は見直し・解約あり。推定</t>
        </is>
      </c>
      <c r="E10" s="120" t="n"/>
      <c r="F10" s="120" t="n">
        <v>0.6</v>
      </c>
      <c r="G10" s="120" t="n">
        <v>0.6</v>
      </c>
      <c r="H10" s="120" t="n">
        <v>0.6</v>
      </c>
      <c r="I10" s="120" t="n">
        <v>0.6</v>
      </c>
      <c r="J10" s="120" t="n">
        <v>0.6</v>
      </c>
      <c r="K10" s="120" t="n">
        <v>0.6</v>
      </c>
      <c r="L10" s="120" t="n">
        <v>0.6</v>
      </c>
      <c r="M10" s="120" t="n">
        <v>0.6</v>
      </c>
      <c r="N10" s="120" t="n">
        <v>0.6</v>
      </c>
      <c r="O10" s="120" t="n">
        <v>0.6</v>
      </c>
      <c r="P10" s="120" t="n">
        <v>0.6</v>
      </c>
      <c r="Q10" s="120" t="n">
        <v>0.6</v>
      </c>
      <c r="R10" s="133" t="n">
        <v>0.6</v>
      </c>
      <c r="S10" s="120" t="n">
        <v>0.6</v>
      </c>
      <c r="T10" s="120" t="n">
        <v>0.6</v>
      </c>
      <c r="U10" s="120" t="n">
        <v>0.6</v>
      </c>
      <c r="V10" s="120" t="n">
        <v>0.6</v>
      </c>
      <c r="W10" s="120" t="n">
        <v>0.6</v>
      </c>
      <c r="X10" s="120" t="n">
        <v>0.6</v>
      </c>
      <c r="Y10" s="120" t="n">
        <v>0.6</v>
      </c>
      <c r="Z10" s="120" t="n">
        <v>0.6</v>
      </c>
      <c r="AA10" s="120" t="n">
        <v>0.6</v>
      </c>
      <c r="AB10" s="120" t="n">
        <v>0.6</v>
      </c>
      <c r="AC10" s="120" t="n">
        <v>0.6</v>
      </c>
      <c r="AD10" s="120" t="n">
        <v>0.6</v>
      </c>
      <c r="AE10" s="120" t="n">
        <v>0.6</v>
      </c>
      <c r="AF10" s="120" t="n">
        <v>0.6</v>
      </c>
      <c r="AG10" s="120" t="n">
        <v>0.6</v>
      </c>
      <c r="AH10" s="120" t="n">
        <v>0.6</v>
      </c>
      <c r="AI10" s="120" t="n">
        <v>0.6</v>
      </c>
      <c r="AJ10" s="120" t="n">
        <v>0.6</v>
      </c>
      <c r="AK10" s="120" t="n">
        <v>0.6</v>
      </c>
      <c r="AL10" s="120" t="n">
        <v>0.6</v>
      </c>
      <c r="AM10" s="120" t="n">
        <v>0.6</v>
      </c>
      <c r="AN10" s="120" t="n">
        <v>0.6</v>
      </c>
      <c r="AO10" s="120" t="n">
        <v>0.6</v>
      </c>
      <c r="AP10" s="120" t="n">
        <v>0.6</v>
      </c>
      <c r="AQ10" s="120" t="n">
        <v>0.6</v>
      </c>
      <c r="AR10" s="120" t="n">
        <v>0.6</v>
      </c>
      <c r="AS10" s="120" t="n">
        <v>0.6</v>
      </c>
      <c r="AT10" s="120" t="n">
        <v>0.6</v>
      </c>
      <c r="AU10" s="120" t="n">
        <v>0.6</v>
      </c>
      <c r="AV10" s="120" t="n">
        <v>0.6</v>
      </c>
      <c r="AW10" s="120" t="n">
        <v>0.6</v>
      </c>
      <c r="AX10" s="120" t="n">
        <v>0.6</v>
      </c>
      <c r="AY10" s="120" t="n">
        <v>0.6</v>
      </c>
      <c r="AZ10" s="120" t="n">
        <v>0.6</v>
      </c>
      <c r="BA10" s="120" t="n">
        <v>0.6</v>
      </c>
      <c r="BB10" s="120" t="n">
        <v>0.6</v>
      </c>
      <c r="BC10" s="120" t="n">
        <v>0.6</v>
      </c>
      <c r="BD10" s="120" t="n">
        <v>0.6</v>
      </c>
      <c r="BE10" s="120" t="n">
        <v>0.6</v>
      </c>
      <c r="BF10" s="120" t="n">
        <v>0.6</v>
      </c>
      <c r="BG10" s="120" t="n">
        <v>0.6</v>
      </c>
      <c r="BH10" s="120" t="n">
        <v>0.6</v>
      </c>
      <c r="BI10" s="120" t="n">
        <v>0.6</v>
      </c>
      <c r="BJ10" s="120" t="n">
        <v>0.6</v>
      </c>
      <c r="BK10" s="120" t="n">
        <v>0.6</v>
      </c>
      <c r="BL10" s="120" t="n">
        <v>0.6</v>
      </c>
      <c r="BM10" s="120" t="n">
        <v>0.6</v>
      </c>
      <c r="BN10" s="131" t="n">
        <v>0.6</v>
      </c>
      <c r="BO10" s="120" t="n">
        <v>0.6</v>
      </c>
      <c r="BP10" s="120" t="n">
        <v>0.6</v>
      </c>
      <c r="BQ10" s="120" t="n">
        <v>0.6</v>
      </c>
      <c r="BR10" s="120" t="n">
        <v>0.6</v>
      </c>
    </row>
    <row r="11" s="159">
      <c r="C11" s="120" t="inlineStr">
        <is>
          <t>１税理士 / 受注数（定常）（累計獲得数・解約前）</t>
        </is>
      </c>
      <c r="D11" s="120" t="n"/>
      <c r="E11" s="120" t="n"/>
      <c r="F11" s="120">
        <f>PRODUCT(F6:F10)</f>
        <v>0.0</v>
      </c>
      <c r="G11" s="120">
        <f>PRODUCT(G6:G10)</f>
        <v>2.52</v>
      </c>
      <c r="H11" s="120">
        <f>PRODUCT(H6:H10)</f>
        <v>13.86</v>
      </c>
      <c r="I11" s="120">
        <f>PRODUCT(I6:I10)</f>
        <v>25.2</v>
      </c>
      <c r="J11" s="120">
        <f>PRODUCT(J6:J10)</f>
        <v>35.28</v>
      </c>
      <c r="K11" s="120">
        <f>PRODUCT(K6:K10)</f>
        <v>47.88</v>
      </c>
      <c r="L11" s="120">
        <f>PRODUCT(L6:L10)</f>
        <v>60.48</v>
      </c>
      <c r="M11" s="120">
        <f>PRODUCT(M6:M10)</f>
        <v>73.08</v>
      </c>
      <c r="N11" s="120">
        <f>PRODUCT(N6:N10)</f>
        <v>88.2</v>
      </c>
      <c r="O11" s="120">
        <f>PRODUCT(O6:O10)</f>
        <v>102.06</v>
      </c>
      <c r="P11" s="120">
        <f>PRODUCT(P6:P10)</f>
        <v>115.92</v>
      </c>
      <c r="Q11" s="120">
        <f>PRODUCT(Q6:Q10)</f>
        <v>132.3</v>
      </c>
      <c r="R11" s="133">
        <f>PRODUCT(R6:R10)</f>
        <v>147.42</v>
      </c>
      <c r="S11" s="120">
        <f>PRODUCT(S6:S10)</f>
        <v>162.54</v>
      </c>
      <c r="T11" s="120">
        <f>PRODUCT(T6:T10)</f>
        <v>180.18</v>
      </c>
      <c r="U11" s="120">
        <f>PRODUCT(U6:U10)</f>
        <v>196.56</v>
      </c>
      <c r="V11" s="120">
        <f>PRODUCT(V6:V10)</f>
        <v>212.94</v>
      </c>
      <c r="W11" s="120">
        <f>PRODUCT(W6:W10)</f>
        <v>231.84</v>
      </c>
      <c r="X11" s="120">
        <f>PRODUCT(X6:X10)</f>
        <v>249.48</v>
      </c>
      <c r="Y11" s="120">
        <f>PRODUCT(Y6:Y10)</f>
        <v>267.12</v>
      </c>
      <c r="Z11" s="120">
        <f>PRODUCT(Z6:Z10)</f>
        <v>287.28</v>
      </c>
      <c r="AA11" s="120">
        <f>PRODUCT(AA6:AA10)</f>
        <v>306.18</v>
      </c>
      <c r="AB11" s="120">
        <f>PRODUCT(AB6:AB10)</f>
        <v>325.08</v>
      </c>
      <c r="AC11" s="120">
        <f>PRODUCT(AC6:AC10)</f>
        <v>345.24</v>
      </c>
      <c r="AD11" s="120">
        <f>PRODUCT(AD6:AD10)</f>
        <v>367.92</v>
      </c>
      <c r="AE11" s="120">
        <f>PRODUCT(AE6:AE10)</f>
        <v>389.34</v>
      </c>
      <c r="AF11" s="120">
        <f>PRODUCT(AF6:AF10)</f>
        <v>413.28</v>
      </c>
      <c r="AG11" s="120">
        <f>PRODUCT(AG6:AG10)</f>
        <v>435.96</v>
      </c>
      <c r="AH11" s="120">
        <f>PRODUCT(AH6:AH10)</f>
        <v>459.9</v>
      </c>
      <c r="AI11" s="120">
        <f>PRODUCT(AI6:AI10)</f>
        <v>483.84</v>
      </c>
      <c r="AJ11" s="120">
        <f>PRODUCT(AJ6:AJ10)</f>
        <v>509.04</v>
      </c>
      <c r="AK11" s="120">
        <f>PRODUCT(AK6:AK10)</f>
        <v>532.98</v>
      </c>
      <c r="AL11" s="120">
        <f>PRODUCT(AL6:AL10)</f>
        <v>559.44</v>
      </c>
      <c r="AM11" s="120">
        <f>PRODUCT(AM6:AM10)</f>
        <v>584.64</v>
      </c>
      <c r="AN11" s="120">
        <f>PRODUCT(AN6:AN10)</f>
        <v>609.84</v>
      </c>
      <c r="AO11" s="120">
        <f>PRODUCT(AO6:AO10)</f>
        <v>637.56</v>
      </c>
      <c r="AP11" s="120">
        <f>PRODUCT(AP6:AP10)</f>
        <v>664.02</v>
      </c>
      <c r="AQ11" s="120">
        <f>PRODUCT(AQ6:AQ10)</f>
        <v>690.48</v>
      </c>
      <c r="AR11" s="120">
        <f>PRODUCT(AR6:AR10)</f>
        <v>718.2</v>
      </c>
      <c r="AS11" s="120">
        <f>PRODUCT(AS6:AS10)</f>
        <v>745.92</v>
      </c>
      <c r="AT11" s="120">
        <f>PRODUCT(AT6:AT10)</f>
        <v>773.64</v>
      </c>
      <c r="AU11" s="120">
        <f>PRODUCT(AU6:AU10)</f>
        <v>802.62</v>
      </c>
      <c r="AV11" s="120">
        <f>PRODUCT(AV6:AV10)</f>
        <v>831.6</v>
      </c>
      <c r="AW11" s="120">
        <f>PRODUCT(AW6:AW10)</f>
        <v>860.58</v>
      </c>
      <c r="AX11" s="120">
        <f>PRODUCT(AX6:AX10)</f>
        <v>890.82</v>
      </c>
      <c r="AY11" s="120">
        <f>PRODUCT(AY6:AY10)</f>
        <v>919.8</v>
      </c>
      <c r="AZ11" s="120">
        <f>PRODUCT(AZ6:AZ10)</f>
        <v>950.04</v>
      </c>
      <c r="BA11" s="120">
        <f>PRODUCT(BA6:BA10)</f>
        <v>980.28</v>
      </c>
      <c r="BB11" s="120">
        <f>PRODUCT(BB6:BB10)</f>
        <v>1016.82</v>
      </c>
      <c r="BC11" s="120">
        <f>PRODUCT(BC6:BC10)</f>
        <v>1052.1</v>
      </c>
      <c r="BD11" s="120">
        <f>PRODUCT(BD6:BD10)</f>
        <v>1088.64</v>
      </c>
      <c r="BE11" s="120">
        <f>PRODUCT(BE6:BE10)</f>
        <v>1125.18</v>
      </c>
      <c r="BF11" s="120">
        <f>PRODUCT(BF6:BF10)</f>
        <v>1161.72</v>
      </c>
      <c r="BG11" s="120">
        <f>PRODUCT(BG6:BG10)</f>
        <v>1200.78</v>
      </c>
      <c r="BH11" s="120">
        <f>PRODUCT(BH6:BH10)</f>
        <v>1238.58</v>
      </c>
      <c r="BI11" s="120">
        <f>PRODUCT(BI6:BI10)</f>
        <v>1276.38</v>
      </c>
      <c r="BJ11" s="120">
        <f>PRODUCT(BJ6:BJ10)</f>
        <v>1315.44</v>
      </c>
      <c r="BK11" s="120">
        <f>PRODUCT(BK6:BK10)</f>
        <v>1354.5</v>
      </c>
      <c r="BL11" s="120">
        <f>PRODUCT(BL6:BL10)</f>
        <v>1393.56</v>
      </c>
      <c r="BM11" s="120">
        <f>PRODUCT(BM6:BM10)</f>
        <v>1433.88</v>
      </c>
      <c r="BN11" s="131">
        <f>PRODUCT(BN6:BN10)</f>
        <v>132.3</v>
      </c>
      <c r="BO11" s="120">
        <f>PRODUCT(BO6:BO10)</f>
        <v>345.24</v>
      </c>
      <c r="BP11" s="120">
        <f>PRODUCT(BP6:BP10)</f>
        <v>637.56</v>
      </c>
      <c r="BQ11" s="120">
        <f>PRODUCT(BQ6:BQ10)</f>
        <v>980.28</v>
      </c>
      <c r="BR11" s="120">
        <f>PRODUCT(BR6:BR10)</f>
        <v>1433.88</v>
      </c>
    </row>
    <row r="12">
      <c r="C12" s="120" t="inlineStr">
        <is>
          <t>想定保証料（月/社）</t>
        </is>
      </c>
      <c r="D12" s="120" t="inlineStr">
        <is>
          <t>保証枠×年率1〜3%の相場から。推定</t>
        </is>
      </c>
      <c r="E12" s="120" t="n"/>
      <c r="F12" s="120" t="n">
        <v>30000</v>
      </c>
      <c r="G12" s="120" t="n">
        <v>30000</v>
      </c>
      <c r="H12" s="120" t="n">
        <v>30000</v>
      </c>
      <c r="I12" s="120" t="n">
        <v>30000</v>
      </c>
      <c r="J12" s="120" t="n">
        <v>30000</v>
      </c>
      <c r="K12" s="120" t="n">
        <v>30000</v>
      </c>
      <c r="L12" s="120" t="n">
        <v>30000</v>
      </c>
      <c r="M12" s="120" t="n">
        <v>30000</v>
      </c>
      <c r="N12" s="120" t="n">
        <v>30000</v>
      </c>
      <c r="O12" s="120" t="n">
        <v>30000</v>
      </c>
      <c r="P12" s="120" t="n">
        <v>30000</v>
      </c>
      <c r="Q12" s="120" t="n">
        <v>30000</v>
      </c>
      <c r="R12" s="133" t="n">
        <v>30000</v>
      </c>
      <c r="S12" s="120" t="n">
        <v>30000</v>
      </c>
      <c r="T12" s="120" t="n">
        <v>30000</v>
      </c>
      <c r="U12" s="120" t="n">
        <v>30000</v>
      </c>
      <c r="V12" s="120" t="n">
        <v>30000</v>
      </c>
      <c r="W12" s="120" t="n">
        <v>30000</v>
      </c>
      <c r="X12" s="120" t="n">
        <v>30000</v>
      </c>
      <c r="Y12" s="120" t="n">
        <v>30000</v>
      </c>
      <c r="Z12" s="120" t="n">
        <v>30000</v>
      </c>
      <c r="AA12" s="120" t="n">
        <v>30000</v>
      </c>
      <c r="AB12" s="120" t="n">
        <v>30000</v>
      </c>
      <c r="AC12" s="120" t="n">
        <v>30000</v>
      </c>
      <c r="AD12" s="120" t="n">
        <v>30000</v>
      </c>
      <c r="AE12" s="120" t="n">
        <v>30000</v>
      </c>
      <c r="AF12" s="120" t="n">
        <v>30000</v>
      </c>
      <c r="AG12" s="120" t="n">
        <v>30000</v>
      </c>
      <c r="AH12" s="120" t="n">
        <v>30000</v>
      </c>
      <c r="AI12" s="120" t="n">
        <v>30000</v>
      </c>
      <c r="AJ12" s="120" t="n">
        <v>30000</v>
      </c>
      <c r="AK12" s="120" t="n">
        <v>30000</v>
      </c>
      <c r="AL12" s="120" t="n">
        <v>30000</v>
      </c>
      <c r="AM12" s="120" t="n">
        <v>30000</v>
      </c>
      <c r="AN12" s="120" t="n">
        <v>30000</v>
      </c>
      <c r="AO12" s="120" t="n">
        <v>30000</v>
      </c>
      <c r="AP12" s="120" t="n">
        <v>30000</v>
      </c>
      <c r="AQ12" s="120" t="n">
        <v>30000</v>
      </c>
      <c r="AR12" s="120" t="n">
        <v>30000</v>
      </c>
      <c r="AS12" s="120" t="n">
        <v>30000</v>
      </c>
      <c r="AT12" s="120" t="n">
        <v>30000</v>
      </c>
      <c r="AU12" s="120" t="n">
        <v>30000</v>
      </c>
      <c r="AV12" s="120" t="n">
        <v>30000</v>
      </c>
      <c r="AW12" s="120" t="n">
        <v>30000</v>
      </c>
      <c r="AX12" s="120" t="n">
        <v>30000</v>
      </c>
      <c r="AY12" s="120" t="n">
        <v>30000</v>
      </c>
      <c r="AZ12" s="120" t="n">
        <v>30000</v>
      </c>
      <c r="BA12" s="120" t="n">
        <v>30000</v>
      </c>
      <c r="BB12" s="120" t="n">
        <v>30000</v>
      </c>
      <c r="BC12" s="120" t="n">
        <v>30000</v>
      </c>
      <c r="BD12" s="120" t="n">
        <v>30000</v>
      </c>
      <c r="BE12" s="120" t="n">
        <v>30000</v>
      </c>
      <c r="BF12" s="120" t="n">
        <v>30000</v>
      </c>
      <c r="BG12" s="120" t="n">
        <v>30000</v>
      </c>
      <c r="BH12" s="120" t="n">
        <v>30000</v>
      </c>
      <c r="BI12" s="120" t="n">
        <v>30000</v>
      </c>
      <c r="BJ12" s="120" t="n">
        <v>30000</v>
      </c>
      <c r="BK12" s="120" t="n">
        <v>30000</v>
      </c>
      <c r="BL12" s="120" t="n">
        <v>30000</v>
      </c>
      <c r="BM12" s="120" t="n">
        <v>30000</v>
      </c>
      <c r="BN12" s="131" t="n">
        <v>30000</v>
      </c>
      <c r="BO12" s="120" t="n">
        <v>30000</v>
      </c>
      <c r="BP12" s="120" t="n">
        <v>30000</v>
      </c>
      <c r="BQ12" s="120" t="n">
        <v>30000</v>
      </c>
      <c r="BR12" s="120" t="n">
        <v>30000</v>
      </c>
    </row>
    <row r="13">
      <c r="C13" s="120" t="inlineStr">
        <is>
          <t>代理店手数料率（継続・対保証料）</t>
        </is>
      </c>
      <c r="D13" s="120" t="inlineStr">
        <is>
          <t>非公開＝要交渉。推定</t>
        </is>
      </c>
      <c r="E13" s="120" t="n"/>
      <c r="F13" s="120" t="n">
        <v>0.15</v>
      </c>
      <c r="G13" s="120" t="n">
        <v>0.15</v>
      </c>
      <c r="H13" s="120" t="n">
        <v>0.15</v>
      </c>
      <c r="I13" s="120" t="n">
        <v>0.15</v>
      </c>
      <c r="J13" s="120" t="n">
        <v>0.15</v>
      </c>
      <c r="K13" s="120" t="n">
        <v>0.15</v>
      </c>
      <c r="L13" s="120" t="n">
        <v>0.15</v>
      </c>
      <c r="M13" s="120" t="n">
        <v>0.15</v>
      </c>
      <c r="N13" s="120" t="n">
        <v>0.15</v>
      </c>
      <c r="O13" s="120" t="n">
        <v>0.15</v>
      </c>
      <c r="P13" s="120" t="n">
        <v>0.15</v>
      </c>
      <c r="Q13" s="120" t="n">
        <v>0.15</v>
      </c>
      <c r="R13" s="133" t="n">
        <v>0.15</v>
      </c>
      <c r="S13" s="120" t="n">
        <v>0.15</v>
      </c>
      <c r="T13" s="120" t="n">
        <v>0.15</v>
      </c>
      <c r="U13" s="120" t="n">
        <v>0.15</v>
      </c>
      <c r="V13" s="120" t="n">
        <v>0.15</v>
      </c>
      <c r="W13" s="120" t="n">
        <v>0.15</v>
      </c>
      <c r="X13" s="120" t="n">
        <v>0.15</v>
      </c>
      <c r="Y13" s="120" t="n">
        <v>0.15</v>
      </c>
      <c r="Z13" s="120" t="n">
        <v>0.15</v>
      </c>
      <c r="AA13" s="120" t="n">
        <v>0.15</v>
      </c>
      <c r="AB13" s="120" t="n">
        <v>0.15</v>
      </c>
      <c r="AC13" s="120" t="n">
        <v>0.15</v>
      </c>
      <c r="AD13" s="120" t="n">
        <v>0.15</v>
      </c>
      <c r="AE13" s="120" t="n">
        <v>0.15</v>
      </c>
      <c r="AF13" s="120" t="n">
        <v>0.15</v>
      </c>
      <c r="AG13" s="120" t="n">
        <v>0.15</v>
      </c>
      <c r="AH13" s="120" t="n">
        <v>0.15</v>
      </c>
      <c r="AI13" s="120" t="n">
        <v>0.15</v>
      </c>
      <c r="AJ13" s="120" t="n">
        <v>0.15</v>
      </c>
      <c r="AK13" s="120" t="n">
        <v>0.15</v>
      </c>
      <c r="AL13" s="120" t="n">
        <v>0.15</v>
      </c>
      <c r="AM13" s="120" t="n">
        <v>0.15</v>
      </c>
      <c r="AN13" s="120" t="n">
        <v>0.15</v>
      </c>
      <c r="AO13" s="120" t="n">
        <v>0.15</v>
      </c>
      <c r="AP13" s="120" t="n">
        <v>0.15</v>
      </c>
      <c r="AQ13" s="120" t="n">
        <v>0.15</v>
      </c>
      <c r="AR13" s="120" t="n">
        <v>0.15</v>
      </c>
      <c r="AS13" s="120" t="n">
        <v>0.15</v>
      </c>
      <c r="AT13" s="120" t="n">
        <v>0.15</v>
      </c>
      <c r="AU13" s="120" t="n">
        <v>0.15</v>
      </c>
      <c r="AV13" s="120" t="n">
        <v>0.15</v>
      </c>
      <c r="AW13" s="120" t="n">
        <v>0.15</v>
      </c>
      <c r="AX13" s="120" t="n">
        <v>0.15</v>
      </c>
      <c r="AY13" s="120" t="n">
        <v>0.15</v>
      </c>
      <c r="AZ13" s="120" t="n">
        <v>0.15</v>
      </c>
      <c r="BA13" s="120" t="n">
        <v>0.15</v>
      </c>
      <c r="BB13" s="120" t="n">
        <v>0.15</v>
      </c>
      <c r="BC13" s="120" t="n">
        <v>0.15</v>
      </c>
      <c r="BD13" s="120" t="n">
        <v>0.15</v>
      </c>
      <c r="BE13" s="120" t="n">
        <v>0.15</v>
      </c>
      <c r="BF13" s="120" t="n">
        <v>0.15</v>
      </c>
      <c r="BG13" s="120" t="n">
        <v>0.15</v>
      </c>
      <c r="BH13" s="120" t="n">
        <v>0.15</v>
      </c>
      <c r="BI13" s="120" t="n">
        <v>0.15</v>
      </c>
      <c r="BJ13" s="120" t="n">
        <v>0.15</v>
      </c>
      <c r="BK13" s="120" t="n">
        <v>0.15</v>
      </c>
      <c r="BL13" s="120" t="n">
        <v>0.15</v>
      </c>
      <c r="BM13" s="120" t="n">
        <v>0.15</v>
      </c>
      <c r="BN13" s="131" t="n">
        <v>0.15</v>
      </c>
      <c r="BO13" s="120" t="n">
        <v>0.15</v>
      </c>
      <c r="BP13" s="120" t="n">
        <v>0.15</v>
      </c>
      <c r="BQ13" s="120" t="n">
        <v>0.15</v>
      </c>
      <c r="BR13" s="120" t="n">
        <v>0.15</v>
      </c>
    </row>
    <row r="14">
      <c r="C14" s="120" t="inlineStr">
        <is>
          <t>手数料計（月/社）</t>
        </is>
      </c>
      <c r="D14" s="120" t="n"/>
      <c r="E14" s="120" t="n"/>
      <c r="F14" s="120">
        <f>F12*F13</f>
        <v>4500.0</v>
      </c>
      <c r="G14" s="120">
        <f>G12*G13</f>
        <v>4500.0</v>
      </c>
      <c r="H14" s="120">
        <f>H12*H13</f>
        <v>4500.0</v>
      </c>
      <c r="I14" s="120">
        <f>I12*I13</f>
        <v>4500.0</v>
      </c>
      <c r="J14" s="120">
        <f>J12*J13</f>
        <v>4500.0</v>
      </c>
      <c r="K14" s="120">
        <f>K12*K13</f>
        <v>4500.0</v>
      </c>
      <c r="L14" s="120">
        <f>L12*L13</f>
        <v>4500.0</v>
      </c>
      <c r="M14" s="120">
        <f>M12*M13</f>
        <v>4500.0</v>
      </c>
      <c r="N14" s="120">
        <f>N12*N13</f>
        <v>4500.0</v>
      </c>
      <c r="O14" s="120">
        <f>O12*O13</f>
        <v>4500.0</v>
      </c>
      <c r="P14" s="120">
        <f>P12*P13</f>
        <v>4500.0</v>
      </c>
      <c r="Q14" s="120">
        <f>Q12*Q13</f>
        <v>4500.0</v>
      </c>
      <c r="R14" s="133">
        <f>R12*R13</f>
        <v>4500.0</v>
      </c>
      <c r="S14" s="120">
        <f>S12*S13</f>
        <v>4500.0</v>
      </c>
      <c r="T14" s="120">
        <f>T12*T13</f>
        <v>4500.0</v>
      </c>
      <c r="U14" s="120">
        <f>U12*U13</f>
        <v>4500.0</v>
      </c>
      <c r="V14" s="120">
        <f>V12*V13</f>
        <v>4500.0</v>
      </c>
      <c r="W14" s="120">
        <f>W12*W13</f>
        <v>4500.0</v>
      </c>
      <c r="X14" s="120">
        <f>X12*X13</f>
        <v>4500.0</v>
      </c>
      <c r="Y14" s="120">
        <f>Y12*Y13</f>
        <v>4500.0</v>
      </c>
      <c r="Z14" s="120">
        <f>Z12*Z13</f>
        <v>4500.0</v>
      </c>
      <c r="AA14" s="120">
        <f>AA12*AA13</f>
        <v>4500.0</v>
      </c>
      <c r="AB14" s="120">
        <f>AB12*AB13</f>
        <v>4500.0</v>
      </c>
      <c r="AC14" s="120">
        <f>AC12*AC13</f>
        <v>4500.0</v>
      </c>
      <c r="AD14" s="120">
        <f>AD12*AD13</f>
        <v>4500.0</v>
      </c>
      <c r="AE14" s="120">
        <f>AE12*AE13</f>
        <v>4500.0</v>
      </c>
      <c r="AF14" s="120">
        <f>AF12*AF13</f>
        <v>4500.0</v>
      </c>
      <c r="AG14" s="120">
        <f>AG12*AG13</f>
        <v>4500.0</v>
      </c>
      <c r="AH14" s="120">
        <f>AH12*AH13</f>
        <v>4500.0</v>
      </c>
      <c r="AI14" s="120">
        <f>AI12*AI13</f>
        <v>4500.0</v>
      </c>
      <c r="AJ14" s="120">
        <f>AJ12*AJ13</f>
        <v>4500.0</v>
      </c>
      <c r="AK14" s="120">
        <f>AK12*AK13</f>
        <v>4500.0</v>
      </c>
      <c r="AL14" s="120">
        <f>AL12*AL13</f>
        <v>4500.0</v>
      </c>
      <c r="AM14" s="120">
        <f>AM12*AM13</f>
        <v>4500.0</v>
      </c>
      <c r="AN14" s="120">
        <f>AN12*AN13</f>
        <v>4500.0</v>
      </c>
      <c r="AO14" s="120">
        <f>AO12*AO13</f>
        <v>4500.0</v>
      </c>
      <c r="AP14" s="120">
        <f>AP12*AP13</f>
        <v>4500.0</v>
      </c>
      <c r="AQ14" s="120">
        <f>AQ12*AQ13</f>
        <v>4500.0</v>
      </c>
      <c r="AR14" s="120">
        <f>AR12*AR13</f>
        <v>4500.0</v>
      </c>
      <c r="AS14" s="120">
        <f>AS12*AS13</f>
        <v>4500.0</v>
      </c>
      <c r="AT14" s="120">
        <f>AT12*AT13</f>
        <v>4500.0</v>
      </c>
      <c r="AU14" s="120">
        <f>AU12*AU13</f>
        <v>4500.0</v>
      </c>
      <c r="AV14" s="120">
        <f>AV12*AV13</f>
        <v>4500.0</v>
      </c>
      <c r="AW14" s="120">
        <f>AW12*AW13</f>
        <v>4500.0</v>
      </c>
      <c r="AX14" s="120">
        <f>AX12*AX13</f>
        <v>4500.0</v>
      </c>
      <c r="AY14" s="120">
        <f>AY12*AY13</f>
        <v>4500.0</v>
      </c>
      <c r="AZ14" s="120">
        <f>AZ12*AZ13</f>
        <v>4500.0</v>
      </c>
      <c r="BA14" s="120">
        <f>BA12*BA13</f>
        <v>4500.0</v>
      </c>
      <c r="BB14" s="120">
        <f>BB12*BB13</f>
        <v>4500.0</v>
      </c>
      <c r="BC14" s="120">
        <f>BC12*BC13</f>
        <v>4500.0</v>
      </c>
      <c r="BD14" s="120">
        <f>BD12*BD13</f>
        <v>4500.0</v>
      </c>
      <c r="BE14" s="120">
        <f>BE12*BE13</f>
        <v>4500.0</v>
      </c>
      <c r="BF14" s="120">
        <f>BF12*BF13</f>
        <v>4500.0</v>
      </c>
      <c r="BG14" s="120">
        <f>BG12*BG13</f>
        <v>4500.0</v>
      </c>
      <c r="BH14" s="120">
        <f>BH12*BH13</f>
        <v>4500.0</v>
      </c>
      <c r="BI14" s="120">
        <f>BI12*BI13</f>
        <v>4500.0</v>
      </c>
      <c r="BJ14" s="120">
        <f>BJ12*BJ13</f>
        <v>4500.0</v>
      </c>
      <c r="BK14" s="120">
        <f>BK12*BK13</f>
        <v>4500.0</v>
      </c>
      <c r="BL14" s="120">
        <f>BL12*BL13</f>
        <v>4500.0</v>
      </c>
      <c r="BM14" s="120">
        <f>BM12*BM13</f>
        <v>4500.0</v>
      </c>
      <c r="BN14" s="131">
        <f>BN12*BN13</f>
        <v>4500.0</v>
      </c>
      <c r="BO14" s="120">
        <f>BO12*BO13</f>
        <v>4500.0</v>
      </c>
      <c r="BP14" s="120">
        <f>BP12*BP13</f>
        <v>4500.0</v>
      </c>
      <c r="BQ14" s="120">
        <f>BQ12*BQ13</f>
        <v>4500.0</v>
      </c>
      <c r="BR14" s="120">
        <f>BR12*BR13</f>
        <v>4500.0</v>
      </c>
    </row>
    <row r="15">
      <c r="C15" s="120" t="inlineStr">
        <is>
          <t>内・税理士（月/社）</t>
        </is>
      </c>
      <c r="D15" s="120" t="inlineStr">
        <is>
          <t>配分 税理士2：taXel1</t>
        </is>
      </c>
      <c r="E15" s="120" t="n"/>
      <c r="F15" s="120" t="n">
        <v>3000</v>
      </c>
      <c r="G15" s="120" t="n">
        <v>3000</v>
      </c>
      <c r="H15" s="120" t="n">
        <v>3000</v>
      </c>
      <c r="I15" s="120" t="n">
        <v>3000</v>
      </c>
      <c r="J15" s="120" t="n">
        <v>3000</v>
      </c>
      <c r="K15" s="120" t="n">
        <v>3000</v>
      </c>
      <c r="L15" s="120" t="n">
        <v>3000</v>
      </c>
      <c r="M15" s="120" t="n">
        <v>3000</v>
      </c>
      <c r="N15" s="120" t="n">
        <v>3000</v>
      </c>
      <c r="O15" s="120" t="n">
        <v>3000</v>
      </c>
      <c r="P15" s="120" t="n">
        <v>3000</v>
      </c>
      <c r="Q15" s="120" t="n">
        <v>3000</v>
      </c>
      <c r="R15" s="133" t="n">
        <v>3000</v>
      </c>
      <c r="S15" s="120" t="n">
        <v>3000</v>
      </c>
      <c r="T15" s="120" t="n">
        <v>3000</v>
      </c>
      <c r="U15" s="120" t="n">
        <v>3000</v>
      </c>
      <c r="V15" s="120" t="n">
        <v>3000</v>
      </c>
      <c r="W15" s="120" t="n">
        <v>3000</v>
      </c>
      <c r="X15" s="120" t="n">
        <v>3000</v>
      </c>
      <c r="Y15" s="120" t="n">
        <v>3000</v>
      </c>
      <c r="Z15" s="120" t="n">
        <v>3000</v>
      </c>
      <c r="AA15" s="120" t="n">
        <v>3000</v>
      </c>
      <c r="AB15" s="120" t="n">
        <v>3000</v>
      </c>
      <c r="AC15" s="120" t="n">
        <v>3000</v>
      </c>
      <c r="AD15" s="120" t="n">
        <v>3000</v>
      </c>
      <c r="AE15" s="120" t="n">
        <v>3000</v>
      </c>
      <c r="AF15" s="120" t="n">
        <v>3000</v>
      </c>
      <c r="AG15" s="120" t="n">
        <v>3000</v>
      </c>
      <c r="AH15" s="120" t="n">
        <v>3000</v>
      </c>
      <c r="AI15" s="120" t="n">
        <v>3000</v>
      </c>
      <c r="AJ15" s="120" t="n">
        <v>3000</v>
      </c>
      <c r="AK15" s="120" t="n">
        <v>3000</v>
      </c>
      <c r="AL15" s="120" t="n">
        <v>3000</v>
      </c>
      <c r="AM15" s="120" t="n">
        <v>3000</v>
      </c>
      <c r="AN15" s="120" t="n">
        <v>3000</v>
      </c>
      <c r="AO15" s="120" t="n">
        <v>3000</v>
      </c>
      <c r="AP15" s="120" t="n">
        <v>3000</v>
      </c>
      <c r="AQ15" s="120" t="n">
        <v>3000</v>
      </c>
      <c r="AR15" s="120" t="n">
        <v>3000</v>
      </c>
      <c r="AS15" s="120" t="n">
        <v>3000</v>
      </c>
      <c r="AT15" s="120" t="n">
        <v>3000</v>
      </c>
      <c r="AU15" s="120" t="n">
        <v>3000</v>
      </c>
      <c r="AV15" s="120" t="n">
        <v>3000</v>
      </c>
      <c r="AW15" s="120" t="n">
        <v>3000</v>
      </c>
      <c r="AX15" s="120" t="n">
        <v>3000</v>
      </c>
      <c r="AY15" s="120" t="n">
        <v>3000</v>
      </c>
      <c r="AZ15" s="120" t="n">
        <v>3000</v>
      </c>
      <c r="BA15" s="120" t="n">
        <v>3000</v>
      </c>
      <c r="BB15" s="120" t="n">
        <v>3000</v>
      </c>
      <c r="BC15" s="120" t="n">
        <v>3000</v>
      </c>
      <c r="BD15" s="120" t="n">
        <v>3000</v>
      </c>
      <c r="BE15" s="120" t="n">
        <v>3000</v>
      </c>
      <c r="BF15" s="120" t="n">
        <v>3000</v>
      </c>
      <c r="BG15" s="120" t="n">
        <v>3000</v>
      </c>
      <c r="BH15" s="120" t="n">
        <v>3000</v>
      </c>
      <c r="BI15" s="120" t="n">
        <v>3000</v>
      </c>
      <c r="BJ15" s="120" t="n">
        <v>3000</v>
      </c>
      <c r="BK15" s="120" t="n">
        <v>3000</v>
      </c>
      <c r="BL15" s="120" t="n">
        <v>3000</v>
      </c>
      <c r="BM15" s="120" t="n">
        <v>3000</v>
      </c>
      <c r="BN15" s="131" t="n">
        <v>3000</v>
      </c>
      <c r="BO15" s="120" t="n">
        <v>3000</v>
      </c>
      <c r="BP15" s="120" t="n">
        <v>3000</v>
      </c>
      <c r="BQ15" s="120" t="n">
        <v>3000</v>
      </c>
      <c r="BR15" s="120" t="n">
        <v>3000</v>
      </c>
    </row>
    <row r="16">
      <c r="C16" s="134" t="inlineStr">
        <is>
          <t>内・taXel（月/社）</t>
        </is>
      </c>
      <c r="D16" s="134" t="n"/>
      <c r="E16" s="134" t="inlineStr">
        <is>
          <t>単価</t>
        </is>
      </c>
      <c r="F16" s="209">
        <f>F14-F15</f>
        <v>1500.0</v>
      </c>
      <c r="G16" s="209">
        <f>G14-G15</f>
        <v>1500.0</v>
      </c>
      <c r="H16" s="209">
        <f>H14-H15</f>
        <v>1500.0</v>
      </c>
      <c r="I16" s="209">
        <f>I14-I15</f>
        <v>1500.0</v>
      </c>
      <c r="J16" s="209">
        <f>J14-J15</f>
        <v>1500.0</v>
      </c>
      <c r="K16" s="209">
        <f>K14-K15</f>
        <v>1500.0</v>
      </c>
      <c r="L16" s="209">
        <f>L14-L15</f>
        <v>1500.0</v>
      </c>
      <c r="M16" s="209">
        <f>M14-M15</f>
        <v>1500.0</v>
      </c>
      <c r="N16" s="209">
        <f>N14-N15</f>
        <v>1500.0</v>
      </c>
      <c r="O16" s="209">
        <f>O14-O15</f>
        <v>1500.0</v>
      </c>
      <c r="P16" s="209">
        <f>P14-P15</f>
        <v>1500.0</v>
      </c>
      <c r="Q16" s="209">
        <f>Q14-Q15</f>
        <v>1500.0</v>
      </c>
      <c r="R16" s="210">
        <f>R14-R15</f>
        <v>1500.0</v>
      </c>
      <c r="S16" s="209">
        <f>S14-S15</f>
        <v>1500.0</v>
      </c>
      <c r="T16" s="209">
        <f>T14-T15</f>
        <v>1500.0</v>
      </c>
      <c r="U16" s="209">
        <f>U14-U15</f>
        <v>1500.0</v>
      </c>
      <c r="V16" s="209">
        <f>V14-V15</f>
        <v>1500.0</v>
      </c>
      <c r="W16" s="209">
        <f>W14-W15</f>
        <v>1500.0</v>
      </c>
      <c r="X16" s="209">
        <f>X14-X15</f>
        <v>1500.0</v>
      </c>
      <c r="Y16" s="209">
        <f>Y14-Y15</f>
        <v>1500.0</v>
      </c>
      <c r="Z16" s="209">
        <f>Z14-Z15</f>
        <v>1500.0</v>
      </c>
      <c r="AA16" s="209">
        <f>AA14-AA15</f>
        <v>1500.0</v>
      </c>
      <c r="AB16" s="209">
        <f>AB14-AB15</f>
        <v>1500.0</v>
      </c>
      <c r="AC16" s="209">
        <f>AC14-AC15</f>
        <v>1500.0</v>
      </c>
      <c r="AD16" s="209">
        <f>AD14-AD15</f>
        <v>1500.0</v>
      </c>
      <c r="AE16" s="209">
        <f>AE14-AE15</f>
        <v>1500.0</v>
      </c>
      <c r="AF16" s="209">
        <f>AF14-AF15</f>
        <v>1500.0</v>
      </c>
      <c r="AG16" s="209">
        <f>AG14-AG15</f>
        <v>1500.0</v>
      </c>
      <c r="AH16" s="209">
        <f>AH14-AH15</f>
        <v>1500.0</v>
      </c>
      <c r="AI16" s="209">
        <f>AI14-AI15</f>
        <v>1500.0</v>
      </c>
      <c r="AJ16" s="209">
        <f>AJ14-AJ15</f>
        <v>1500.0</v>
      </c>
      <c r="AK16" s="209">
        <f>AK14-AK15</f>
        <v>1500.0</v>
      </c>
      <c r="AL16" s="209">
        <f>AL14-AL15</f>
        <v>1500.0</v>
      </c>
      <c r="AM16" s="209">
        <f>AM14-AM15</f>
        <v>1500.0</v>
      </c>
      <c r="AN16" s="209">
        <f>AN14-AN15</f>
        <v>1500.0</v>
      </c>
      <c r="AO16" s="209">
        <f>AO14-AO15</f>
        <v>1500.0</v>
      </c>
      <c r="AP16" s="209">
        <f>AP14-AP15</f>
        <v>1500.0</v>
      </c>
      <c r="AQ16" s="209">
        <f>AQ14-AQ15</f>
        <v>1500.0</v>
      </c>
      <c r="AR16" s="209">
        <f>AR14-AR15</f>
        <v>1500.0</v>
      </c>
      <c r="AS16" s="209">
        <f>AS14-AS15</f>
        <v>1500.0</v>
      </c>
      <c r="AT16" s="209">
        <f>AT14-AT15</f>
        <v>1500.0</v>
      </c>
      <c r="AU16" s="209">
        <f>AU14-AU15</f>
        <v>1500.0</v>
      </c>
      <c r="AV16" s="209">
        <f>AV14-AV15</f>
        <v>1500.0</v>
      </c>
      <c r="AW16" s="209">
        <f>AW14-AW15</f>
        <v>1500.0</v>
      </c>
      <c r="AX16" s="209">
        <f>AX14-AX15</f>
        <v>1500.0</v>
      </c>
      <c r="AY16" s="209">
        <f>AY14-AY15</f>
        <v>1500.0</v>
      </c>
      <c r="AZ16" s="209">
        <f>AZ14-AZ15</f>
        <v>1500.0</v>
      </c>
      <c r="BA16" s="209">
        <f>BA14-BA15</f>
        <v>1500.0</v>
      </c>
      <c r="BB16" s="209">
        <f>BB14-BB15</f>
        <v>1500.0</v>
      </c>
      <c r="BC16" s="209">
        <f>BC14-BC15</f>
        <v>1500.0</v>
      </c>
      <c r="BD16" s="209">
        <f>BD14-BD15</f>
        <v>1500.0</v>
      </c>
      <c r="BE16" s="209">
        <f>BE14-BE15</f>
        <v>1500.0</v>
      </c>
      <c r="BF16" s="209">
        <f>BF14-BF15</f>
        <v>1500.0</v>
      </c>
      <c r="BG16" s="209">
        <f>BG14-BG15</f>
        <v>1500.0</v>
      </c>
      <c r="BH16" s="209">
        <f>BH14-BH15</f>
        <v>1500.0</v>
      </c>
      <c r="BI16" s="209">
        <f>BI14-BI15</f>
        <v>1500.0</v>
      </c>
      <c r="BJ16" s="209">
        <f>BJ14-BJ15</f>
        <v>1500.0</v>
      </c>
      <c r="BK16" s="209">
        <f>BK14-BK15</f>
        <v>1500.0</v>
      </c>
      <c r="BL16" s="209">
        <f>BL14-BL15</f>
        <v>1500.0</v>
      </c>
      <c r="BM16" s="209">
        <f>BM14-BM15</f>
        <v>1500.0</v>
      </c>
      <c r="BN16" s="210">
        <f>BN14-BN15</f>
        <v>1500.0</v>
      </c>
      <c r="BO16" s="209">
        <f>BO14-BO15</f>
        <v>1500.0</v>
      </c>
      <c r="BP16" s="209">
        <f>BP14-BP15</f>
        <v>1500.0</v>
      </c>
      <c r="BQ16" s="209">
        <f>BQ14-BQ15</f>
        <v>1500.0</v>
      </c>
      <c r="BR16" s="209">
        <f>BR14-BR15</f>
        <v>1500.0</v>
      </c>
    </row>
    <row r="17">
      <c r="C17" s="120" t="inlineStr">
        <is>
          <t>１税理士 / 紹介費用</t>
        </is>
      </c>
      <c r="D17" s="120" t="inlineStr">
        <is>
          <t>Y2（M13）から開拓</t>
        </is>
      </c>
      <c r="E17" s="120" t="n"/>
      <c r="F17" s="120" t="n">
        <v>0</v>
      </c>
      <c r="G17" s="120" t="n">
        <v>0</v>
      </c>
      <c r="H17" s="120" t="n">
        <v>0</v>
      </c>
      <c r="I17" s="120" t="n">
        <v>0</v>
      </c>
      <c r="J17" s="120" t="n">
        <v>0</v>
      </c>
      <c r="K17" s="120" t="n">
        <v>0</v>
      </c>
      <c r="L17" s="120" t="n">
        <v>0</v>
      </c>
      <c r="M17" s="120" t="n">
        <v>0</v>
      </c>
      <c r="N17" s="120" t="n">
        <v>0</v>
      </c>
      <c r="O17" s="120" t="n">
        <v>0</v>
      </c>
      <c r="P17" s="120" t="n">
        <v>0</v>
      </c>
      <c r="Q17" s="120" t="n">
        <v>0</v>
      </c>
      <c r="R17" s="133">
        <f>R16*R25</f>
        <v>201416.863471274</v>
      </c>
      <c r="S17" s="120">
        <f>S16*S25</f>
        <v>220068.526201849</v>
      </c>
      <c r="T17" s="120">
        <f>T16*T25</f>
        <v>242127.155677812</v>
      </c>
      <c r="U17" s="120">
        <f>U16*U25</f>
        <v>261854.612564256</v>
      </c>
      <c r="V17" s="120">
        <f>V16*V25</f>
        <v>281187.520312971</v>
      </c>
      <c r="W17" s="120">
        <f>W16*W25</f>
        <v>303913.769906711</v>
      </c>
      <c r="X17" s="120">
        <f>X16*X25</f>
        <v>324295.494508577</v>
      </c>
      <c r="Y17" s="120">
        <f>Y16*Y25</f>
        <v>344269.584618405</v>
      </c>
      <c r="Z17" s="120">
        <f>Z16*Z25</f>
        <v>367624.192926037</v>
      </c>
      <c r="AA17" s="120">
        <f>AA16*AA25</f>
        <v>388621.709067516</v>
      </c>
      <c r="AB17" s="120">
        <f>AB16*AB25</f>
        <v>409199.274886166</v>
      </c>
      <c r="AC17" s="120">
        <f>AC16*AC25</f>
        <v>431255.289388443</v>
      </c>
      <c r="AD17" s="120">
        <f>AD16*AD25</f>
        <v>457728.321824145</v>
      </c>
      <c r="AE17" s="120">
        <f>AE16*AE25</f>
        <v>481848.076192223</v>
      </c>
      <c r="AF17" s="120">
        <f>AF16*AF25</f>
        <v>509325.734858859</v>
      </c>
      <c r="AG17" s="120">
        <f>AG16*AG25</f>
        <v>534432.534498829</v>
      </c>
      <c r="AH17" s="120">
        <f>AH16*AH25</f>
        <v>560989.965145099</v>
      </c>
      <c r="AI17" s="120">
        <f>AI16*AI25</f>
        <v>587082.64075506</v>
      </c>
      <c r="AJ17" s="120">
        <f>AJ16*AJ25</f>
        <v>614608.694541846</v>
      </c>
      <c r="AK17" s="120">
        <f>AK16*AK25</f>
        <v>639763.042387364</v>
      </c>
      <c r="AL17" s="120">
        <f>AL16*AL25</f>
        <v>668257.189145585</v>
      </c>
      <c r="AM17" s="120">
        <f>AM16*AM25</f>
        <v>694362.688335537</v>
      </c>
      <c r="AN17" s="120">
        <f>AN16*AN25</f>
        <v>720011.341289665</v>
      </c>
      <c r="AO17" s="120">
        <f>AO16*AO25</f>
        <v>748991.142817096</v>
      </c>
      <c r="AP17" s="120">
        <f>AP16*AP25</f>
        <v>775573.797817797</v>
      </c>
      <c r="AQ17" s="120">
        <f>AQ16*AQ25</f>
        <v>801691.256355986</v>
      </c>
      <c r="AR17" s="120">
        <f>AR16*AR25</f>
        <v>829241.659369756</v>
      </c>
      <c r="AS17" s="120">
        <f>AS16*AS25</f>
        <v>856309.930330785</v>
      </c>
      <c r="AT17" s="120">
        <f>AT16*AT25</f>
        <v>882904.506549996</v>
      </c>
      <c r="AU17" s="120">
        <f>AU16*AU25</f>
        <v>910923.677685372</v>
      </c>
      <c r="AV17" s="120">
        <f>AV16*AV25</f>
        <v>938452.513325878</v>
      </c>
      <c r="AW17" s="120">
        <f>AW16*AW25</f>
        <v>965499.594342675</v>
      </c>
      <c r="AX17" s="120">
        <f>AX16*AX25</f>
        <v>993963.351441678</v>
      </c>
      <c r="AY17" s="120">
        <f>AY16*AY25</f>
        <v>1020038.99279145</v>
      </c>
      <c r="AZ17" s="120">
        <f>AZ16*AZ25</f>
        <v>1047548.3104176</v>
      </c>
      <c r="BA17" s="120">
        <f>BA16*BA25</f>
        <v>1074576.21498529</v>
      </c>
      <c r="BB17" s="120">
        <f>BB16*BB25</f>
        <v>1113267.57176051</v>
      </c>
      <c r="BC17" s="120">
        <f>BC16*BC25</f>
        <v>1149488.5581841</v>
      </c>
      <c r="BD17" s="120">
        <f>BD16*BD25</f>
        <v>1187056.22981134</v>
      </c>
      <c r="BE17" s="120">
        <f>BE16*BE25</f>
        <v>1224060.38636417</v>
      </c>
      <c r="BF17" s="120">
        <f>BF16*BF25</f>
        <v>1260509.48056871</v>
      </c>
      <c r="BG17" s="120">
        <f>BG16*BG25</f>
        <v>1300191.83836018</v>
      </c>
      <c r="BH17" s="120">
        <f>BH16*BH25</f>
        <v>1337388.96078478</v>
      </c>
      <c r="BI17" s="120">
        <f>BI16*BI25</f>
        <v>1374028.126373</v>
      </c>
      <c r="BJ17" s="120">
        <f>BJ16*BJ25</f>
        <v>1412007.70447741</v>
      </c>
      <c r="BK17" s="120">
        <f>BK16*BK25</f>
        <v>1449417.58891025</v>
      </c>
      <c r="BL17" s="120">
        <f>BL16*BL25</f>
        <v>1486266.32507659</v>
      </c>
      <c r="BM17" s="120">
        <f>BM16*BM25</f>
        <v>1524452.33020045</v>
      </c>
      <c r="BN17" s="131">
        <f>SUM(F17:Q17)</f>
        <v>0.0</v>
      </c>
      <c r="BO17" s="120">
        <f>SUM(R17:AC17)</f>
        <v>3775833.99353002</v>
      </c>
      <c r="BP17" s="120">
        <f>SUM(AD17:AO17)</f>
        <v>7217401.37179131</v>
      </c>
      <c r="BQ17" s="120">
        <f>SUM(AP17:BA17)</f>
        <v>11096723.8054143</v>
      </c>
      <c r="BR17" s="120">
        <f>SUM(BB17:BM17)</f>
        <v>15818135.1008715</v>
      </c>
    </row>
    <row r="18">
      <c r="C18" s="135" t="inlineStr">
        <is>
          <t>税理士数＝アカウト数</t>
        </is>
      </c>
      <c r="D18" s="136" t="n"/>
      <c r="E18" s="136" t="n"/>
      <c r="F18" s="211" t="n">
        <v>0</v>
      </c>
      <c r="G18" s="211" t="n">
        <v>2</v>
      </c>
      <c r="H18" s="211" t="n">
        <v>11</v>
      </c>
      <c r="I18" s="211" t="n">
        <v>20</v>
      </c>
      <c r="J18" s="211" t="n">
        <v>28</v>
      </c>
      <c r="K18" s="211" t="n">
        <v>38</v>
      </c>
      <c r="L18" s="211" t="n">
        <v>48</v>
      </c>
      <c r="M18" s="211" t="n">
        <v>58</v>
      </c>
      <c r="N18" s="211" t="n">
        <v>70</v>
      </c>
      <c r="O18" s="211" t="n">
        <v>81</v>
      </c>
      <c r="P18" s="211" t="n">
        <v>92</v>
      </c>
      <c r="Q18" s="211" t="n">
        <v>105</v>
      </c>
      <c r="R18" s="212" t="n">
        <v>117</v>
      </c>
      <c r="S18" s="211" t="n">
        <v>129</v>
      </c>
      <c r="T18" s="211" t="n">
        <v>143</v>
      </c>
      <c r="U18" s="211" t="n">
        <v>156</v>
      </c>
      <c r="V18" s="211" t="n">
        <v>169</v>
      </c>
      <c r="W18" s="211" t="n">
        <v>184</v>
      </c>
      <c r="X18" s="211" t="n">
        <v>198</v>
      </c>
      <c r="Y18" s="211" t="n">
        <v>212</v>
      </c>
      <c r="Z18" s="211" t="n">
        <v>228</v>
      </c>
      <c r="AA18" s="211" t="n">
        <v>243</v>
      </c>
      <c r="AB18" s="211" t="n">
        <v>258</v>
      </c>
      <c r="AC18" s="211" t="n">
        <v>274</v>
      </c>
      <c r="AD18" s="211" t="n">
        <v>292</v>
      </c>
      <c r="AE18" s="211" t="n">
        <v>309</v>
      </c>
      <c r="AF18" s="211" t="n">
        <v>328</v>
      </c>
      <c r="AG18" s="211" t="n">
        <v>346</v>
      </c>
      <c r="AH18" s="211" t="n">
        <v>365</v>
      </c>
      <c r="AI18" s="211" t="n">
        <v>384</v>
      </c>
      <c r="AJ18" s="211" t="n">
        <v>404</v>
      </c>
      <c r="AK18" s="211" t="n">
        <v>423</v>
      </c>
      <c r="AL18" s="211" t="n">
        <v>444</v>
      </c>
      <c r="AM18" s="211" t="n">
        <v>464</v>
      </c>
      <c r="AN18" s="211" t="n">
        <v>484</v>
      </c>
      <c r="AO18" s="211" t="n">
        <v>506</v>
      </c>
      <c r="AP18" s="211" t="n">
        <v>527</v>
      </c>
      <c r="AQ18" s="211" t="n">
        <v>548</v>
      </c>
      <c r="AR18" s="211" t="n">
        <v>570</v>
      </c>
      <c r="AS18" s="211" t="n">
        <v>592</v>
      </c>
      <c r="AT18" s="211" t="n">
        <v>614</v>
      </c>
      <c r="AU18" s="211" t="n">
        <v>637</v>
      </c>
      <c r="AV18" s="211" t="n">
        <v>660</v>
      </c>
      <c r="AW18" s="211" t="n">
        <v>683</v>
      </c>
      <c r="AX18" s="211" t="n">
        <v>707</v>
      </c>
      <c r="AY18" s="211" t="n">
        <v>730</v>
      </c>
      <c r="AZ18" s="211" t="n">
        <v>754</v>
      </c>
      <c r="BA18" s="211" t="n">
        <v>778</v>
      </c>
      <c r="BB18" s="211" t="n">
        <v>807</v>
      </c>
      <c r="BC18" s="211" t="n">
        <v>835</v>
      </c>
      <c r="BD18" s="211" t="n">
        <v>864</v>
      </c>
      <c r="BE18" s="211" t="n">
        <v>893</v>
      </c>
      <c r="BF18" s="211" t="n">
        <v>922</v>
      </c>
      <c r="BG18" s="211" t="n">
        <v>953</v>
      </c>
      <c r="BH18" s="211" t="n">
        <v>983</v>
      </c>
      <c r="BI18" s="211" t="n">
        <v>1013</v>
      </c>
      <c r="BJ18" s="211" t="n">
        <v>1044</v>
      </c>
      <c r="BK18" s="211" t="n">
        <v>1075</v>
      </c>
      <c r="BL18" s="211" t="n">
        <v>1106</v>
      </c>
      <c r="BM18" s="211" t="n">
        <v>1138</v>
      </c>
      <c r="BN18" s="213">
        <f>Q18</f>
        <v>105.0</v>
      </c>
      <c r="BO18" s="211">
        <f>AC18</f>
        <v>274.0</v>
      </c>
      <c r="BP18" s="211">
        <f>AO18</f>
        <v>506.0</v>
      </c>
      <c r="BQ18" s="211">
        <f>BA18</f>
        <v>778.0</v>
      </c>
      <c r="BR18" s="211">
        <f>BM18</f>
        <v>1138.0</v>
      </c>
    </row>
    <row r="19">
      <c r="C19" s="214" t="inlineStr">
        <is>
          <t>新規</t>
        </is>
      </c>
      <c r="D19" s="136" t="n"/>
      <c r="E19" s="214" t="n"/>
      <c r="F19" s="120" t="n">
        <v>0</v>
      </c>
      <c r="G19" s="215" t="n">
        <v>1</v>
      </c>
      <c r="H19" s="215" t="n">
        <v>5</v>
      </c>
      <c r="I19" s="215" t="n">
        <v>5</v>
      </c>
      <c r="J19" s="215" t="n">
        <v>5</v>
      </c>
      <c r="K19" s="215">
        <f>H19+1</f>
        <v>6.0</v>
      </c>
      <c r="L19" s="215">
        <f>I19+1</f>
        <v>6.0</v>
      </c>
      <c r="M19" s="215">
        <f>J19+1</f>
        <v>6.0</v>
      </c>
      <c r="N19" s="215">
        <f>K19+1</f>
        <v>7.0</v>
      </c>
      <c r="O19" s="215">
        <f>L19+1</f>
        <v>7.0</v>
      </c>
      <c r="P19" s="215">
        <f>M19+1</f>
        <v>7.0</v>
      </c>
      <c r="Q19" s="215">
        <f>N19+1</f>
        <v>8.0</v>
      </c>
      <c r="R19" s="216">
        <f>O19+1</f>
        <v>8.0</v>
      </c>
      <c r="S19" s="215">
        <f>P19+1</f>
        <v>8.0</v>
      </c>
      <c r="T19" s="215">
        <f>Q19+1</f>
        <v>9.0</v>
      </c>
      <c r="U19" s="215">
        <f>R19+1</f>
        <v>9.0</v>
      </c>
      <c r="V19" s="215">
        <f>S19+1</f>
        <v>9.0</v>
      </c>
      <c r="W19" s="215">
        <f>T19+1</f>
        <v>10.0</v>
      </c>
      <c r="X19" s="215">
        <f>U19+1</f>
        <v>10.0</v>
      </c>
      <c r="Y19" s="215">
        <f>V19+1</f>
        <v>10.0</v>
      </c>
      <c r="Z19" s="215">
        <f>W19+1</f>
        <v>11.0</v>
      </c>
      <c r="AA19" s="215">
        <f>X19+1</f>
        <v>11.0</v>
      </c>
      <c r="AB19" s="215">
        <f>Y19+1</f>
        <v>11.0</v>
      </c>
      <c r="AC19" s="215">
        <f>Z19+1</f>
        <v>12.0</v>
      </c>
      <c r="AD19" s="215">
        <f>AA19+1</f>
        <v>12.0</v>
      </c>
      <c r="AE19" s="215">
        <f>AB19+1</f>
        <v>12.0</v>
      </c>
      <c r="AF19" s="215">
        <f>AC19+1</f>
        <v>13.0</v>
      </c>
      <c r="AG19" s="215">
        <f>AD19+1</f>
        <v>13.0</v>
      </c>
      <c r="AH19" s="215">
        <f>AE19+1</f>
        <v>13.0</v>
      </c>
      <c r="AI19" s="215">
        <f>AF19+1</f>
        <v>14.0</v>
      </c>
      <c r="AJ19" s="215">
        <f>AG19+1</f>
        <v>14.0</v>
      </c>
      <c r="AK19" s="215">
        <f>AH19+1</f>
        <v>14.0</v>
      </c>
      <c r="AL19" s="215">
        <f>AI19+1</f>
        <v>15.0</v>
      </c>
      <c r="AM19" s="215">
        <f>AJ19+1</f>
        <v>15.0</v>
      </c>
      <c r="AN19" s="215">
        <f>AK19+1</f>
        <v>15.0</v>
      </c>
      <c r="AO19" s="215">
        <f>AL19+1</f>
        <v>16.0</v>
      </c>
      <c r="AP19" s="215">
        <f>AM19+1</f>
        <v>16.0</v>
      </c>
      <c r="AQ19" s="215">
        <f>AN19+1</f>
        <v>16.0</v>
      </c>
      <c r="AR19" s="215">
        <f>AO19+1</f>
        <v>17.0</v>
      </c>
      <c r="AS19" s="215">
        <f>AP19+1</f>
        <v>17.0</v>
      </c>
      <c r="AT19" s="215">
        <f>AQ19+1</f>
        <v>17.0</v>
      </c>
      <c r="AU19" s="215">
        <f>AR19+1</f>
        <v>18.0</v>
      </c>
      <c r="AV19" s="215">
        <f>AS19+1</f>
        <v>18.0</v>
      </c>
      <c r="AW19" s="215">
        <f>AT19+1</f>
        <v>18.0</v>
      </c>
      <c r="AX19" s="215">
        <f>AU19+1</f>
        <v>19.0</v>
      </c>
      <c r="AY19" s="215">
        <f>AV19+1</f>
        <v>19.0</v>
      </c>
      <c r="AZ19" s="215">
        <f>AW19+1</f>
        <v>19.0</v>
      </c>
      <c r="BA19" s="215">
        <f>AX19+1</f>
        <v>20.0</v>
      </c>
      <c r="BB19" s="215">
        <f>AY19+1</f>
        <v>20.0</v>
      </c>
      <c r="BC19" s="215">
        <f>AZ19+1</f>
        <v>20.0</v>
      </c>
      <c r="BD19" s="215">
        <f>BA19+1</f>
        <v>21.0</v>
      </c>
      <c r="BE19" s="215">
        <f>BB19+1</f>
        <v>21.0</v>
      </c>
      <c r="BF19" s="215">
        <f>BC19+1</f>
        <v>21.0</v>
      </c>
      <c r="BG19" s="215">
        <f>BD19+1</f>
        <v>22.0</v>
      </c>
      <c r="BH19" s="215">
        <f>BE19+1</f>
        <v>22.0</v>
      </c>
      <c r="BI19" s="215">
        <f>BF19+1</f>
        <v>22.0</v>
      </c>
      <c r="BJ19" s="215">
        <f>BG19+1</f>
        <v>23.0</v>
      </c>
      <c r="BK19" s="215">
        <f>BH19+1</f>
        <v>23.0</v>
      </c>
      <c r="BL19" s="215">
        <f>BI19+1</f>
        <v>23.0</v>
      </c>
      <c r="BM19" s="215">
        <f>BJ19+1</f>
        <v>24.0</v>
      </c>
      <c r="BN19" s="217">
        <f>SUM(F19:Q19)</f>
        <v>63.0</v>
      </c>
      <c r="BO19" s="215">
        <f>SUM(R19:AC19)</f>
        <v>118.0</v>
      </c>
      <c r="BP19" s="215">
        <f>SUM(AD19:AO19)</f>
        <v>166.0</v>
      </c>
      <c r="BQ19" s="215">
        <f>SUM(AP19:BA19)</f>
        <v>214.0</v>
      </c>
      <c r="BR19" s="215">
        <f>SUM(BB19:BM19)</f>
        <v>262.0</v>
      </c>
    </row>
    <row r="20">
      <c r="C20" s="214" t="inlineStr">
        <is>
          <t>解約予想数</t>
        </is>
      </c>
      <c r="D20" s="136" t="inlineStr">
        <is>
          <t>解約予想数＝前月末契約社数×月次解約率（ストック型）</t>
        </is>
      </c>
      <c r="E20" s="214" t="n"/>
      <c r="F20" s="144" t="n">
        <v>0</v>
      </c>
      <c r="G20" s="144">
        <f>F25*G21</f>
        <v>0.0</v>
      </c>
      <c r="H20" s="144">
        <f>G25*H21</f>
        <v>0.0504</v>
      </c>
      <c r="I20" s="144">
        <f>H25*I21</f>
        <v>0.276192</v>
      </c>
      <c r="J20" s="144">
        <f>I25*J21</f>
        <v>0.49746816</v>
      </c>
      <c r="K20" s="144">
        <f>J25*K21</f>
        <v>0.6891187968</v>
      </c>
      <c r="L20" s="144">
        <f>K25*L21</f>
        <v>0.927336420864</v>
      </c>
      <c r="M20" s="144">
        <f>L25*M21</f>
        <v>1.16078969244672</v>
      </c>
      <c r="N20" s="144">
        <f>M25*N21</f>
        <v>1.38957389859779</v>
      </c>
      <c r="O20" s="144">
        <f>N25*O21</f>
        <v>1.66418242062583</v>
      </c>
      <c r="P20" s="144">
        <f>O25*P21</f>
        <v>1.90809877221331</v>
      </c>
      <c r="Q20" s="144">
        <f>P25*Q21</f>
        <v>2.14713679676905</v>
      </c>
      <c r="R20" s="145">
        <f>Q25*R21</f>
        <v>2.43179406083367</v>
      </c>
      <c r="S20" s="144">
        <f>R25*S21</f>
        <v>2.68555817961699</v>
      </c>
      <c r="T20" s="144">
        <f>S25*T21</f>
        <v>2.93424701602465</v>
      </c>
      <c r="U20" s="144">
        <f>T25*U21</f>
        <v>3.22836207570416</v>
      </c>
      <c r="V20" s="144">
        <f>U25*V21</f>
        <v>3.49139483419008</v>
      </c>
      <c r="W20" s="144">
        <f>V25*W21</f>
        <v>3.74916693750627</v>
      </c>
      <c r="X20" s="144">
        <f>W25*X21</f>
        <v>4.05218359875615</v>
      </c>
      <c r="Y20" s="144">
        <f>X25*Y21</f>
        <v>4.32393992678103</v>
      </c>
      <c r="Z20" s="144">
        <f>Y25*Z21</f>
        <v>4.59026112824541</v>
      </c>
      <c r="AA20" s="144">
        <f>Z25*AA21</f>
        <v>4.9016559056805</v>
      </c>
      <c r="AB20" s="144">
        <f>AA25*AB21</f>
        <v>5.18162278756689</v>
      </c>
      <c r="AC20" s="144">
        <f>AB25*AC21</f>
        <v>5.45599033181555</v>
      </c>
      <c r="AD20" s="144">
        <f>AC25*AD21</f>
        <v>5.03131170953183</v>
      </c>
      <c r="AE20" s="144">
        <f>AD25*AE21</f>
        <v>5.34016375461503</v>
      </c>
      <c r="AF20" s="144">
        <f>AE25*AF21</f>
        <v>5.62156088890926</v>
      </c>
      <c r="AG20" s="144">
        <f>AF25*AG21</f>
        <v>5.94213357335335</v>
      </c>
      <c r="AH20" s="144">
        <f>AG25*AH21</f>
        <v>6.23504623581967</v>
      </c>
      <c r="AI20" s="144">
        <f>AH25*AI21</f>
        <v>6.54488292669282</v>
      </c>
      <c r="AJ20" s="144">
        <f>AI25*AJ21</f>
        <v>6.8492974754757</v>
      </c>
      <c r="AK20" s="144">
        <f>AJ25*AK21</f>
        <v>7.17043476965487</v>
      </c>
      <c r="AL20" s="144">
        <f>AK25*AL21</f>
        <v>7.46390216118591</v>
      </c>
      <c r="AM20" s="144">
        <f>AL25*AM21</f>
        <v>7.79633387336516</v>
      </c>
      <c r="AN20" s="144">
        <f>AM25*AN21</f>
        <v>8.10089803058127</v>
      </c>
      <c r="AO20" s="144">
        <f>AN25*AO21</f>
        <v>8.4001323150461</v>
      </c>
      <c r="AP20" s="144">
        <f>AO25*AP21</f>
        <v>8.73822999953279</v>
      </c>
      <c r="AQ20" s="144">
        <f>AP25*AQ21</f>
        <v>9.04836097454097</v>
      </c>
      <c r="AR20" s="144">
        <f>AQ25*AR21</f>
        <v>9.3530646574865</v>
      </c>
      <c r="AS20" s="144">
        <f>AR25*AS21</f>
        <v>9.67448602598049</v>
      </c>
      <c r="AT20" s="144">
        <f>AS25*AT21</f>
        <v>9.99028252052583</v>
      </c>
      <c r="AU20" s="144">
        <f>AT25*AU21</f>
        <v>10.3005525764166</v>
      </c>
      <c r="AV20" s="144">
        <f>AU25*AV21</f>
        <v>10.6274429063293</v>
      </c>
      <c r="AW20" s="144">
        <f>AV25*AW21</f>
        <v>10.9486126554686</v>
      </c>
      <c r="AX20" s="144">
        <f>AW25*AX21</f>
        <v>11.2641619339979</v>
      </c>
      <c r="AY20" s="144">
        <f>AX25*AY21</f>
        <v>11.5962391001529</v>
      </c>
      <c r="AZ20" s="144">
        <f>AY25*AZ21</f>
        <v>11.9004549159002</v>
      </c>
      <c r="BA20" s="144">
        <f>AZ25*BA21</f>
        <v>12.221396954872</v>
      </c>
      <c r="BB20" s="144">
        <f>BA25*BB21</f>
        <v>10.7457621498529</v>
      </c>
      <c r="BC20" s="144">
        <f>BB25*BC21</f>
        <v>11.1326757176051</v>
      </c>
      <c r="BD20" s="144">
        <f>BC25*BD21</f>
        <v>11.494885581841</v>
      </c>
      <c r="BE20" s="144">
        <f>BD25*BE21</f>
        <v>11.8705622981134</v>
      </c>
      <c r="BF20" s="144">
        <f>BE25*BF21</f>
        <v>12.2406038636417</v>
      </c>
      <c r="BG20" s="144">
        <f>BF25*BG21</f>
        <v>12.6050948056871</v>
      </c>
      <c r="BH20" s="144">
        <f>BG25*BH21</f>
        <v>13.0019183836018</v>
      </c>
      <c r="BI20" s="144">
        <f>BH25*BI21</f>
        <v>13.3738896078478</v>
      </c>
      <c r="BJ20" s="144">
        <f>BI25*BJ21</f>
        <v>13.74028126373</v>
      </c>
      <c r="BK20" s="144">
        <f>BJ25*BK21</f>
        <v>14.1200770447741</v>
      </c>
      <c r="BL20" s="144">
        <f>BK25*BL21</f>
        <v>14.4941758891025</v>
      </c>
      <c r="BM20" s="144">
        <f>BL25*BM21</f>
        <v>14.8626632507659</v>
      </c>
      <c r="BN20" s="217">
        <f>SUM(F20:Q20)</f>
        <v>10.7102969583167</v>
      </c>
      <c r="BO20" s="144">
        <f>SUM(R20:AC20)</f>
        <v>47.0261767827213</v>
      </c>
      <c r="BP20" s="144">
        <f>SUM(AD20:AO20)</f>
        <v>80.496097714231</v>
      </c>
      <c r="BQ20" s="144">
        <f>SUM(AP20:BA20)</f>
        <v>125.663285221204</v>
      </c>
      <c r="BR20" s="144">
        <f>SUM(BB20:BM20)</f>
        <v>153.682589856563</v>
      </c>
    </row>
    <row r="21">
      <c r="C21" s="214" t="inlineStr">
        <is>
          <t>解約率</t>
        </is>
      </c>
      <c r="D21" s="136" t="inlineStr">
        <is>
          <t>F&amp;M オフィスステーション1.01%</t>
        </is>
      </c>
      <c r="E21" s="214" t="n"/>
      <c r="F21" s="146" t="n">
        <v>0.02</v>
      </c>
      <c r="G21" s="146" t="n">
        <v>0.02</v>
      </c>
      <c r="H21" s="146" t="n">
        <v>0.02</v>
      </c>
      <c r="I21" s="146" t="n">
        <v>0.02</v>
      </c>
      <c r="J21" s="146" t="n">
        <v>0.02</v>
      </c>
      <c r="K21" s="146" t="n">
        <v>0.02</v>
      </c>
      <c r="L21" s="146" t="n">
        <v>0.02</v>
      </c>
      <c r="M21" s="146" t="n">
        <v>0.02</v>
      </c>
      <c r="N21" s="146" t="n">
        <v>0.02</v>
      </c>
      <c r="O21" s="146" t="n">
        <v>0.02</v>
      </c>
      <c r="P21" s="146" t="n">
        <v>0.02</v>
      </c>
      <c r="Q21" s="146" t="n">
        <v>0.02</v>
      </c>
      <c r="R21" s="147" t="n">
        <v>0.02</v>
      </c>
      <c r="S21" s="146" t="n">
        <v>0.02</v>
      </c>
      <c r="T21" s="146" t="n">
        <v>0.02</v>
      </c>
      <c r="U21" s="146" t="n">
        <v>0.02</v>
      </c>
      <c r="V21" s="146" t="n">
        <v>0.02</v>
      </c>
      <c r="W21" s="146" t="n">
        <v>0.02</v>
      </c>
      <c r="X21" s="146" t="n">
        <v>0.02</v>
      </c>
      <c r="Y21" s="146" t="n">
        <v>0.02</v>
      </c>
      <c r="Z21" s="146" t="n">
        <v>0.02</v>
      </c>
      <c r="AA21" s="146" t="n">
        <v>0.02</v>
      </c>
      <c r="AB21" s="146" t="n">
        <v>0.02</v>
      </c>
      <c r="AC21" s="146" t="n">
        <v>0.02</v>
      </c>
      <c r="AD21" s="218" t="n">
        <v>0.0175</v>
      </c>
      <c r="AE21" s="218" t="n">
        <v>0.0175</v>
      </c>
      <c r="AF21" s="218" t="n">
        <v>0.0175</v>
      </c>
      <c r="AG21" s="218" t="n">
        <v>0.0175</v>
      </c>
      <c r="AH21" s="218" t="n">
        <v>0.0175</v>
      </c>
      <c r="AI21" s="218" t="n">
        <v>0.0175</v>
      </c>
      <c r="AJ21" s="218" t="n">
        <v>0.0175</v>
      </c>
      <c r="AK21" s="218" t="n">
        <v>0.0175</v>
      </c>
      <c r="AL21" s="218" t="n">
        <v>0.0175</v>
      </c>
      <c r="AM21" s="218" t="n">
        <v>0.0175</v>
      </c>
      <c r="AN21" s="218" t="n">
        <v>0.0175</v>
      </c>
      <c r="AO21" s="218" t="n">
        <v>0.0175</v>
      </c>
      <c r="AP21" s="218" t="n">
        <v>0.0175</v>
      </c>
      <c r="AQ21" s="218" t="n">
        <v>0.0175</v>
      </c>
      <c r="AR21" s="218" t="n">
        <v>0.0175</v>
      </c>
      <c r="AS21" s="218" t="n">
        <v>0.0175</v>
      </c>
      <c r="AT21" s="218" t="n">
        <v>0.0175</v>
      </c>
      <c r="AU21" s="218" t="n">
        <v>0.0175</v>
      </c>
      <c r="AV21" s="218" t="n">
        <v>0.0175</v>
      </c>
      <c r="AW21" s="218" t="n">
        <v>0.0175</v>
      </c>
      <c r="AX21" s="218" t="n">
        <v>0.0175</v>
      </c>
      <c r="AY21" s="218" t="n">
        <v>0.0175</v>
      </c>
      <c r="AZ21" s="218" t="n">
        <v>0.0175</v>
      </c>
      <c r="BA21" s="218" t="n">
        <v>0.0175</v>
      </c>
      <c r="BB21" s="146" t="n">
        <v>0.015</v>
      </c>
      <c r="BC21" s="146" t="n">
        <v>0.015</v>
      </c>
      <c r="BD21" s="146" t="n">
        <v>0.015</v>
      </c>
      <c r="BE21" s="146" t="n">
        <v>0.015</v>
      </c>
      <c r="BF21" s="146" t="n">
        <v>0.015</v>
      </c>
      <c r="BG21" s="146" t="n">
        <v>0.015</v>
      </c>
      <c r="BH21" s="146" t="n">
        <v>0.015</v>
      </c>
      <c r="BI21" s="146" t="n">
        <v>0.015</v>
      </c>
      <c r="BJ21" s="146" t="n">
        <v>0.015</v>
      </c>
      <c r="BK21" s="146" t="n">
        <v>0.015</v>
      </c>
      <c r="BL21" s="146" t="n">
        <v>0.015</v>
      </c>
      <c r="BM21" s="146" t="n">
        <v>0.015</v>
      </c>
      <c r="BN21" s="149">
        <f>AVERAGE(F21:Q21)</f>
        <v>0.02</v>
      </c>
      <c r="BO21" s="146">
        <f>AVERAGE(R21:AC21)</f>
        <v>0.02</v>
      </c>
      <c r="BP21" s="146">
        <f>AVERAGE(AD21:AO21)</f>
        <v>0.0175</v>
      </c>
      <c r="BQ21" s="146">
        <f>AVERAGE(AP21:BA21)</f>
        <v>0.0175</v>
      </c>
      <c r="BR21" s="146">
        <f>AVERAGE(BB21:BM21)</f>
        <v>0.015</v>
      </c>
    </row>
    <row r="23">
      <c r="C23" s="232" t="inlineStr">
        <is>
          <t>■ ストック計算（契約社数＝前月契約社数＋当月新規受注－当月解約）</t>
        </is>
      </c>
    </row>
    <row r="24" s="159">
      <c r="A24" s="220" t="n"/>
      <c r="B24" s="220" t="n"/>
      <c r="C24" s="120" t="inlineStr">
        <is>
          <t>新規受注数（当月）</t>
        </is>
      </c>
      <c r="D24" s="120" t="inlineStr">
        <is>
          <t>＝当月の累計獲得数(11行)－前月の累計獲得数。税理士獲得ロジック(×35等)は別途検討中のため、既存ファネルを流用</t>
        </is>
      </c>
      <c r="E24" s="120" t="n"/>
      <c r="F24" s="233">
        <f>F11</f>
        <v>0.0</v>
      </c>
      <c r="G24" s="233">
        <f>G11-F11</f>
        <v>2.52</v>
      </c>
      <c r="H24" s="233">
        <f>H11-G11</f>
        <v>11.34</v>
      </c>
      <c r="I24" s="233">
        <f>I11-H11</f>
        <v>11.34</v>
      </c>
      <c r="J24" s="233">
        <f>J11-I11</f>
        <v>10.08</v>
      </c>
      <c r="K24" s="233">
        <f>K11-J11</f>
        <v>12.6</v>
      </c>
      <c r="L24" s="233">
        <f>L11-K11</f>
        <v>12.6</v>
      </c>
      <c r="M24" s="233">
        <f>M11-L11</f>
        <v>12.6</v>
      </c>
      <c r="N24" s="233">
        <f>N11-M11</f>
        <v>15.12</v>
      </c>
      <c r="O24" s="233">
        <f>O11-N11</f>
        <v>13.86</v>
      </c>
      <c r="P24" s="233">
        <f>P11-O11</f>
        <v>13.86</v>
      </c>
      <c r="Q24" s="233">
        <f>Q11-P11</f>
        <v>16.38</v>
      </c>
      <c r="R24" s="234">
        <f>R11-Q11</f>
        <v>15.12</v>
      </c>
      <c r="S24" s="233">
        <f>S11-R11</f>
        <v>15.12</v>
      </c>
      <c r="T24" s="233">
        <f>T11-S11</f>
        <v>17.64</v>
      </c>
      <c r="U24" s="233">
        <f>U11-T11</f>
        <v>16.38</v>
      </c>
      <c r="V24" s="233">
        <f>V11-U11</f>
        <v>16.38</v>
      </c>
      <c r="W24" s="233">
        <f>W11-V11</f>
        <v>18.9</v>
      </c>
      <c r="X24" s="233">
        <f>X11-W11</f>
        <v>17.64</v>
      </c>
      <c r="Y24" s="233">
        <f>Y11-X11</f>
        <v>17.64</v>
      </c>
      <c r="Z24" s="233">
        <f>Z11-Y11</f>
        <v>20.16</v>
      </c>
      <c r="AA24" s="233">
        <f>AA11-Z11</f>
        <v>18.9</v>
      </c>
      <c r="AB24" s="233">
        <f>AB11-AA11</f>
        <v>18.9</v>
      </c>
      <c r="AC24" s="233">
        <f>AC11-AB11</f>
        <v>20.16</v>
      </c>
      <c r="AD24" s="233">
        <f>AD11-AC11</f>
        <v>22.68</v>
      </c>
      <c r="AE24" s="233">
        <f>AE11-AD11</f>
        <v>21.42</v>
      </c>
      <c r="AF24" s="233">
        <f>AF11-AE11</f>
        <v>23.94</v>
      </c>
      <c r="AG24" s="233">
        <f>AG11-AF11</f>
        <v>22.68</v>
      </c>
      <c r="AH24" s="233">
        <f>AH11-AG11</f>
        <v>23.94</v>
      </c>
      <c r="AI24" s="233">
        <f>AI11-AH11</f>
        <v>23.94</v>
      </c>
      <c r="AJ24" s="233">
        <f>AJ11-AI11</f>
        <v>25.2</v>
      </c>
      <c r="AK24" s="233">
        <f>AK11-AJ11</f>
        <v>23.9399999999999</v>
      </c>
      <c r="AL24" s="233">
        <f>AL11-AK11</f>
        <v>26.46</v>
      </c>
      <c r="AM24" s="233">
        <f>AM11-AL11</f>
        <v>25.2</v>
      </c>
      <c r="AN24" s="233">
        <f>AN11-AM11</f>
        <v>25.1999999999999</v>
      </c>
      <c r="AO24" s="233">
        <f>AO11-AN11</f>
        <v>27.72</v>
      </c>
      <c r="AP24" s="233">
        <f>AP11-AO11</f>
        <v>26.46</v>
      </c>
      <c r="AQ24" s="233">
        <f>AQ11-AP11</f>
        <v>26.4599999999999</v>
      </c>
      <c r="AR24" s="233">
        <f>AR11-AQ11</f>
        <v>27.72</v>
      </c>
      <c r="AS24" s="233">
        <f>AS11-AR11</f>
        <v>27.72</v>
      </c>
      <c r="AT24" s="233">
        <f>AT11-AS11</f>
        <v>27.7199999999999</v>
      </c>
      <c r="AU24" s="233">
        <f>AU11-AT11</f>
        <v>28.9800000000001</v>
      </c>
      <c r="AV24" s="233">
        <f>AV11-AU11</f>
        <v>28.98</v>
      </c>
      <c r="AW24" s="233">
        <f>AW11-AV11</f>
        <v>28.9799999999999</v>
      </c>
      <c r="AX24" s="233">
        <f>AX11-AW11</f>
        <v>30.2400000000001</v>
      </c>
      <c r="AY24" s="233">
        <f>AY11-AX11</f>
        <v>28.9799999999999</v>
      </c>
      <c r="AZ24" s="233">
        <f>AZ11-AY11</f>
        <v>30.2399999999999</v>
      </c>
      <c r="BA24" s="233">
        <f>BA11-AZ11</f>
        <v>30.2400000000001</v>
      </c>
      <c r="BB24" s="233">
        <f>BB11-BA11</f>
        <v>36.54</v>
      </c>
      <c r="BC24" s="233">
        <f>BC11-BB11</f>
        <v>35.28</v>
      </c>
      <c r="BD24" s="233">
        <f>BD11-BC11</f>
        <v>36.54</v>
      </c>
      <c r="BE24" s="233">
        <f>BE11-BD11</f>
        <v>36.54</v>
      </c>
      <c r="BF24" s="233">
        <f>BF11-BE11</f>
        <v>36.54</v>
      </c>
      <c r="BG24" s="233">
        <f>BG11-BF11</f>
        <v>39.0600000000002</v>
      </c>
      <c r="BH24" s="233">
        <f>BH11-BG11</f>
        <v>37.7999999999997</v>
      </c>
      <c r="BI24" s="233">
        <f>BI11-BH11</f>
        <v>37.8000000000002</v>
      </c>
      <c r="BJ24" s="233">
        <f>BJ11-BI11</f>
        <v>39.0600000000002</v>
      </c>
      <c r="BK24" s="233">
        <f>BK11-BJ11</f>
        <v>39.0599999999999</v>
      </c>
      <c r="BL24" s="233">
        <f>BL11-BK11</f>
        <v>39.0599999999999</v>
      </c>
      <c r="BM24" s="233">
        <f>BM11-BL11</f>
        <v>40.3199999999999</v>
      </c>
      <c r="BN24" s="235">
        <f>SUM(F24:Q24)</f>
        <v>132.3</v>
      </c>
      <c r="BO24" s="233">
        <f>SUM(R24:AC24)</f>
        <v>212.94</v>
      </c>
      <c r="BP24" s="233">
        <f>SUM(AD24:AO24)</f>
        <v>292.32</v>
      </c>
      <c r="BQ24" s="233">
        <f>SUM(AP24:BA24)</f>
        <v>342.72</v>
      </c>
      <c r="BR24" s="233">
        <f>SUM(BB24:BM24)</f>
        <v>453.6</v>
      </c>
    </row>
    <row r="25" s="159">
      <c r="A25" s="220" t="n"/>
      <c r="B25" s="220" t="n"/>
      <c r="C25" s="120" t="inlineStr">
        <is>
          <t>期末契約社数（ストック）</t>
        </is>
      </c>
      <c r="D25" s="120" t="inlineStr">
        <is>
          <t>＝前月末契約社数＋新規受注数－解約予想数。売上＝本行×単価</t>
        </is>
      </c>
      <c r="E25" s="120" t="n"/>
      <c r="F25" s="233">
        <f>F24-F20</f>
        <v>0.0</v>
      </c>
      <c r="G25" s="233">
        <f>F25+G24-G20</f>
        <v>2.52</v>
      </c>
      <c r="H25" s="233">
        <f>G25+H24-H20</f>
        <v>13.8096</v>
      </c>
      <c r="I25" s="233">
        <f>H25+I24-I20</f>
        <v>24.873408</v>
      </c>
      <c r="J25" s="233">
        <f>I25+J24-J20</f>
        <v>34.45593984</v>
      </c>
      <c r="K25" s="233">
        <f>J25+K24-K20</f>
        <v>46.3668210432</v>
      </c>
      <c r="L25" s="233">
        <f>K25+L24-L20</f>
        <v>58.039484622336</v>
      </c>
      <c r="M25" s="233">
        <f>L25+M24-M20</f>
        <v>69.4786949298893</v>
      </c>
      <c r="N25" s="233">
        <f>M25+N24-N20</f>
        <v>83.2091210312915</v>
      </c>
      <c r="O25" s="233">
        <f>N25+O24-O20</f>
        <v>95.4049386106656</v>
      </c>
      <c r="P25" s="233">
        <f>O25+P24-P20</f>
        <v>107.356839838452</v>
      </c>
      <c r="Q25" s="233">
        <f>P25+Q24-Q20</f>
        <v>121.589703041683</v>
      </c>
      <c r="R25" s="234">
        <f>Q25+R24-R20</f>
        <v>134.27790898085</v>
      </c>
      <c r="S25" s="233">
        <f>R25+S24-S20</f>
        <v>146.712350801233</v>
      </c>
      <c r="T25" s="233">
        <f>S25+T24-T20</f>
        <v>161.418103785208</v>
      </c>
      <c r="U25" s="233">
        <f>T25+U24-U20</f>
        <v>174.569741709504</v>
      </c>
      <c r="V25" s="233">
        <f>U25+V24-V20</f>
        <v>187.458346875314</v>
      </c>
      <c r="W25" s="233">
        <f>V25+W24-W20</f>
        <v>202.609179937807</v>
      </c>
      <c r="X25" s="233">
        <f>W25+X24-X20</f>
        <v>216.196996339051</v>
      </c>
      <c r="Y25" s="233">
        <f>X25+Y24-Y20</f>
        <v>229.51305641227</v>
      </c>
      <c r="Z25" s="233">
        <f>Y25+Z24-Z20</f>
        <v>245.082795284025</v>
      </c>
      <c r="AA25" s="233">
        <f>Z25+AA24-AA20</f>
        <v>259.081139378344</v>
      </c>
      <c r="AB25" s="233">
        <f>AA25+AB24-AB20</f>
        <v>272.799516590777</v>
      </c>
      <c r="AC25" s="233">
        <f>AB25+AC24-AC20</f>
        <v>287.503526258962</v>
      </c>
      <c r="AD25" s="233">
        <f>AC25+AD24-AD20</f>
        <v>305.15221454943</v>
      </c>
      <c r="AE25" s="233">
        <f>AD25+AE24-AE20</f>
        <v>321.232050794815</v>
      </c>
      <c r="AF25" s="233">
        <f>AE25+AF24-AF20</f>
        <v>339.550489905906</v>
      </c>
      <c r="AG25" s="233">
        <f>AF25+AG24-AG20</f>
        <v>356.288356332552</v>
      </c>
      <c r="AH25" s="233">
        <f>AG25+AH24-AH20</f>
        <v>373.993310096733</v>
      </c>
      <c r="AI25" s="233">
        <f>AH25+AI24-AI20</f>
        <v>391.38842717004</v>
      </c>
      <c r="AJ25" s="233">
        <f>AI25+AJ24-AJ20</f>
        <v>409.739129694564</v>
      </c>
      <c r="AK25" s="233">
        <f>AJ25+AK24-AK20</f>
        <v>426.508694924909</v>
      </c>
      <c r="AL25" s="233">
        <f>AK25+AL24-AL20</f>
        <v>445.504792763723</v>
      </c>
      <c r="AM25" s="233">
        <f>AL25+AM24-AM20</f>
        <v>462.908458890358</v>
      </c>
      <c r="AN25" s="233">
        <f>AM25+AN24-AN20</f>
        <v>480.007560859777</v>
      </c>
      <c r="AO25" s="233">
        <f>AN25+AO24-AO20</f>
        <v>499.327428544731</v>
      </c>
      <c r="AP25" s="233">
        <f>AO25+AP24-AP20</f>
        <v>517.049198545198</v>
      </c>
      <c r="AQ25" s="233">
        <f>AP25+AQ24-AQ20</f>
        <v>534.460837570657</v>
      </c>
      <c r="AR25" s="233">
        <f>AQ25+AR24-AR20</f>
        <v>552.827772913171</v>
      </c>
      <c r="AS25" s="233">
        <f>AR25+AS24-AS20</f>
        <v>570.87328688719</v>
      </c>
      <c r="AT25" s="233">
        <f>AS25+AT24-AT20</f>
        <v>588.603004366664</v>
      </c>
      <c r="AU25" s="233">
        <f>AT25+AU24-AU20</f>
        <v>607.282451790248</v>
      </c>
      <c r="AV25" s="233">
        <f>AU25+AV24-AV20</f>
        <v>625.635008883918</v>
      </c>
      <c r="AW25" s="233">
        <f>AV25+AW24-AW20</f>
        <v>643.66639622845</v>
      </c>
      <c r="AX25" s="233">
        <f>AW25+AX24-AX20</f>
        <v>662.642234294452</v>
      </c>
      <c r="AY25" s="233">
        <f>AX25+AY24-AY20</f>
        <v>680.025995194299</v>
      </c>
      <c r="AZ25" s="233">
        <f>AY25+AZ24-AZ20</f>
        <v>698.365540278399</v>
      </c>
      <c r="BA25" s="233">
        <f>AZ25+BA24-BA20</f>
        <v>716.384143323527</v>
      </c>
      <c r="BB25" s="233">
        <f>BA25+BB24-BB20</f>
        <v>742.178381173674</v>
      </c>
      <c r="BC25" s="233">
        <f>BB25+BC24-BC20</f>
        <v>766.325705456069</v>
      </c>
      <c r="BD25" s="233">
        <f>BC25+BD24-BD20</f>
        <v>791.370819874228</v>
      </c>
      <c r="BE25" s="233">
        <f>BD25+BE24-BE20</f>
        <v>816.040257576114</v>
      </c>
      <c r="BF25" s="233">
        <f>BE25+BF24-BF20</f>
        <v>840.339653712473</v>
      </c>
      <c r="BG25" s="233">
        <f>BF25+BG24-BG20</f>
        <v>866.794558906786</v>
      </c>
      <c r="BH25" s="233">
        <f>BG25+BH24-BH20</f>
        <v>891.592640523184</v>
      </c>
      <c r="BI25" s="233">
        <f>BH25+BI24-BI20</f>
        <v>916.018750915336</v>
      </c>
      <c r="BJ25" s="233">
        <f>BI25+BJ24-BJ20</f>
        <v>941.338469651606</v>
      </c>
      <c r="BK25" s="233">
        <f>BJ25+BK24-BK20</f>
        <v>966.278392606832</v>
      </c>
      <c r="BL25" s="233">
        <f>BK25+BL24-BL20</f>
        <v>990.844216717729</v>
      </c>
      <c r="BM25" s="233">
        <f>BL25+BM24-BM20</f>
        <v>1016.30155346696</v>
      </c>
      <c r="BN25" s="235">
        <f>Q25</f>
        <v>121.589703041683</v>
      </c>
      <c r="BO25" s="233">
        <f>AC25</f>
        <v>287.503526258962</v>
      </c>
      <c r="BP25" s="233">
        <f>AO25</f>
        <v>499.327428544731</v>
      </c>
      <c r="BQ25" s="233">
        <f>BA25</f>
        <v>716.384143323527</v>
      </c>
      <c r="BR25" s="233">
        <f>BM25</f>
        <v>1016.30155346696</v>
      </c>
    </row>
  </sheetData>
  <mergeCells count="1">
    <mergeCell ref="C5:E5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Ryoma Leo Sato</dc:creator>
  <dcterms:created xmlns:dcterms="http://purl.org/dc/terms/" xmlns:xsi="http://www.w3.org/2001/XMLSchema-instance" xsi:type="dcterms:W3CDTF">2026-09-13T10:39:56Z</dcterms:created>
  <dcterms:modified xmlns:dcterms="http://purl.org/dc/terms/" xmlns:xsi="http://www.w3.org/2001/XMLSchema-instance" xsi:type="dcterms:W3CDTF">2026-09-30T07:34:45Z</dcterms:modified>
  <cp:lastModifiedBy>佐藤 龍馬</cp:lastModifiedBy>
</cp:coreProperties>
</file>