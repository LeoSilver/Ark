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80" windowWidth="28800" windowHeight="18060" tabRatio="600" firstSheet="0" activeTab="4" autoFilterDateGrouping="1"/>
  </bookViews>
  <sheets>
    <sheet xmlns:r="http://schemas.openxmlformats.org/officeDocument/2006/relationships" name="ビジとり" sheetId="1" state="visible" r:id="rId1"/>
    <sheet xmlns:r="http://schemas.openxmlformats.org/officeDocument/2006/relationships" name="支払い.com" sheetId="2" state="visible" r:id="rId2"/>
    <sheet xmlns:r="http://schemas.openxmlformats.org/officeDocument/2006/relationships" name="PB" sheetId="3" state="visible" r:id="rId3"/>
    <sheet xmlns:r="http://schemas.openxmlformats.org/officeDocument/2006/relationships" name="電力コスト削減" sheetId="4" state="visible" r:id="rId4"/>
    <sheet xmlns:r="http://schemas.openxmlformats.org/officeDocument/2006/relationships" name=" 売掛保証（保証型ファクタリング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#,##0_);[Red]\(#,##0\)"/>
    <numFmt numFmtId="165" formatCode="0.0%"/>
    <numFmt numFmtId="166" formatCode="#,##0&quot;円&quot;;\(#,##0\);\-"/>
    <numFmt numFmtId="167" formatCode="[$¥-411]#,##0;[$¥-411]#,##0"/>
    <numFmt numFmtId="168" formatCode="#,##0.0;[Red]\-#,##0.0"/>
    <numFmt numFmtId="169" formatCode="&quot;¥&quot;#,##0_);[Red]\(&quot;¥&quot;#,##0\)"/>
    <numFmt numFmtId="170" formatCode="[$¥-411]#,##0.00;[$¥-411]#,##0.00"/>
    <numFmt numFmtId="171" formatCode="[$¥-411]#,##0;\-[$¥-411]#,##0"/>
    <numFmt numFmtId="172" formatCode="&quot;¥&quot;#,##0;[Red]&quot;¥&quot;\-#,##0"/>
  </numFmts>
  <fonts count="32">
    <font>
      <name val="游ゴシック"/>
      <charset val="128"/>
      <family val="2"/>
      <color theme="1"/>
      <sz val="12"/>
      <scheme val="minor"/>
    </font>
    <font>
      <name val="游ゴシック"/>
      <charset val="128"/>
      <family val="2"/>
      <color theme="1"/>
      <sz val="12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rgb="FF000000"/>
      <sz val="12"/>
      <scheme val="minor"/>
    </font>
    <font>
      <name val="游ゴシック"/>
      <charset val="128"/>
      <family val="3"/>
      <b val="1"/>
      <color rgb="FF000000"/>
      <sz val="11"/>
      <scheme val="minor"/>
    </font>
    <font>
      <name val="游ゴシック"/>
      <charset val="128"/>
      <family val="3"/>
      <color rgb="FF000000"/>
      <sz val="11"/>
      <scheme val="minor"/>
    </font>
    <font>
      <name val="游ゴシック"/>
      <charset val="128"/>
      <family val="3"/>
      <color theme="1" tint="0.249977111117893"/>
      <sz val="10"/>
      <scheme val="minor"/>
    </font>
    <font>
      <name val="游ゴシック"/>
      <charset val="128"/>
      <family val="3"/>
      <i val="1"/>
      <color theme="1"/>
      <sz val="9"/>
      <scheme val="minor"/>
    </font>
    <font>
      <name val="游ゴシック"/>
      <charset val="128"/>
      <family val="3"/>
      <color theme="1"/>
      <sz val="10"/>
      <scheme val="minor"/>
    </font>
    <font>
      <name val="游ゴシック"/>
      <charset val="128"/>
      <family val="3"/>
      <b val="1"/>
      <color theme="1"/>
      <sz val="10"/>
      <scheme val="minor"/>
    </font>
    <font>
      <name val="游ゴシック"/>
      <charset val="128"/>
      <family val="3"/>
      <color rgb="FF000000"/>
      <sz val="10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color theme="1"/>
      <sz val="12"/>
      <scheme val="minor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3"/>
      <i val="1"/>
      <color rgb="FF000000"/>
      <sz val="9"/>
      <scheme val="minor"/>
    </font>
    <font>
      <name val="游ゴシック"/>
      <charset val="128"/>
      <family val="2"/>
      <color theme="10"/>
      <sz val="12"/>
      <u val="single"/>
      <scheme val="minor"/>
    </font>
    <font>
      <name val="游ゴシック"/>
      <charset val="128"/>
      <family val="3"/>
      <i val="1"/>
      <color theme="1"/>
      <sz val="11"/>
      <scheme val="minor"/>
    </font>
    <font>
      <name val="游ゴシック"/>
      <charset val="128"/>
      <family val="3"/>
      <color theme="1"/>
      <sz val="11"/>
      <u val="single"/>
      <scheme val="minor"/>
    </font>
    <font>
      <name val="游ゴシック Regular"/>
      <charset val="128"/>
      <color theme="1"/>
      <sz val="10"/>
    </font>
    <font>
      <name val="游ゴシック Regular"/>
      <charset val="128"/>
      <i val="1"/>
      <color theme="1"/>
      <sz val="9"/>
    </font>
    <font>
      <name val="游ゴシック Regular"/>
      <charset val="128"/>
      <b val="1"/>
      <color theme="1"/>
      <sz val="10"/>
    </font>
    <font>
      <name val="游ゴシック Regular"/>
      <charset val="128"/>
      <color theme="1"/>
      <sz val="11"/>
    </font>
    <font>
      <name val="BIZ UDPゴシック"/>
      <charset val="128"/>
      <family val="3"/>
      <color theme="1"/>
      <sz val="10"/>
    </font>
    <font>
      <name val="游ゴシック"/>
      <charset val="128"/>
      <family val="3"/>
      <b val="1"/>
      <color theme="1"/>
      <sz val="12"/>
      <scheme val="minor"/>
    </font>
    <font>
      <name val="游ゴシック Regular"/>
      <charset val="128"/>
      <color theme="1"/>
      <sz val="12"/>
    </font>
    <font>
      <name val="游ゴシック Regular"/>
      <charset val="128"/>
      <color rgb="FFC00000"/>
      <sz val="10"/>
    </font>
    <font>
      <name val="游ゴシック"/>
      <charset val="128"/>
      <family val="2"/>
      <sz val="6"/>
    </font>
    <font>
      <name val="游ゴシック Regular"/>
      <charset val="128"/>
      <color rgb="FF000000"/>
      <sz val="10"/>
    </font>
    <font>
      <name val="游ゴシック Regular"/>
      <charset val="128"/>
      <b val="1"/>
      <color theme="1"/>
      <sz val="12"/>
    </font>
    <font>
      <name val="游ゴシック Regular"/>
      <charset val="128"/>
      <i val="1"/>
      <color theme="1"/>
      <sz val="12"/>
    </font>
    <font>
      <name val="游ゴシック Regular"/>
      <charset val="128"/>
      <color rgb="FF000000"/>
      <sz val="12"/>
    </font>
    <font>
      <name val="游ゴシック"/>
      <charset val="128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2"/>
        <bgColor rgb="FFDCEAF7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8992889187292"/>
        <bgColor rgb="FFE8E8E8"/>
      </patternFill>
    </fill>
  </fills>
  <borders count="5">
    <border>
      <left/>
      <right/>
      <top/>
      <bottom/>
      <diagonal/>
    </border>
    <border>
      <left/>
      <right style="thin">
        <color rgb="FFD0CECE"/>
      </right>
      <top style="thin">
        <color rgb="FFD0CECE"/>
      </top>
      <bottom style="thin">
        <color rgb="FFD0CECE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 applyAlignment="1">
      <alignment vertical="center"/>
    </xf>
    <xf numFmtId="38" fontId="1" fillId="0" borderId="0" applyAlignment="1">
      <alignment vertical="center"/>
    </xf>
    <xf numFmtId="6" fontId="1" fillId="0" borderId="0" applyAlignment="1">
      <alignment vertical="center"/>
    </xf>
    <xf numFmtId="0" fontId="15" fillId="0" borderId="0" applyAlignment="1">
      <alignment vertical="center"/>
    </xf>
    <xf numFmtId="164" fontId="31" fillId="0" borderId="0" applyAlignment="1">
      <alignment vertical="center"/>
    </xf>
  </cellStyleXfs>
  <cellXfs count="219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4" fillId="0" borderId="2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0" fontId="6" fillId="2" borderId="0" pivotButton="0" quotePrefix="0" xfId="0"/>
    <xf numFmtId="0" fontId="7" fillId="2" borderId="0" applyAlignment="1" pivotButton="0" quotePrefix="0" xfId="0">
      <alignment horizontal="left" vertical="center"/>
    </xf>
    <xf numFmtId="38" fontId="8" fillId="2" borderId="0" applyAlignment="1" pivotButton="0" quotePrefix="0" xfId="1">
      <alignment vertical="center"/>
    </xf>
    <xf numFmtId="0" fontId="8" fillId="0" borderId="0" applyAlignment="1" pivotButton="0" quotePrefix="0" xfId="0">
      <alignment vertical="center"/>
    </xf>
    <xf numFmtId="38" fontId="8" fillId="2" borderId="3" applyAlignment="1" pivotButton="0" quotePrefix="0" xfId="1">
      <alignment vertical="center"/>
    </xf>
    <xf numFmtId="38" fontId="8" fillId="2" borderId="0" applyAlignment="1" pivotButton="0" quotePrefix="0" xfId="1">
      <alignment vertical="center"/>
    </xf>
    <xf numFmtId="0" fontId="9" fillId="3" borderId="0" pivotButton="0" quotePrefix="0" xfId="0"/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3" borderId="0" pivotButton="0" quotePrefix="0" xfId="0"/>
    <xf numFmtId="165" fontId="8" fillId="0" borderId="0" pivotButton="0" quotePrefix="0" xfId="0"/>
    <xf numFmtId="165" fontId="8" fillId="3" borderId="0" pivotButton="0" quotePrefix="0" xfId="0"/>
    <xf numFmtId="0" fontId="9" fillId="0" borderId="0" pivotButton="0" quotePrefix="0" xfId="0"/>
    <xf numFmtId="38" fontId="8" fillId="0" borderId="0" pivotButton="0" quotePrefix="0" xfId="1"/>
    <xf numFmtId="166" fontId="8" fillId="0" borderId="0" pivotButton="0" quotePrefix="0" xfId="0"/>
    <xf numFmtId="38" fontId="10" fillId="0" borderId="0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11" fillId="0" borderId="2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38" fontId="8" fillId="0" borderId="0" applyAlignment="1" pivotButton="0" quotePrefix="0" xfId="1">
      <alignment vertical="center"/>
    </xf>
    <xf numFmtId="38" fontId="8" fillId="0" borderId="4" applyAlignment="1" pivotButton="0" quotePrefix="0" xfId="1">
      <alignment vertical="center"/>
    </xf>
    <xf numFmtId="38" fontId="8" fillId="0" borderId="0" applyAlignment="1" pivotButton="0" quotePrefix="0" xfId="1">
      <alignment vertical="center"/>
    </xf>
    <xf numFmtId="164" fontId="13" fillId="0" borderId="2" applyAlignment="1" pivotButton="0" quotePrefix="0" xfId="0">
      <alignment vertical="center"/>
    </xf>
    <xf numFmtId="1" fontId="8" fillId="0" borderId="0" applyAlignment="1" pivotButton="0" quotePrefix="0" xfId="0">
      <alignment vertical="center"/>
    </xf>
    <xf numFmtId="9" fontId="8" fillId="0" borderId="0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9" fontId="8" fillId="0" borderId="4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/>
    </xf>
    <xf numFmtId="164" fontId="5" fillId="0" borderId="1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5" fontId="8" fillId="0" borderId="3" pivotButton="0" quotePrefix="0" xfId="0"/>
    <xf numFmtId="165" fontId="8" fillId="3" borderId="3" pivotButton="0" quotePrefix="0" xfId="0"/>
    <xf numFmtId="38" fontId="8" fillId="0" borderId="3" pivotButton="0" quotePrefix="0" xfId="1"/>
    <xf numFmtId="166" fontId="8" fillId="0" borderId="3" pivotButton="0" quotePrefix="0" xfId="0"/>
    <xf numFmtId="38" fontId="10" fillId="0" borderId="3" applyAlignment="1" pivotButton="0" quotePrefix="0" xfId="0">
      <alignment vertical="center"/>
    </xf>
    <xf numFmtId="38" fontId="8" fillId="0" borderId="3" applyAlignment="1" pivotButton="0" quotePrefix="0" xfId="1">
      <alignment vertical="center"/>
    </xf>
    <xf numFmtId="167" fontId="8" fillId="2" borderId="0" applyAlignment="1" pivotButton="0" quotePrefix="0" xfId="1">
      <alignment vertical="center"/>
    </xf>
    <xf numFmtId="167" fontId="8" fillId="2" borderId="4" applyAlignment="1" pivotButton="0" quotePrefix="0" xfId="1">
      <alignment vertical="center"/>
    </xf>
    <xf numFmtId="0" fontId="11" fillId="3" borderId="0" pivotButton="0" quotePrefix="0" xfId="0"/>
    <xf numFmtId="0" fontId="16" fillId="3" borderId="0" applyAlignment="1" pivotButton="0" quotePrefix="0" xfId="0">
      <alignment horizontal="left" vertical="center"/>
    </xf>
    <xf numFmtId="0" fontId="11" fillId="3" borderId="4" pivotButton="0" quotePrefix="0" xfId="0"/>
    <xf numFmtId="0" fontId="11" fillId="0" borderId="0" pivotButton="0" quotePrefix="0" xfId="0"/>
    <xf numFmtId="0" fontId="16" fillId="0" borderId="0" applyAlignment="1" pivotButton="0" quotePrefix="0" xfId="0">
      <alignment horizontal="left" vertical="center"/>
    </xf>
    <xf numFmtId="165" fontId="11" fillId="0" borderId="0" pivotButton="0" quotePrefix="0" xfId="0"/>
    <xf numFmtId="165" fontId="11" fillId="0" borderId="4" pivotButton="0" quotePrefix="0" xfId="0"/>
    <xf numFmtId="0" fontId="16" fillId="0" borderId="0" applyAlignment="1" pivotButton="0" quotePrefix="0" xfId="0">
      <alignment horizontal="left"/>
    </xf>
    <xf numFmtId="0" fontId="13" fillId="3" borderId="0" pivotButton="0" quotePrefix="0" xfId="0"/>
    <xf numFmtId="165" fontId="11" fillId="3" borderId="0" pivotButton="0" quotePrefix="0" xfId="0"/>
    <xf numFmtId="165" fontId="11" fillId="3" borderId="4" pivotButton="0" quotePrefix="0" xfId="0"/>
    <xf numFmtId="168" fontId="11" fillId="0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38" fontId="11" fillId="0" borderId="0" applyAlignment="1" pivotButton="0" quotePrefix="0" xfId="1">
      <alignment vertical="center"/>
    </xf>
    <xf numFmtId="38" fontId="11" fillId="0" borderId="4" applyAlignment="1" pivotButton="0" quotePrefix="0" xfId="1">
      <alignment vertical="center"/>
    </xf>
    <xf numFmtId="0" fontId="17" fillId="0" borderId="0" applyAlignment="1" pivotButton="0" quotePrefix="0" xfId="3">
      <alignment horizontal="left" vertical="center"/>
    </xf>
    <xf numFmtId="10" fontId="11" fillId="0" borderId="0" applyAlignment="1" pivotButton="0" quotePrefix="0" xfId="0">
      <alignment vertical="center"/>
    </xf>
    <xf numFmtId="10" fontId="11" fillId="0" borderId="4" applyAlignment="1" pivotButton="0" quotePrefix="0" xfId="0">
      <alignment vertical="center"/>
    </xf>
    <xf numFmtId="1" fontId="8" fillId="0" borderId="4" applyAlignment="1" pivotButton="0" quotePrefix="0" xfId="0">
      <alignment vertical="center"/>
    </xf>
    <xf numFmtId="0" fontId="18" fillId="2" borderId="0" pivotButton="0" quotePrefix="0" xfId="0"/>
    <xf numFmtId="0" fontId="19" fillId="2" borderId="0" applyAlignment="1" pivotButton="0" quotePrefix="0" xfId="0">
      <alignment horizontal="left" vertical="center"/>
    </xf>
    <xf numFmtId="167" fontId="18" fillId="2" borderId="0" applyAlignment="1" pivotButton="0" quotePrefix="0" xfId="1">
      <alignment vertical="center"/>
    </xf>
    <xf numFmtId="167" fontId="18" fillId="2" borderId="3" applyAlignment="1" pivotButton="0" quotePrefix="0" xfId="1">
      <alignment vertical="center"/>
    </xf>
    <xf numFmtId="0" fontId="20" fillId="0" borderId="0" pivotButton="0" quotePrefix="0" xfId="0"/>
    <xf numFmtId="0" fontId="19" fillId="0" borderId="0" applyAlignment="1" pivotButton="0" quotePrefix="0" xfId="0">
      <alignment horizontal="left" vertical="center"/>
    </xf>
    <xf numFmtId="0" fontId="21" fillId="3" borderId="0" pivotButton="0" quotePrefix="0" xfId="0"/>
    <xf numFmtId="0" fontId="21" fillId="3" borderId="3" pivotButton="0" quotePrefix="0" xfId="0"/>
    <xf numFmtId="0" fontId="18" fillId="0" borderId="0" pivotButton="0" quotePrefix="0" xfId="0"/>
    <xf numFmtId="165" fontId="18" fillId="0" borderId="0" pivotButton="0" quotePrefix="0" xfId="0"/>
    <xf numFmtId="165" fontId="18" fillId="0" borderId="3" pivotButton="0" quotePrefix="0" xfId="0"/>
    <xf numFmtId="165" fontId="18" fillId="3" borderId="0" pivotButton="0" quotePrefix="0" xfId="0"/>
    <xf numFmtId="165" fontId="18" fillId="3" borderId="3" pivotButton="0" quotePrefix="0" xfId="0"/>
    <xf numFmtId="168" fontId="18" fillId="0" borderId="0" pivotButton="0" quotePrefix="0" xfId="1"/>
    <xf numFmtId="168" fontId="18" fillId="0" borderId="3" pivotButton="0" quotePrefix="0" xfId="1"/>
    <xf numFmtId="0" fontId="18" fillId="0" borderId="0" applyAlignment="1" pivotButton="0" quotePrefix="0" xfId="0">
      <alignment vertical="center"/>
    </xf>
    <xf numFmtId="9" fontId="8" fillId="0" borderId="3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3" borderId="3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0" fillId="0" borderId="3" applyAlignment="1" pivotButton="0" quotePrefix="0" xfId="0">
      <alignment vertical="center"/>
    </xf>
    <xf numFmtId="1" fontId="8" fillId="0" borderId="3" applyAlignment="1" pivotButton="0" quotePrefix="0" xfId="0">
      <alignment vertical="center"/>
    </xf>
    <xf numFmtId="167" fontId="24" fillId="2" borderId="0" applyAlignment="1" pivotButton="0" quotePrefix="0" xfId="0">
      <alignment vertical="center"/>
    </xf>
    <xf numFmtId="167" fontId="24" fillId="2" borderId="3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7" fontId="18" fillId="2" borderId="0" applyAlignment="1" pivotButton="0" quotePrefix="0" xfId="1">
      <alignment vertical="center"/>
    </xf>
    <xf numFmtId="169" fontId="0" fillId="3" borderId="0" applyAlignment="1" pivotButton="0" quotePrefix="0" xfId="1">
      <alignment vertical="center"/>
    </xf>
    <xf numFmtId="169" fontId="0" fillId="3" borderId="3" applyAlignment="1" pivotButton="0" quotePrefix="0" xfId="1">
      <alignment vertical="center"/>
    </xf>
    <xf numFmtId="167" fontId="0" fillId="3" borderId="0" applyAlignment="1" pivotButton="0" quotePrefix="0" xfId="1">
      <alignment vertical="center"/>
    </xf>
    <xf numFmtId="169" fontId="0" fillId="2" borderId="0" applyAlignment="1" pivotButton="0" quotePrefix="0" xfId="0">
      <alignment vertical="center"/>
    </xf>
    <xf numFmtId="169" fontId="0" fillId="5" borderId="3" applyAlignment="1" pivotButton="0" quotePrefix="0" xfId="0">
      <alignment vertical="center"/>
    </xf>
    <xf numFmtId="0" fontId="0" fillId="5" borderId="3" applyAlignment="1" pivotButton="0" quotePrefix="0" xfId="0">
      <alignment vertical="center"/>
    </xf>
    <xf numFmtId="167" fontId="0" fillId="5" borderId="3" applyAlignment="1" pivotButton="0" quotePrefix="0" xfId="0">
      <alignment vertical="center"/>
    </xf>
    <xf numFmtId="167" fontId="0" fillId="5" borderId="3" applyAlignment="1" pivotButton="0" quotePrefix="0" xfId="1">
      <alignment vertical="center"/>
    </xf>
    <xf numFmtId="38" fontId="10" fillId="5" borderId="3" applyAlignment="1" pivotButton="0" quotePrefix="0" xfId="0">
      <alignment vertical="center"/>
    </xf>
    <xf numFmtId="38" fontId="8" fillId="5" borderId="3" applyAlignment="1" pivotButton="0" quotePrefix="0" xfId="1">
      <alignment vertical="center"/>
    </xf>
    <xf numFmtId="9" fontId="8" fillId="5" borderId="3" applyAlignment="1" pivotButton="0" quotePrefix="0" xfId="0">
      <alignment vertical="center"/>
    </xf>
    <xf numFmtId="170" fontId="18" fillId="0" borderId="0" pivotButton="0" quotePrefix="0" xfId="1"/>
    <xf numFmtId="0" fontId="7" fillId="3" borderId="0" applyAlignment="1" pivotButton="0" quotePrefix="0" xfId="0">
      <alignment horizontal="left" vertical="center"/>
    </xf>
    <xf numFmtId="38" fontId="10" fillId="3" borderId="0" applyAlignment="1" pivotButton="0" quotePrefix="0" xfId="0">
      <alignment vertical="center"/>
    </xf>
    <xf numFmtId="38" fontId="10" fillId="3" borderId="4" applyAlignment="1" pivotButton="0" quotePrefix="0" xfId="0">
      <alignment vertical="center"/>
    </xf>
    <xf numFmtId="167" fontId="18" fillId="0" borderId="0" pivotButton="0" quotePrefix="0" xfId="1"/>
    <xf numFmtId="167" fontId="18" fillId="0" borderId="3" pivotButton="0" quotePrefix="0" xfId="1"/>
    <xf numFmtId="171" fontId="18" fillId="0" borderId="3" applyAlignment="1" pivotButton="0" quotePrefix="0" xfId="0">
      <alignment vertical="center"/>
    </xf>
    <xf numFmtId="171" fontId="18" fillId="0" borderId="0" applyAlignment="1" pivotButton="0" quotePrefix="0" xfId="0">
      <alignment vertical="center"/>
    </xf>
    <xf numFmtId="167" fontId="18" fillId="0" borderId="0" pivotButton="0" quotePrefix="0" xfId="1"/>
    <xf numFmtId="168" fontId="25" fillId="0" borderId="0" pivotButton="0" quotePrefix="0" xfId="1"/>
    <xf numFmtId="167" fontId="11" fillId="0" borderId="0" applyAlignment="1" pivotButton="0" quotePrefix="0" xfId="1">
      <alignment vertical="center"/>
    </xf>
    <xf numFmtId="167" fontId="11" fillId="0" borderId="4" applyAlignment="1" pivotButton="0" quotePrefix="0" xfId="1">
      <alignment vertical="center"/>
    </xf>
    <xf numFmtId="172" fontId="11" fillId="0" borderId="0" applyAlignment="1" pivotButton="0" quotePrefix="0" xfId="2">
      <alignment vertical="center"/>
    </xf>
    <xf numFmtId="172" fontId="11" fillId="0" borderId="4" applyAlignment="1" pivotButton="0" quotePrefix="0" xfId="2">
      <alignment vertical="center"/>
    </xf>
    <xf numFmtId="0" fontId="8" fillId="3" borderId="3" pivotButton="0" quotePrefix="0" xfId="0"/>
    <xf numFmtId="38" fontId="10" fillId="3" borderId="3" applyAlignment="1" pivotButton="0" quotePrefix="0" xfId="0">
      <alignment vertical="center"/>
    </xf>
    <xf numFmtId="38" fontId="10" fillId="6" borderId="0" applyAlignment="1" pivotButton="0" quotePrefix="0" xfId="0">
      <alignment vertical="center"/>
    </xf>
    <xf numFmtId="168" fontId="11" fillId="0" borderId="3" applyAlignment="1" pivotButton="0" quotePrefix="0" xfId="1">
      <alignment vertical="center"/>
    </xf>
    <xf numFmtId="0" fontId="24" fillId="0" borderId="0" applyAlignment="1" pivotButton="0" quotePrefix="0" xfId="0">
      <alignment vertical="center"/>
    </xf>
    <xf numFmtId="38" fontId="27" fillId="6" borderId="0" applyAlignment="1" pivotButton="0" quotePrefix="0" xfId="0">
      <alignment vertical="center"/>
    </xf>
    <xf numFmtId="38" fontId="18" fillId="2" borderId="0" applyAlignment="1" pivotButton="0" quotePrefix="0" xfId="1">
      <alignment vertical="center"/>
    </xf>
    <xf numFmtId="0" fontId="24" fillId="7" borderId="0" applyAlignment="1" pivotButton="0" quotePrefix="0" xfId="0">
      <alignment horizontal="left" vertical="center"/>
    </xf>
    <xf numFmtId="0" fontId="24" fillId="7" borderId="0" applyAlignment="1" pivotButton="0" quotePrefix="0" xfId="0">
      <alignment vertical="center"/>
    </xf>
    <xf numFmtId="167" fontId="24" fillId="7" borderId="0" applyAlignment="1" pivotButton="0" quotePrefix="0" xfId="0">
      <alignment vertical="center"/>
    </xf>
    <xf numFmtId="167" fontId="24" fillId="7" borderId="3" applyAlignment="1" pivotButton="0" quotePrefix="0" xfId="0">
      <alignment vertical="center"/>
    </xf>
    <xf numFmtId="167" fontId="24" fillId="8" borderId="3" pivotButton="0" quotePrefix="0" xfId="0"/>
    <xf numFmtId="167" fontId="24" fillId="2" borderId="0" pivotButton="0" quotePrefix="0" xfId="0"/>
    <xf numFmtId="0" fontId="24" fillId="9" borderId="0" applyAlignment="1" pivotButton="0" quotePrefix="0" xfId="0">
      <alignment vertical="center"/>
    </xf>
    <xf numFmtId="0" fontId="24" fillId="9" borderId="3" applyAlignment="1" pivotButton="0" quotePrefix="0" xfId="0">
      <alignment vertical="center"/>
    </xf>
    <xf numFmtId="0" fontId="24" fillId="8" borderId="3" applyAlignment="1" pivotButton="0" quotePrefix="0" xfId="0">
      <alignment vertical="center"/>
    </xf>
    <xf numFmtId="0" fontId="24" fillId="3" borderId="0" applyAlignment="1" pivotButton="0" quotePrefix="0" xfId="0">
      <alignment vertical="center"/>
    </xf>
    <xf numFmtId="0" fontId="24" fillId="0" borderId="3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28" fillId="0" borderId="0" pivotButton="0" quotePrefix="0" xfId="0"/>
    <xf numFmtId="0" fontId="29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vertical="center"/>
    </xf>
    <xf numFmtId="164" fontId="30" fillId="0" borderId="3" applyAlignment="1" pivotButton="0" quotePrefix="0" xfId="0">
      <alignment vertical="center"/>
    </xf>
    <xf numFmtId="164" fontId="30" fillId="8" borderId="3" applyAlignment="1" pivotButton="0" quotePrefix="0" xfId="0">
      <alignment vertical="center"/>
    </xf>
    <xf numFmtId="164" fontId="24" fillId="0" borderId="2" applyAlignment="1" pivotButton="0" quotePrefix="0" xfId="0">
      <alignment vertical="center"/>
    </xf>
    <xf numFmtId="164" fontId="24" fillId="0" borderId="0" applyAlignment="1" pivotButton="0" quotePrefix="0" xfId="4">
      <alignment vertical="center"/>
    </xf>
    <xf numFmtId="164" fontId="24" fillId="0" borderId="3" applyAlignment="1" pivotButton="0" quotePrefix="0" xfId="4">
      <alignment vertical="center"/>
    </xf>
    <xf numFmtId="164" fontId="24" fillId="8" borderId="3" applyAlignment="1" pivotButton="0" quotePrefix="0" xfId="4">
      <alignment vertical="center"/>
    </xf>
    <xf numFmtId="1" fontId="24" fillId="0" borderId="0" applyAlignment="1" pivotButton="0" quotePrefix="0" xfId="0">
      <alignment vertical="center"/>
    </xf>
    <xf numFmtId="1" fontId="24" fillId="0" borderId="3" applyAlignment="1" pivotButton="0" quotePrefix="0" xfId="0">
      <alignment vertical="center"/>
    </xf>
    <xf numFmtId="9" fontId="24" fillId="0" borderId="0" applyAlignment="1" pivotButton="0" quotePrefix="0" xfId="0">
      <alignment vertical="center"/>
    </xf>
    <xf numFmtId="9" fontId="24" fillId="0" borderId="3" applyAlignment="1" pivotButton="0" quotePrefix="0" xfId="0">
      <alignment vertical="center"/>
    </xf>
    <xf numFmtId="165" fontId="24" fillId="0" borderId="0" applyAlignment="1" pivotButton="0" quotePrefix="0" xfId="0">
      <alignment vertical="center"/>
    </xf>
    <xf numFmtId="9" fontId="24" fillId="8" borderId="3" applyAlignment="1" pivotButton="0" quotePrefix="0" xfId="0">
      <alignment vertical="center"/>
    </xf>
    <xf numFmtId="167" fontId="24" fillId="3" borderId="0" applyAlignment="1" pivotButton="0" quotePrefix="0" xfId="0">
      <alignment vertical="center"/>
    </xf>
    <xf numFmtId="167" fontId="24" fillId="3" borderId="3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5" fontId="8" fillId="0" borderId="0" pivotButton="0" quotePrefix="0" xfId="0"/>
    <xf numFmtId="165" fontId="8" fillId="0" borderId="3" pivotButton="0" quotePrefix="0" xfId="0"/>
    <xf numFmtId="165" fontId="8" fillId="3" borderId="0" pivotButton="0" quotePrefix="0" xfId="0"/>
    <xf numFmtId="165" fontId="8" fillId="3" borderId="3" pivotButton="0" quotePrefix="0" xfId="0"/>
    <xf numFmtId="166" fontId="8" fillId="0" borderId="0" pivotButton="0" quotePrefix="0" xfId="0"/>
    <xf numFmtId="166" fontId="8" fillId="0" borderId="3" pivotButton="0" quotePrefix="0" xfId="0"/>
    <xf numFmtId="0" fontId="0" fillId="0" borderId="0" pivotButton="0" quotePrefix="0" xfId="0"/>
    <xf numFmtId="164" fontId="11" fillId="0" borderId="2" applyAlignment="1" pivotButton="0" quotePrefix="0" xfId="0">
      <alignment vertical="center"/>
    </xf>
    <xf numFmtId="164" fontId="13" fillId="0" borderId="2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164" fontId="4" fillId="0" borderId="2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7" fontId="8" fillId="2" borderId="0" applyAlignment="1" pivotButton="0" quotePrefix="0" xfId="1">
      <alignment vertical="center"/>
    </xf>
    <xf numFmtId="167" fontId="8" fillId="2" borderId="4" applyAlignment="1" pivotButton="0" quotePrefix="0" xfId="1">
      <alignment vertical="center"/>
    </xf>
    <xf numFmtId="165" fontId="11" fillId="0" borderId="0" pivotButton="0" quotePrefix="0" xfId="0"/>
    <xf numFmtId="165" fontId="11" fillId="0" borderId="4" pivotButton="0" quotePrefix="0" xfId="0"/>
    <xf numFmtId="165" fontId="11" fillId="3" borderId="0" pivotButton="0" quotePrefix="0" xfId="0"/>
    <xf numFmtId="165" fontId="11" fillId="3" borderId="4" pivotButton="0" quotePrefix="0" xfId="0"/>
    <xf numFmtId="168" fontId="11" fillId="0" borderId="0" applyAlignment="1" pivotButton="0" quotePrefix="0" xfId="1">
      <alignment vertical="center"/>
    </xf>
    <xf numFmtId="168" fontId="11" fillId="0" borderId="3" applyAlignment="1" pivotButton="0" quotePrefix="0" xfId="1">
      <alignment vertical="center"/>
    </xf>
    <xf numFmtId="167" fontId="11" fillId="0" borderId="0" applyAlignment="1" pivotButton="0" quotePrefix="0" xfId="1">
      <alignment vertical="center"/>
    </xf>
    <xf numFmtId="167" fontId="11" fillId="0" borderId="4" applyAlignment="1" pivotButton="0" quotePrefix="0" xfId="1">
      <alignment vertical="center"/>
    </xf>
    <xf numFmtId="172" fontId="11" fillId="0" borderId="0" applyAlignment="1" pivotButton="0" quotePrefix="0" xfId="2">
      <alignment vertical="center"/>
    </xf>
    <xf numFmtId="172" fontId="11" fillId="0" borderId="4" applyAlignment="1" pivotButton="0" quotePrefix="0" xfId="2">
      <alignment vertical="center"/>
    </xf>
    <xf numFmtId="167" fontId="18" fillId="2" borderId="0" applyAlignment="1" pivotButton="0" quotePrefix="0" xfId="1">
      <alignment vertical="center"/>
    </xf>
    <xf numFmtId="167" fontId="18" fillId="2" borderId="3" applyAlignment="1" pivotButton="0" quotePrefix="0" xfId="1">
      <alignment vertical="center"/>
    </xf>
    <xf numFmtId="165" fontId="18" fillId="0" borderId="0" pivotButton="0" quotePrefix="0" xfId="0"/>
    <xf numFmtId="165" fontId="18" fillId="0" borderId="3" pivotButton="0" quotePrefix="0" xfId="0"/>
    <xf numFmtId="165" fontId="18" fillId="3" borderId="0" pivotButton="0" quotePrefix="0" xfId="0"/>
    <xf numFmtId="165" fontId="18" fillId="3" borderId="3" pivotButton="0" quotePrefix="0" xfId="0"/>
    <xf numFmtId="168" fontId="18" fillId="0" borderId="0" pivotButton="0" quotePrefix="0" xfId="1"/>
    <xf numFmtId="168" fontId="18" fillId="0" borderId="3" pivotButton="0" quotePrefix="0" xfId="1"/>
    <xf numFmtId="168" fontId="25" fillId="0" borderId="0" pivotButton="0" quotePrefix="0" xfId="1"/>
    <xf numFmtId="170" fontId="18" fillId="0" borderId="0" pivotButton="0" quotePrefix="0" xfId="1"/>
    <xf numFmtId="167" fontId="18" fillId="0" borderId="3" pivotButton="0" quotePrefix="0" xfId="1"/>
    <xf numFmtId="167" fontId="18" fillId="0" borderId="0" pivotButton="0" quotePrefix="0" xfId="1"/>
    <xf numFmtId="171" fontId="18" fillId="0" borderId="3" applyAlignment="1" pivotButton="0" quotePrefix="0" xfId="0">
      <alignment vertical="center"/>
    </xf>
    <xf numFmtId="171" fontId="18" fillId="0" borderId="0" applyAlignment="1" pivotButton="0" quotePrefix="0" xfId="0">
      <alignment vertical="center"/>
    </xf>
    <xf numFmtId="167" fontId="24" fillId="2" borderId="0" applyAlignment="1" pivotButton="0" quotePrefix="0" xfId="0">
      <alignment vertical="center"/>
    </xf>
    <xf numFmtId="167" fontId="24" fillId="2" borderId="3" applyAlignment="1" pivotButton="0" quotePrefix="0" xfId="0">
      <alignment vertical="center"/>
    </xf>
    <xf numFmtId="169" fontId="0" fillId="5" borderId="3" applyAlignment="1" pivotButton="0" quotePrefix="0" xfId="0">
      <alignment vertical="center"/>
    </xf>
    <xf numFmtId="169" fontId="0" fillId="2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0" fillId="0" borderId="3" applyAlignment="1" pivotButton="0" quotePrefix="0" xfId="0">
      <alignment vertical="center"/>
    </xf>
    <xf numFmtId="167" fontId="0" fillId="5" borderId="3" applyAlignment="1" pivotButton="0" quotePrefix="0" xfId="0">
      <alignment vertical="center"/>
    </xf>
    <xf numFmtId="169" fontId="0" fillId="3" borderId="0" applyAlignment="1" pivotButton="0" quotePrefix="0" xfId="1">
      <alignment vertical="center"/>
    </xf>
    <xf numFmtId="169" fontId="0" fillId="3" borderId="3" applyAlignment="1" pivotButton="0" quotePrefix="0" xfId="1">
      <alignment vertical="center"/>
    </xf>
    <xf numFmtId="167" fontId="0" fillId="3" borderId="0" applyAlignment="1" pivotButton="0" quotePrefix="0" xfId="1">
      <alignment vertical="center"/>
    </xf>
    <xf numFmtId="167" fontId="0" fillId="5" borderId="3" applyAlignment="1" pivotButton="0" quotePrefix="0" xfId="1">
      <alignment vertical="center"/>
    </xf>
    <xf numFmtId="167" fontId="24" fillId="7" borderId="0" applyAlignment="1" pivotButton="0" quotePrefix="0" xfId="0">
      <alignment vertical="center"/>
    </xf>
    <xf numFmtId="167" fontId="24" fillId="7" borderId="3" applyAlignment="1" pivotButton="0" quotePrefix="0" xfId="0">
      <alignment vertical="center"/>
    </xf>
    <xf numFmtId="167" fontId="24" fillId="8" borderId="3" pivotButton="0" quotePrefix="0" xfId="0"/>
    <xf numFmtId="167" fontId="24" fillId="2" borderId="0" pivotButton="0" quotePrefix="0" xfId="0"/>
    <xf numFmtId="167" fontId="24" fillId="3" borderId="0" applyAlignment="1" pivotButton="0" quotePrefix="0" xfId="0">
      <alignment vertical="center"/>
    </xf>
    <xf numFmtId="167" fontId="24" fillId="3" borderId="3" applyAlignment="1" pivotButton="0" quotePrefix="0" xfId="0">
      <alignment vertical="center"/>
    </xf>
    <xf numFmtId="164" fontId="30" fillId="0" borderId="0" applyAlignment="1" pivotButton="0" quotePrefix="0" xfId="0">
      <alignment vertical="center"/>
    </xf>
    <xf numFmtId="164" fontId="30" fillId="0" borderId="3" applyAlignment="1" pivotButton="0" quotePrefix="0" xfId="0">
      <alignment vertical="center"/>
    </xf>
    <xf numFmtId="164" fontId="30" fillId="8" borderId="3" applyAlignment="1" pivotButton="0" quotePrefix="0" xfId="0">
      <alignment vertical="center"/>
    </xf>
    <xf numFmtId="164" fontId="24" fillId="0" borderId="2" applyAlignment="1" pivotButton="0" quotePrefix="0" xfId="0">
      <alignment vertical="center"/>
    </xf>
    <xf numFmtId="164" fontId="24" fillId="0" borderId="0" applyAlignment="1" pivotButton="0" quotePrefix="0" xfId="4">
      <alignment vertical="center"/>
    </xf>
    <xf numFmtId="164" fontId="24" fillId="0" borderId="3" applyAlignment="1" pivotButton="0" quotePrefix="0" xfId="4">
      <alignment vertical="center"/>
    </xf>
    <xf numFmtId="164" fontId="24" fillId="8" borderId="3" applyAlignment="1" pivotButton="0" quotePrefix="0" xfId="4">
      <alignment vertical="center"/>
    </xf>
    <xf numFmtId="165" fontId="24" fillId="0" borderId="0" applyAlignment="1" pivotButton="0" quotePrefix="0" xfId="0">
      <alignment vertical="center"/>
    </xf>
  </cellXfs>
  <cellStyles count="5">
    <cellStyle name="標準" xfId="0" builtinId="0"/>
    <cellStyle name="桁区切り" xfId="1" builtinId="6"/>
    <cellStyle name="通貨" xfId="2" builtinId="7"/>
    <cellStyle name="ハイパーリンク" xfId="3" builtinId="8"/>
    <cellStyle name="Excel Built-in Comma [0]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修正版</author>
  </authors>
  <commentList>
    <comment ref="C5" authorId="0" shapeId="0">
      <text>
        <t>【計算ルール】売上＝純受注数（粗受注数－解約数）×年間単価。各月列は当該月時点の契約社数に基づく年換算売上（ARR）であり、Y*_M12列を各年度の年間値とする。Y1〜Y5列は年間の解約累計を控除した値（売掛保証シートと同ロジック）。</t>
      </text>
    </comment>
  </commentList>
</comments>
</file>

<file path=xl/comments/comment2.xml><?xml version="1.0" encoding="utf-8"?>
<comments xmlns="http://schemas.openxmlformats.org/spreadsheetml/2006/main">
  <authors>
    <author>修正版</author>
  </authors>
  <commentList>
    <comment ref="C5" authorId="0" shapeId="0">
      <text>
        <t>【計算ルール】売上＝純受注数（粗受注数－解約数）×年間単価。各月列は当該月時点の契約社数に基づく年換算売上（ARR）であり、Y*_M12列を各年度の年間値とする。Y1〜Y5列は年間の解約累計を控除した値（売掛保証シートと同ロジック）。</t>
      </text>
    </comment>
  </commentList>
</comments>
</file>

<file path=xl/comments/comment3.xml><?xml version="1.0" encoding="utf-8"?>
<comments xmlns="http://schemas.openxmlformats.org/spreadsheetml/2006/main">
  <authors>
    <author>修正版</author>
  </authors>
  <commentList>
    <comment ref="C5" authorId="0" shapeId="0">
      <text>
        <t>【計算ルール】売上＝純受注数（粗受注数－解約数）×年間単価。各月列は当該月時点の契約社数に基づく年換算売上（ARR）であり、Y*_M12列を各年度の年間値とする。Y1〜Y5列は年間の解約累計を控除した値（売掛保証シートと同ロジック）。</t>
      </text>
    </comment>
  </commentList>
</comments>
</file>

<file path=xl/comments/comment4.xml><?xml version="1.0" encoding="utf-8"?>
<comments xmlns="http://schemas.openxmlformats.org/spreadsheetml/2006/main">
  <authors>
    <author>修正版</author>
  </authors>
  <commentList>
    <comment ref="C4" authorId="0" shapeId="0">
      <text>
        <t>【要確認】「※Y2から開拓」だがY1にも売上（受注）が計上されている。Y1＝テスト販売/先行導入か、記載修正かを要判断。数値・記載は未変更。</t>
      </text>
    </comment>
    <comment ref="C5" authorId="0" shapeId="0">
      <text>
        <t>【計算ルール】売上＝純受注数（粗受注数－解約数）×年間単価。各月列は当該月時点の契約社数に基づく年換算売上（ARR）であり、Y*_M12列を各年度の年間値とする。Y1〜Y5列は年間の解約累計を控除した値（売掛保証シートと同ロジック）。</t>
      </text>
    </comment>
  </commentList>
</comments>
</file>

<file path=xl/comments/comment5.xml><?xml version="1.0" encoding="utf-8"?>
<comments xmlns="http://schemas.openxmlformats.org/spreadsheetml/2006/main">
  <authors>
    <author>修正版</author>
  </authors>
  <commentList>
    <comment ref="C5" authorId="0" shapeId="0">
      <text>
        <t>【計算ルール】売上＝純受注数（粗受注数－解約数）×年間単価。各月列は当該月時点の契約社数に基づく年換算売上（ARR）であり、Y*_M12列を各年度の年間値とする。Y1〜Y5列は年間の解約累計を控除した値（売掛保証シートと同ロジック）。</t>
      </text>
    </comment>
  </commentList>
</comment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www.e-stat.go.jp/stat-search/files?tclass=000001230645&amp;cycle=7&amp;year=20240" TargetMode="Externa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BR21"/>
  <sheetViews>
    <sheetView topLeftCell="C1" zoomScale="111" zoomScaleNormal="111" workbookViewId="0">
      <selection activeCell="Q12" sqref="Q12"/>
    </sheetView>
  </sheetViews>
  <sheetFormatPr baseColWidth="10" defaultRowHeight="20" outlineLevelRow="1"/>
  <cols>
    <col width="10.7109375" customWidth="1" style="23" min="1" max="69"/>
    <col width="10.7109375" customWidth="1" style="23" min="70" max="70"/>
    <col width="10.7109375" customWidth="1" style="23" min="71" max="16384"/>
  </cols>
  <sheetData>
    <row r="4" outlineLevel="1" ht="17" customFormat="1" customHeight="1" s="8">
      <c r="C4" s="5" t="inlineStr">
        <is>
          <t>■ ① ビジとり（旅費規程）</t>
        </is>
      </c>
      <c r="D4" s="6" t="n"/>
      <c r="E4" s="6" t="n"/>
      <c r="F4" s="10" t="inlineStr">
        <is>
          <t>Y1_M1</t>
        </is>
      </c>
      <c r="G4" s="10" t="inlineStr">
        <is>
          <t>Y1_M2</t>
        </is>
      </c>
      <c r="H4" s="10" t="inlineStr">
        <is>
          <t>Y1_M3</t>
        </is>
      </c>
      <c r="I4" s="10" t="inlineStr">
        <is>
          <t>Y1_M4</t>
        </is>
      </c>
      <c r="J4" s="10" t="inlineStr">
        <is>
          <t>Y1_M5</t>
        </is>
      </c>
      <c r="K4" s="10" t="inlineStr">
        <is>
          <t>Y1_M6</t>
        </is>
      </c>
      <c r="L4" s="10" t="inlineStr">
        <is>
          <t>Y1_M7</t>
        </is>
      </c>
      <c r="M4" s="10" t="inlineStr">
        <is>
          <t>Y1_M8</t>
        </is>
      </c>
      <c r="N4" s="10" t="inlineStr">
        <is>
          <t>Y1_M9</t>
        </is>
      </c>
      <c r="O4" s="10" t="inlineStr">
        <is>
          <t>Y1_M10</t>
        </is>
      </c>
      <c r="P4" s="10" t="inlineStr">
        <is>
          <t>Y1_M11</t>
        </is>
      </c>
      <c r="Q4" s="10" t="inlineStr">
        <is>
          <t>Y1_M12</t>
        </is>
      </c>
      <c r="R4" s="10" t="inlineStr">
        <is>
          <t>Y2_M1</t>
        </is>
      </c>
      <c r="S4" s="10" t="inlineStr">
        <is>
          <t>Y2_M2</t>
        </is>
      </c>
      <c r="T4" s="10" t="inlineStr">
        <is>
          <t>Y2_M3</t>
        </is>
      </c>
      <c r="U4" s="10" t="inlineStr">
        <is>
          <t>Y2_M4</t>
        </is>
      </c>
      <c r="V4" s="10" t="inlineStr">
        <is>
          <t>Y2_M5</t>
        </is>
      </c>
      <c r="W4" s="10" t="inlineStr">
        <is>
          <t>Y2_M6</t>
        </is>
      </c>
      <c r="X4" s="10" t="inlineStr">
        <is>
          <t>Y2_M7</t>
        </is>
      </c>
      <c r="Y4" s="10" t="inlineStr">
        <is>
          <t>Y2_M8</t>
        </is>
      </c>
      <c r="Z4" s="10" t="inlineStr">
        <is>
          <t>Y2_M9</t>
        </is>
      </c>
      <c r="AA4" s="10" t="inlineStr">
        <is>
          <t>Y2_M10</t>
        </is>
      </c>
      <c r="AB4" s="10" t="inlineStr">
        <is>
          <t>Y2_M11</t>
        </is>
      </c>
      <c r="AC4" s="10" t="inlineStr">
        <is>
          <t>Y2_M12</t>
        </is>
      </c>
      <c r="AD4" s="10" t="inlineStr">
        <is>
          <t>Y3_M1</t>
        </is>
      </c>
      <c r="AE4" s="10" t="inlineStr">
        <is>
          <t>Y3_M2</t>
        </is>
      </c>
      <c r="AF4" s="10" t="inlineStr">
        <is>
          <t>Y3_M3</t>
        </is>
      </c>
      <c r="AG4" s="10" t="inlineStr">
        <is>
          <t>Y3_M4</t>
        </is>
      </c>
      <c r="AH4" s="10" t="inlineStr">
        <is>
          <t>Y3_M5</t>
        </is>
      </c>
      <c r="AI4" s="10" t="inlineStr">
        <is>
          <t>Y3_M6</t>
        </is>
      </c>
      <c r="AJ4" s="10" t="inlineStr">
        <is>
          <t>Y3_M7</t>
        </is>
      </c>
      <c r="AK4" s="10" t="inlineStr">
        <is>
          <t>Y3_M8</t>
        </is>
      </c>
      <c r="AL4" s="10" t="inlineStr">
        <is>
          <t>Y3_M9</t>
        </is>
      </c>
      <c r="AM4" s="10" t="inlineStr">
        <is>
          <t>Y3_M10</t>
        </is>
      </c>
      <c r="AN4" s="10" t="inlineStr">
        <is>
          <t>Y3_M11</t>
        </is>
      </c>
      <c r="AO4" s="10" t="inlineStr">
        <is>
          <t>Y3_M12</t>
        </is>
      </c>
      <c r="AP4" s="10" t="inlineStr">
        <is>
          <t>Y4_M1</t>
        </is>
      </c>
      <c r="AQ4" s="10" t="inlineStr">
        <is>
          <t>Y4_M2</t>
        </is>
      </c>
      <c r="AR4" s="10" t="inlineStr">
        <is>
          <t>Y4_M3</t>
        </is>
      </c>
      <c r="AS4" s="10" t="inlineStr">
        <is>
          <t>Y4_M4</t>
        </is>
      </c>
      <c r="AT4" s="10" t="inlineStr">
        <is>
          <t>Y4_M5</t>
        </is>
      </c>
      <c r="AU4" s="10" t="inlineStr">
        <is>
          <t>Y4_M6</t>
        </is>
      </c>
      <c r="AV4" s="10" t="inlineStr">
        <is>
          <t>Y4_M7</t>
        </is>
      </c>
      <c r="AW4" s="10" t="inlineStr">
        <is>
          <t>Y4_M8</t>
        </is>
      </c>
      <c r="AX4" s="10" t="inlineStr">
        <is>
          <t>Y4_M9</t>
        </is>
      </c>
      <c r="AY4" s="10" t="inlineStr">
        <is>
          <t>Y4_M10</t>
        </is>
      </c>
      <c r="AZ4" s="10" t="inlineStr">
        <is>
          <t>Y4_M11</t>
        </is>
      </c>
      <c r="BA4" s="10" t="inlineStr">
        <is>
          <t>Y4_M12</t>
        </is>
      </c>
      <c r="BB4" s="10" t="inlineStr">
        <is>
          <t>Y5_M1</t>
        </is>
      </c>
      <c r="BC4" s="10" t="inlineStr">
        <is>
          <t>Y5_M2</t>
        </is>
      </c>
      <c r="BD4" s="10" t="inlineStr">
        <is>
          <t>Y5_M3</t>
        </is>
      </c>
      <c r="BE4" s="10" t="inlineStr">
        <is>
          <t>Y5_M4</t>
        </is>
      </c>
      <c r="BF4" s="10" t="inlineStr">
        <is>
          <t>Y5_M5</t>
        </is>
      </c>
      <c r="BG4" s="10" t="inlineStr">
        <is>
          <t>Y5_M6</t>
        </is>
      </c>
      <c r="BH4" s="10" t="inlineStr">
        <is>
          <t>Y5_M7</t>
        </is>
      </c>
      <c r="BI4" s="10" t="inlineStr">
        <is>
          <t>Y5_M8</t>
        </is>
      </c>
      <c r="BJ4" s="10" t="inlineStr">
        <is>
          <t>Y5_M9</t>
        </is>
      </c>
      <c r="BK4" s="10" t="inlineStr">
        <is>
          <t>Y5_M10</t>
        </is>
      </c>
      <c r="BL4" s="10" t="inlineStr">
        <is>
          <t>Y5_M11</t>
        </is>
      </c>
      <c r="BM4" s="10" t="inlineStr">
        <is>
          <t>Y5_M12</t>
        </is>
      </c>
      <c r="BN4" s="10" t="inlineStr">
        <is>
          <t>Y1</t>
        </is>
      </c>
      <c r="BO4" s="10" t="inlineStr">
        <is>
          <t>Y2</t>
        </is>
      </c>
      <c r="BP4" s="10" t="inlineStr">
        <is>
          <t>Y3</t>
        </is>
      </c>
      <c r="BQ4" s="10" t="inlineStr">
        <is>
          <t>Y4</t>
        </is>
      </c>
      <c r="BR4" s="10" t="inlineStr">
        <is>
          <t>Y5</t>
        </is>
      </c>
    </row>
    <row r="5" outlineLevel="1" ht="17" customFormat="1" customHeight="1" s="8">
      <c r="C5" s="5" t="inlineStr">
        <is>
          <t>売上</t>
        </is>
      </c>
      <c r="D5" s="6" t="n"/>
      <c r="E5" s="6" t="n"/>
      <c r="F5" s="10">
        <f>F12*F14*12</f>
        <v>0.0</v>
      </c>
      <c r="G5" s="10">
        <f>G12*G14*12</f>
        <v>22689.45</v>
      </c>
      <c r="H5" s="10">
        <f>H12*H14*12</f>
        <v>124791.975</v>
      </c>
      <c r="I5" s="10">
        <f>I12*I14*12</f>
        <v>225525.0</v>
      </c>
      <c r="J5" s="10">
        <f>J12*J14*12</f>
        <v>318135.0</v>
      </c>
      <c r="K5" s="10">
        <f>K12*K14*12</f>
        <v>433897.5</v>
      </c>
      <c r="L5" s="10">
        <f>L12*L14*12</f>
        <v>543660.0</v>
      </c>
      <c r="M5" s="10">
        <f>M12*M14*12</f>
        <v>659422.5</v>
      </c>
      <c r="N5" s="10">
        <f>N12*N14*12</f>
        <v>792337.5</v>
      </c>
      <c r="O5" s="10">
        <f>O12*O14*12</f>
        <v>919676.25</v>
      </c>
      <c r="P5" s="10">
        <f>P12*P14*12</f>
        <v>1041015.0</v>
      </c>
      <c r="Q5" s="10">
        <f>Q12*Q14*12</f>
        <v>1191506.25</v>
      </c>
      <c r="R5" s="10">
        <f>R12*R14*12</f>
        <v>1324421.25</v>
      </c>
      <c r="S5" s="10">
        <f>S12*S14*12</f>
        <v>1463336.25</v>
      </c>
      <c r="T5" s="10">
        <f>T12*T14*12</f>
        <v>1619403.75</v>
      </c>
      <c r="U5" s="10">
        <f>U12*U14*12</f>
        <v>1769895.0</v>
      </c>
      <c r="V5" s="10">
        <f>V12*V14*12</f>
        <v>1914386.25</v>
      </c>
      <c r="W5" s="10">
        <f>W12*W14*12</f>
        <v>2088030.0</v>
      </c>
      <c r="X5" s="10">
        <f>X12*X14*12</f>
        <v>2244097.5</v>
      </c>
      <c r="Y5" s="10">
        <f>Y12*Y14*12</f>
        <v>2406165.0</v>
      </c>
      <c r="Z5" s="10">
        <f>Z12*Z14*12</f>
        <v>2585385.0</v>
      </c>
      <c r="AA5" s="10">
        <f>AA12*AA14*12</f>
        <v>2759028.75</v>
      </c>
      <c r="AB5" s="10">
        <f>AB12*AB14*12</f>
        <v>2926672.5</v>
      </c>
      <c r="AC5" s="10">
        <f>AC12*AC14*12</f>
        <v>3105892.5</v>
      </c>
      <c r="AD5" s="10">
        <f>AD12*AD14*12</f>
        <v>3332265.0</v>
      </c>
      <c r="AE5" s="10">
        <f>AE12*AE14*12</f>
        <v>3523061.25</v>
      </c>
      <c r="AF5" s="10">
        <f>AF12*AF14*12</f>
        <v>3743010.0</v>
      </c>
      <c r="AG5" s="10">
        <f>AG12*AG14*12</f>
        <v>3945382.5</v>
      </c>
      <c r="AH5" s="10">
        <f>AH12*AH14*12</f>
        <v>4159331.25</v>
      </c>
      <c r="AI5" s="10">
        <f>AI12*AI14*12</f>
        <v>4379280.0</v>
      </c>
      <c r="AJ5" s="10">
        <f>AJ12*AJ14*12</f>
        <v>4604805.0</v>
      </c>
      <c r="AK5" s="10">
        <f>AK12*AK14*12</f>
        <v>4824753.75</v>
      </c>
      <c r="AL5" s="10">
        <f>AL12*AL14*12</f>
        <v>5061855.0</v>
      </c>
      <c r="AM5" s="10">
        <f>AM12*AM14*12</f>
        <v>5293380.0</v>
      </c>
      <c r="AN5" s="10">
        <f>AN12*AN14*12</f>
        <v>5518905.0</v>
      </c>
      <c r="AO5" s="10">
        <f>AO12*AO14*12</f>
        <v>5767582.5</v>
      </c>
      <c r="AP5" s="10">
        <f>AP12*AP14*12</f>
        <v>6010683.75</v>
      </c>
      <c r="AQ5" s="10">
        <f>AQ12*AQ14*12</f>
        <v>6247785.0</v>
      </c>
      <c r="AR5" s="10">
        <f>AR12*AR14*12</f>
        <v>6502462.5</v>
      </c>
      <c r="AS5" s="10">
        <f>AS12*AS14*12</f>
        <v>6757140.0</v>
      </c>
      <c r="AT5" s="10">
        <f>AT12*AT14*12</f>
        <v>6999817.5</v>
      </c>
      <c r="AU5" s="10">
        <f>AU12*AU14*12</f>
        <v>7266071.25</v>
      </c>
      <c r="AV5" s="10">
        <f>AV12*AV14*12</f>
        <v>7526325.0</v>
      </c>
      <c r="AW5" s="10">
        <f>AW12*AW14*12</f>
        <v>7792578.75</v>
      </c>
      <c r="AX5" s="10">
        <f>AX12*AX14*12</f>
        <v>8064408.75</v>
      </c>
      <c r="AY5" s="10">
        <f>AY12*AY14*12</f>
        <v>8324662.5</v>
      </c>
      <c r="AZ5" s="10">
        <f>AZ12*AZ14*12</f>
        <v>8596492.5</v>
      </c>
      <c r="BA5" s="10">
        <f>BA12*BA14*12</f>
        <v>8868322.5</v>
      </c>
      <c r="BB5" s="10">
        <f>BB12*BB14*12</f>
        <v>9246033.75</v>
      </c>
      <c r="BC5" s="10">
        <f>BC12*BC14*12</f>
        <v>9570168.75</v>
      </c>
      <c r="BD5" s="10">
        <f>BD12*BD14*12</f>
        <v>9899880.0</v>
      </c>
      <c r="BE5" s="10">
        <f>BE12*BE14*12</f>
        <v>10235591.25</v>
      </c>
      <c r="BF5" s="10">
        <f>BF12*BF14*12</f>
        <v>10565302.5</v>
      </c>
      <c r="BG5" s="10">
        <f>BG12*BG14*12</f>
        <v>10924166.25</v>
      </c>
      <c r="BH5" s="10">
        <f>BH12*BH14*12</f>
        <v>11265453.75</v>
      </c>
      <c r="BI5" s="10">
        <f>BI12*BI14*12</f>
        <v>11606741.25</v>
      </c>
      <c r="BJ5" s="10">
        <f>BJ12*BJ14*12</f>
        <v>11965605.0</v>
      </c>
      <c r="BK5" s="10">
        <f>BK12*BK14*12</f>
        <v>12318468.75</v>
      </c>
      <c r="BL5" s="10">
        <f>BL12*BL14*12</f>
        <v>12677332.5</v>
      </c>
      <c r="BM5" s="10">
        <f>BM12*BM14*12</f>
        <v>13041772.5</v>
      </c>
      <c r="BN5" s="9">
        <f>BN14*BN12*12</f>
        <v>1086496.425</v>
      </c>
      <c r="BO5" s="10">
        <f>BO14*BO12*12</f>
        <v>2625892.5</v>
      </c>
      <c r="BP5" s="10">
        <f>BP14*BP12*12</f>
        <v>5035582.5</v>
      </c>
      <c r="BQ5" s="10">
        <f>BQ14*BQ12*12</f>
        <v>7668322.5</v>
      </c>
      <c r="BR5" s="10">
        <f>BR14*BR12*12</f>
        <v>11823772.5</v>
      </c>
    </row>
    <row r="6" outlineLevel="1" ht="18" customFormat="1" customHeight="1" s="8">
      <c r="A6" s="152" t="inlineStr">
        <is>
          <t>KPI</t>
        </is>
      </c>
      <c r="C6" s="11" t="inlineStr">
        <is>
          <t>顧問先</t>
        </is>
      </c>
      <c r="D6" s="12" t="n"/>
      <c r="E6" s="12" t="n"/>
      <c r="F6" s="14">
        <f>35*F17</f>
        <v>0.0</v>
      </c>
      <c r="G6" s="14">
        <f>35*G17</f>
        <v>70.0</v>
      </c>
      <c r="H6" s="14">
        <f>35*H17</f>
        <v>385.0</v>
      </c>
      <c r="I6" s="14">
        <f>35*I17</f>
        <v>700.0</v>
      </c>
      <c r="J6" s="14">
        <f>35*J17</f>
        <v>980.0</v>
      </c>
      <c r="K6" s="14">
        <f>35*K17</f>
        <v>1330.0</v>
      </c>
      <c r="L6" s="14">
        <f>35*L17</f>
        <v>1680.0</v>
      </c>
      <c r="M6" s="14">
        <f>35*M17</f>
        <v>2030.0</v>
      </c>
      <c r="N6" s="14">
        <f>35*N17</f>
        <v>2450.0</v>
      </c>
      <c r="O6" s="14">
        <f>35*O17</f>
        <v>2835.0</v>
      </c>
      <c r="P6" s="14">
        <f>35*P17</f>
        <v>3220.0</v>
      </c>
      <c r="Q6" s="14">
        <f>35*Q17</f>
        <v>3675.0</v>
      </c>
      <c r="R6" s="14">
        <f>35*R17</f>
        <v>4095.0</v>
      </c>
      <c r="S6" s="14">
        <f>35*S17</f>
        <v>4515.0</v>
      </c>
      <c r="T6" s="14">
        <f>35*T17</f>
        <v>5005.0</v>
      </c>
      <c r="U6" s="14">
        <f>35*U17</f>
        <v>5460.0</v>
      </c>
      <c r="V6" s="14">
        <f>35*V17</f>
        <v>5915.0</v>
      </c>
      <c r="W6" s="14">
        <f>35*W17</f>
        <v>6440.0</v>
      </c>
      <c r="X6" s="14">
        <f>35*X17</f>
        <v>6930.0</v>
      </c>
      <c r="Y6" s="14">
        <f>35*Y17</f>
        <v>7420.0</v>
      </c>
      <c r="Z6" s="14">
        <f>35*Z17</f>
        <v>7980.0</v>
      </c>
      <c r="AA6" s="14">
        <f>35*AA17</f>
        <v>8505.0</v>
      </c>
      <c r="AB6" s="14">
        <f>35*AB17</f>
        <v>9030.0</v>
      </c>
      <c r="AC6" s="14">
        <f>35*AC17</f>
        <v>9590.0</v>
      </c>
      <c r="AD6" s="14">
        <f>35*AD17</f>
        <v>10220.0</v>
      </c>
      <c r="AE6" s="14">
        <f>35*AE17</f>
        <v>10815.0</v>
      </c>
      <c r="AF6" s="14">
        <f>35*AF17</f>
        <v>11480.0</v>
      </c>
      <c r="AG6" s="14">
        <f>35*AG17</f>
        <v>12110.0</v>
      </c>
      <c r="AH6" s="14">
        <f>35*AH17</f>
        <v>12775.0</v>
      </c>
      <c r="AI6" s="14">
        <f>35*AI17</f>
        <v>13440.0</v>
      </c>
      <c r="AJ6" s="14">
        <f>35*AJ17</f>
        <v>14140.0</v>
      </c>
      <c r="AK6" s="14">
        <f>35*AK17</f>
        <v>14805.0</v>
      </c>
      <c r="AL6" s="14">
        <f>35*AL17</f>
        <v>15540.0</v>
      </c>
      <c r="AM6" s="14">
        <f>35*AM17</f>
        <v>16240.0</v>
      </c>
      <c r="AN6" s="14">
        <f>35*AN17</f>
        <v>16940.0</v>
      </c>
      <c r="AO6" s="14">
        <f>35*AO17</f>
        <v>17710.0</v>
      </c>
      <c r="AP6" s="14">
        <f>35*AP17</f>
        <v>18445.0</v>
      </c>
      <c r="AQ6" s="14">
        <f>35*AQ17</f>
        <v>19180.0</v>
      </c>
      <c r="AR6" s="14">
        <f>35*AR17</f>
        <v>19950.0</v>
      </c>
      <c r="AS6" s="14">
        <f>35*AS17</f>
        <v>20720.0</v>
      </c>
      <c r="AT6" s="14">
        <f>35*AT17</f>
        <v>21490.0</v>
      </c>
      <c r="AU6" s="14">
        <f>35*AU17</f>
        <v>22295.0</v>
      </c>
      <c r="AV6" s="14">
        <f>35*AV17</f>
        <v>23100.0</v>
      </c>
      <c r="AW6" s="14">
        <f>35*AW17</f>
        <v>23905.0</v>
      </c>
      <c r="AX6" s="14">
        <f>35*AX17</f>
        <v>24745.0</v>
      </c>
      <c r="AY6" s="14">
        <f>35*AY17</f>
        <v>25550.0</v>
      </c>
      <c r="AZ6" s="14">
        <f>35*AZ17</f>
        <v>26390.0</v>
      </c>
      <c r="BA6" s="14">
        <f>35*BA17</f>
        <v>27230.0</v>
      </c>
      <c r="BB6" s="14">
        <f>35*BB17</f>
        <v>28245.0</v>
      </c>
      <c r="BC6" s="14">
        <f>35*BC17</f>
        <v>29225.0</v>
      </c>
      <c r="BD6" s="14">
        <f>35*BD17</f>
        <v>30240.0</v>
      </c>
      <c r="BE6" s="14">
        <f>35*BE17</f>
        <v>31255.0</v>
      </c>
      <c r="BF6" s="14">
        <f>35*BF17</f>
        <v>32270.0</v>
      </c>
      <c r="BG6" s="14">
        <f>35*BG17</f>
        <v>33355.0</v>
      </c>
      <c r="BH6" s="14">
        <f>35*BH17</f>
        <v>34405.0</v>
      </c>
      <c r="BI6" s="14">
        <f>35*BI17</f>
        <v>35455.0</v>
      </c>
      <c r="BJ6" s="14">
        <f>35*BJ17</f>
        <v>36540.0</v>
      </c>
      <c r="BK6" s="14">
        <f>35*BK17</f>
        <v>37625.0</v>
      </c>
      <c r="BL6" s="14">
        <f>35*BL17</f>
        <v>38710.0</v>
      </c>
      <c r="BM6" s="14">
        <f>35*BM17</f>
        <v>39830.0</v>
      </c>
      <c r="BN6" s="116">
        <f>35*BN17</f>
        <v>3675.0</v>
      </c>
      <c r="BO6" s="14">
        <f>35*BO17</f>
        <v>9590.0</v>
      </c>
      <c r="BP6" s="14">
        <f>35*BP17</f>
        <v>17710.0</v>
      </c>
      <c r="BQ6" s="14">
        <f>35*BQ17</f>
        <v>27230.0</v>
      </c>
      <c r="BR6" s="14">
        <f>35*BR17</f>
        <v>39830.0</v>
      </c>
    </row>
    <row r="7" outlineLevel="1" ht="17" customFormat="1" customHeight="1" s="8">
      <c r="C7" s="13" t="inlineStr">
        <is>
          <t>役員報酬250万円以上割合</t>
        </is>
      </c>
      <c r="D7" s="12" t="n"/>
      <c r="E7" s="12" t="n"/>
      <c r="F7" s="153" t="n">
        <v>0.75</v>
      </c>
      <c r="G7" s="153" t="n">
        <v>0.75</v>
      </c>
      <c r="H7" s="153" t="n">
        <v>0.75</v>
      </c>
      <c r="I7" s="153" t="n">
        <v>0.75</v>
      </c>
      <c r="J7" s="153" t="n">
        <v>0.75</v>
      </c>
      <c r="K7" s="153" t="n">
        <v>0.75</v>
      </c>
      <c r="L7" s="153" t="n">
        <v>0.75</v>
      </c>
      <c r="M7" s="153" t="n">
        <v>0.75</v>
      </c>
      <c r="N7" s="153" t="n">
        <v>0.75</v>
      </c>
      <c r="O7" s="153" t="n">
        <v>0.75</v>
      </c>
      <c r="P7" s="153" t="n">
        <v>0.75</v>
      </c>
      <c r="Q7" s="153" t="n">
        <v>0.75</v>
      </c>
      <c r="R7" s="153" t="n">
        <v>0.75</v>
      </c>
      <c r="S7" s="153" t="n">
        <v>0.75</v>
      </c>
      <c r="T7" s="153" t="n">
        <v>0.75</v>
      </c>
      <c r="U7" s="153" t="n">
        <v>0.75</v>
      </c>
      <c r="V7" s="153" t="n">
        <v>0.75</v>
      </c>
      <c r="W7" s="153" t="n">
        <v>0.75</v>
      </c>
      <c r="X7" s="153" t="n">
        <v>0.75</v>
      </c>
      <c r="Y7" s="153" t="n">
        <v>0.75</v>
      </c>
      <c r="Z7" s="153" t="n">
        <v>0.75</v>
      </c>
      <c r="AA7" s="153" t="n">
        <v>0.75</v>
      </c>
      <c r="AB7" s="153" t="n">
        <v>0.75</v>
      </c>
      <c r="AC7" s="153" t="n">
        <v>0.75</v>
      </c>
      <c r="AD7" s="153" t="n">
        <v>0.75</v>
      </c>
      <c r="AE7" s="153" t="n">
        <v>0.75</v>
      </c>
      <c r="AF7" s="153" t="n">
        <v>0.75</v>
      </c>
      <c r="AG7" s="153" t="n">
        <v>0.75</v>
      </c>
      <c r="AH7" s="153" t="n">
        <v>0.75</v>
      </c>
      <c r="AI7" s="153" t="n">
        <v>0.75</v>
      </c>
      <c r="AJ7" s="153" t="n">
        <v>0.75</v>
      </c>
      <c r="AK7" s="153" t="n">
        <v>0.75</v>
      </c>
      <c r="AL7" s="153" t="n">
        <v>0.75</v>
      </c>
      <c r="AM7" s="153" t="n">
        <v>0.75</v>
      </c>
      <c r="AN7" s="153" t="n">
        <v>0.75</v>
      </c>
      <c r="AO7" s="153" t="n">
        <v>0.75</v>
      </c>
      <c r="AP7" s="153" t="n">
        <v>0.75</v>
      </c>
      <c r="AQ7" s="153" t="n">
        <v>0.75</v>
      </c>
      <c r="AR7" s="153" t="n">
        <v>0.75</v>
      </c>
      <c r="AS7" s="153" t="n">
        <v>0.75</v>
      </c>
      <c r="AT7" s="153" t="n">
        <v>0.75</v>
      </c>
      <c r="AU7" s="153" t="n">
        <v>0.75</v>
      </c>
      <c r="AV7" s="153" t="n">
        <v>0.75</v>
      </c>
      <c r="AW7" s="153" t="n">
        <v>0.75</v>
      </c>
      <c r="AX7" s="153" t="n">
        <v>0.75</v>
      </c>
      <c r="AY7" s="153" t="n">
        <v>0.75</v>
      </c>
      <c r="AZ7" s="153" t="n">
        <v>0.75</v>
      </c>
      <c r="BA7" s="153" t="n">
        <v>0.75</v>
      </c>
      <c r="BB7" s="153" t="n">
        <v>0.75</v>
      </c>
      <c r="BC7" s="153" t="n">
        <v>0.75</v>
      </c>
      <c r="BD7" s="153" t="n">
        <v>0.75</v>
      </c>
      <c r="BE7" s="153" t="n">
        <v>0.75</v>
      </c>
      <c r="BF7" s="153" t="n">
        <v>0.75</v>
      </c>
      <c r="BG7" s="153" t="n">
        <v>0.75</v>
      </c>
      <c r="BH7" s="153" t="n">
        <v>0.75</v>
      </c>
      <c r="BI7" s="153" t="n">
        <v>0.75</v>
      </c>
      <c r="BJ7" s="153" t="n">
        <v>0.75</v>
      </c>
      <c r="BK7" s="153" t="n">
        <v>0.75</v>
      </c>
      <c r="BL7" s="153" t="n">
        <v>0.75</v>
      </c>
      <c r="BM7" s="153" t="n">
        <v>0.75</v>
      </c>
      <c r="BN7" s="154" t="n">
        <v>0.75</v>
      </c>
      <c r="BO7" s="153" t="n">
        <v>0.75</v>
      </c>
      <c r="BP7" s="153" t="n">
        <v>0.75</v>
      </c>
      <c r="BQ7" s="153" t="n">
        <v>0.75</v>
      </c>
      <c r="BR7" s="153" t="n">
        <v>0.75</v>
      </c>
    </row>
    <row r="8" outlineLevel="1" ht="17" customFormat="1" customHeight="1" s="8">
      <c r="C8" s="13" t="inlineStr">
        <is>
          <t>出張・営業活動がある割アリ</t>
        </is>
      </c>
      <c r="D8" s="12" t="n"/>
      <c r="E8" s="12" t="n"/>
      <c r="F8" s="153" t="n">
        <v>0.7</v>
      </c>
      <c r="G8" s="153" t="n">
        <v>0.7</v>
      </c>
      <c r="H8" s="153" t="n">
        <v>0.7</v>
      </c>
      <c r="I8" s="153" t="n">
        <v>0.7</v>
      </c>
      <c r="J8" s="153" t="n">
        <v>0.7</v>
      </c>
      <c r="K8" s="153" t="n">
        <v>0.7</v>
      </c>
      <c r="L8" s="153" t="n">
        <v>0.7</v>
      </c>
      <c r="M8" s="153" t="n">
        <v>0.7</v>
      </c>
      <c r="N8" s="153" t="n">
        <v>0.7</v>
      </c>
      <c r="O8" s="153" t="n">
        <v>0.7</v>
      </c>
      <c r="P8" s="153" t="n">
        <v>0.7</v>
      </c>
      <c r="Q8" s="153" t="n">
        <v>0.7</v>
      </c>
      <c r="R8" s="153" t="n">
        <v>0.7</v>
      </c>
      <c r="S8" s="153" t="n">
        <v>0.7</v>
      </c>
      <c r="T8" s="153" t="n">
        <v>0.7</v>
      </c>
      <c r="U8" s="153" t="n">
        <v>0.7</v>
      </c>
      <c r="V8" s="153" t="n">
        <v>0.7</v>
      </c>
      <c r="W8" s="153" t="n">
        <v>0.7</v>
      </c>
      <c r="X8" s="153" t="n">
        <v>0.7</v>
      </c>
      <c r="Y8" s="153" t="n">
        <v>0.7</v>
      </c>
      <c r="Z8" s="153" t="n">
        <v>0.7</v>
      </c>
      <c r="AA8" s="153" t="n">
        <v>0.7</v>
      </c>
      <c r="AB8" s="153" t="n">
        <v>0.7</v>
      </c>
      <c r="AC8" s="153" t="n">
        <v>0.7</v>
      </c>
      <c r="AD8" s="153" t="n">
        <v>0.7</v>
      </c>
      <c r="AE8" s="153" t="n">
        <v>0.7</v>
      </c>
      <c r="AF8" s="153" t="n">
        <v>0.7</v>
      </c>
      <c r="AG8" s="153" t="n">
        <v>0.7</v>
      </c>
      <c r="AH8" s="153" t="n">
        <v>0.7</v>
      </c>
      <c r="AI8" s="153" t="n">
        <v>0.7</v>
      </c>
      <c r="AJ8" s="153" t="n">
        <v>0.7</v>
      </c>
      <c r="AK8" s="153" t="n">
        <v>0.7</v>
      </c>
      <c r="AL8" s="153" t="n">
        <v>0.7</v>
      </c>
      <c r="AM8" s="153" t="n">
        <v>0.7</v>
      </c>
      <c r="AN8" s="153" t="n">
        <v>0.7</v>
      </c>
      <c r="AO8" s="153" t="n">
        <v>0.7</v>
      </c>
      <c r="AP8" s="153" t="n">
        <v>0.7</v>
      </c>
      <c r="AQ8" s="153" t="n">
        <v>0.7</v>
      </c>
      <c r="AR8" s="153" t="n">
        <v>0.7</v>
      </c>
      <c r="AS8" s="153" t="n">
        <v>0.7</v>
      </c>
      <c r="AT8" s="153" t="n">
        <v>0.7</v>
      </c>
      <c r="AU8" s="153" t="n">
        <v>0.7</v>
      </c>
      <c r="AV8" s="153" t="n">
        <v>0.7</v>
      </c>
      <c r="AW8" s="153" t="n">
        <v>0.7</v>
      </c>
      <c r="AX8" s="153" t="n">
        <v>0.7</v>
      </c>
      <c r="AY8" s="153" t="n">
        <v>0.7</v>
      </c>
      <c r="AZ8" s="153" t="n">
        <v>0.7</v>
      </c>
      <c r="BA8" s="153" t="n">
        <v>0.7</v>
      </c>
      <c r="BB8" s="153" t="n">
        <v>0.7</v>
      </c>
      <c r="BC8" s="153" t="n">
        <v>0.7</v>
      </c>
      <c r="BD8" s="153" t="n">
        <v>0.7</v>
      </c>
      <c r="BE8" s="153" t="n">
        <v>0.7</v>
      </c>
      <c r="BF8" s="153" t="n">
        <v>0.7</v>
      </c>
      <c r="BG8" s="153" t="n">
        <v>0.7</v>
      </c>
      <c r="BH8" s="153" t="n">
        <v>0.7</v>
      </c>
      <c r="BI8" s="153" t="n">
        <v>0.7</v>
      </c>
      <c r="BJ8" s="153" t="n">
        <v>0.7</v>
      </c>
      <c r="BK8" s="153" t="n">
        <v>0.7</v>
      </c>
      <c r="BL8" s="153" t="n">
        <v>0.7</v>
      </c>
      <c r="BM8" s="153" t="n">
        <v>0.7</v>
      </c>
      <c r="BN8" s="154" t="n">
        <v>0.7</v>
      </c>
      <c r="BO8" s="153" t="n">
        <v>0.7</v>
      </c>
      <c r="BP8" s="153" t="n">
        <v>0.7</v>
      </c>
      <c r="BQ8" s="153" t="n">
        <v>0.7</v>
      </c>
      <c r="BR8" s="153" t="n">
        <v>0.7</v>
      </c>
    </row>
    <row r="9" outlineLevel="1" ht="17" customFormat="1" customHeight="1" s="8">
      <c r="C9" s="13" t="inlineStr">
        <is>
          <t>旅費規程が未整備</t>
        </is>
      </c>
      <c r="D9" s="12" t="n"/>
      <c r="E9" s="12" t="n"/>
      <c r="F9" s="153" t="n">
        <v>0.7</v>
      </c>
      <c r="G9" s="153" t="n">
        <v>0.7</v>
      </c>
      <c r="H9" s="153" t="n">
        <v>0.7</v>
      </c>
      <c r="I9" s="153" t="n">
        <v>0.7</v>
      </c>
      <c r="J9" s="153" t="n">
        <v>0.7</v>
      </c>
      <c r="K9" s="153" t="n">
        <v>0.7</v>
      </c>
      <c r="L9" s="153" t="n">
        <v>0.7</v>
      </c>
      <c r="M9" s="153" t="n">
        <v>0.7</v>
      </c>
      <c r="N9" s="153" t="n">
        <v>0.7</v>
      </c>
      <c r="O9" s="153" t="n">
        <v>0.7</v>
      </c>
      <c r="P9" s="153" t="n">
        <v>0.7</v>
      </c>
      <c r="Q9" s="153" t="n">
        <v>0.7</v>
      </c>
      <c r="R9" s="153" t="n">
        <v>0.7</v>
      </c>
      <c r="S9" s="153" t="n">
        <v>0.7</v>
      </c>
      <c r="T9" s="153" t="n">
        <v>0.7</v>
      </c>
      <c r="U9" s="153" t="n">
        <v>0.7</v>
      </c>
      <c r="V9" s="153" t="n">
        <v>0.7</v>
      </c>
      <c r="W9" s="153" t="n">
        <v>0.7</v>
      </c>
      <c r="X9" s="153" t="n">
        <v>0.7</v>
      </c>
      <c r="Y9" s="153" t="n">
        <v>0.7</v>
      </c>
      <c r="Z9" s="153" t="n">
        <v>0.7</v>
      </c>
      <c r="AA9" s="153" t="n">
        <v>0.7</v>
      </c>
      <c r="AB9" s="153" t="n">
        <v>0.7</v>
      </c>
      <c r="AC9" s="153" t="n">
        <v>0.7</v>
      </c>
      <c r="AD9" s="153" t="n">
        <v>0.7</v>
      </c>
      <c r="AE9" s="153" t="n">
        <v>0.7</v>
      </c>
      <c r="AF9" s="153" t="n">
        <v>0.7</v>
      </c>
      <c r="AG9" s="153" t="n">
        <v>0.7</v>
      </c>
      <c r="AH9" s="153" t="n">
        <v>0.7</v>
      </c>
      <c r="AI9" s="153" t="n">
        <v>0.7</v>
      </c>
      <c r="AJ9" s="153" t="n">
        <v>0.7</v>
      </c>
      <c r="AK9" s="153" t="n">
        <v>0.7</v>
      </c>
      <c r="AL9" s="153" t="n">
        <v>0.7</v>
      </c>
      <c r="AM9" s="153" t="n">
        <v>0.7</v>
      </c>
      <c r="AN9" s="153" t="n">
        <v>0.7</v>
      </c>
      <c r="AO9" s="153" t="n">
        <v>0.7</v>
      </c>
      <c r="AP9" s="153" t="n">
        <v>0.7</v>
      </c>
      <c r="AQ9" s="153" t="n">
        <v>0.7</v>
      </c>
      <c r="AR9" s="153" t="n">
        <v>0.7</v>
      </c>
      <c r="AS9" s="153" t="n">
        <v>0.7</v>
      </c>
      <c r="AT9" s="153" t="n">
        <v>0.7</v>
      </c>
      <c r="AU9" s="153" t="n">
        <v>0.7</v>
      </c>
      <c r="AV9" s="153" t="n">
        <v>0.7</v>
      </c>
      <c r="AW9" s="153" t="n">
        <v>0.7</v>
      </c>
      <c r="AX9" s="153" t="n">
        <v>0.7</v>
      </c>
      <c r="AY9" s="153" t="n">
        <v>0.7</v>
      </c>
      <c r="AZ9" s="153" t="n">
        <v>0.7</v>
      </c>
      <c r="BA9" s="153" t="n">
        <v>0.7</v>
      </c>
      <c r="BB9" s="153" t="n">
        <v>0.7</v>
      </c>
      <c r="BC9" s="153" t="n">
        <v>0.7</v>
      </c>
      <c r="BD9" s="153" t="n">
        <v>0.7</v>
      </c>
      <c r="BE9" s="153" t="n">
        <v>0.7</v>
      </c>
      <c r="BF9" s="153" t="n">
        <v>0.7</v>
      </c>
      <c r="BG9" s="153" t="n">
        <v>0.7</v>
      </c>
      <c r="BH9" s="153" t="n">
        <v>0.7</v>
      </c>
      <c r="BI9" s="153" t="n">
        <v>0.7</v>
      </c>
      <c r="BJ9" s="153" t="n">
        <v>0.7</v>
      </c>
      <c r="BK9" s="153" t="n">
        <v>0.7</v>
      </c>
      <c r="BL9" s="153" t="n">
        <v>0.7</v>
      </c>
      <c r="BM9" s="153" t="n">
        <v>0.7</v>
      </c>
      <c r="BN9" s="154" t="n">
        <v>0.7</v>
      </c>
      <c r="BO9" s="153" t="n">
        <v>0.7</v>
      </c>
      <c r="BP9" s="153" t="n">
        <v>0.7</v>
      </c>
      <c r="BQ9" s="153" t="n">
        <v>0.7</v>
      </c>
      <c r="BR9" s="153" t="n">
        <v>0.7</v>
      </c>
    </row>
    <row r="10" outlineLevel="1" ht="17" customFormat="1" customHeight="1" s="8">
      <c r="C10" s="13" t="inlineStr">
        <is>
          <t>税理士 ➡ 企業提案</t>
        </is>
      </c>
      <c r="D10" s="12" t="n"/>
      <c r="E10" s="12" t="n"/>
      <c r="F10" s="153" t="n">
        <v>0.6</v>
      </c>
      <c r="G10" s="153" t="n">
        <v>0.6</v>
      </c>
      <c r="H10" s="153" t="n">
        <v>0.6</v>
      </c>
      <c r="I10" s="153" t="n">
        <v>0.6</v>
      </c>
      <c r="J10" s="153" t="n">
        <v>0.6</v>
      </c>
      <c r="K10" s="153" t="n">
        <v>0.6</v>
      </c>
      <c r="L10" s="153" t="n">
        <v>0.6</v>
      </c>
      <c r="M10" s="153" t="n">
        <v>0.6</v>
      </c>
      <c r="N10" s="153" t="n">
        <v>0.6</v>
      </c>
      <c r="O10" s="153" t="n">
        <v>0.6</v>
      </c>
      <c r="P10" s="153" t="n">
        <v>0.6</v>
      </c>
      <c r="Q10" s="153" t="n">
        <v>0.6</v>
      </c>
      <c r="R10" s="153" t="n">
        <v>0.6</v>
      </c>
      <c r="S10" s="153" t="n">
        <v>0.6</v>
      </c>
      <c r="T10" s="153" t="n">
        <v>0.6</v>
      </c>
      <c r="U10" s="153" t="n">
        <v>0.6</v>
      </c>
      <c r="V10" s="153" t="n">
        <v>0.6</v>
      </c>
      <c r="W10" s="153" t="n">
        <v>0.6</v>
      </c>
      <c r="X10" s="153" t="n">
        <v>0.6</v>
      </c>
      <c r="Y10" s="153" t="n">
        <v>0.6</v>
      </c>
      <c r="Z10" s="153" t="n">
        <v>0.6</v>
      </c>
      <c r="AA10" s="153" t="n">
        <v>0.6</v>
      </c>
      <c r="AB10" s="153" t="n">
        <v>0.6</v>
      </c>
      <c r="AC10" s="153" t="n">
        <v>0.6</v>
      </c>
      <c r="AD10" s="153" t="n">
        <v>0.6</v>
      </c>
      <c r="AE10" s="153" t="n">
        <v>0.6</v>
      </c>
      <c r="AF10" s="153" t="n">
        <v>0.6</v>
      </c>
      <c r="AG10" s="153" t="n">
        <v>0.6</v>
      </c>
      <c r="AH10" s="153" t="n">
        <v>0.6</v>
      </c>
      <c r="AI10" s="153" t="n">
        <v>0.6</v>
      </c>
      <c r="AJ10" s="153" t="n">
        <v>0.6</v>
      </c>
      <c r="AK10" s="153" t="n">
        <v>0.6</v>
      </c>
      <c r="AL10" s="153" t="n">
        <v>0.6</v>
      </c>
      <c r="AM10" s="153" t="n">
        <v>0.6</v>
      </c>
      <c r="AN10" s="153" t="n">
        <v>0.6</v>
      </c>
      <c r="AO10" s="153" t="n">
        <v>0.6</v>
      </c>
      <c r="AP10" s="153" t="n">
        <v>0.6</v>
      </c>
      <c r="AQ10" s="153" t="n">
        <v>0.6</v>
      </c>
      <c r="AR10" s="153" t="n">
        <v>0.6</v>
      </c>
      <c r="AS10" s="153" t="n">
        <v>0.6</v>
      </c>
      <c r="AT10" s="153" t="n">
        <v>0.6</v>
      </c>
      <c r="AU10" s="153" t="n">
        <v>0.6</v>
      </c>
      <c r="AV10" s="153" t="n">
        <v>0.6</v>
      </c>
      <c r="AW10" s="153" t="n">
        <v>0.6</v>
      </c>
      <c r="AX10" s="153" t="n">
        <v>0.6</v>
      </c>
      <c r="AY10" s="153" t="n">
        <v>0.6</v>
      </c>
      <c r="AZ10" s="153" t="n">
        <v>0.6</v>
      </c>
      <c r="BA10" s="153" t="n">
        <v>0.6</v>
      </c>
      <c r="BB10" s="153" t="n">
        <v>0.6</v>
      </c>
      <c r="BC10" s="153" t="n">
        <v>0.6</v>
      </c>
      <c r="BD10" s="153" t="n">
        <v>0.6</v>
      </c>
      <c r="BE10" s="153" t="n">
        <v>0.6</v>
      </c>
      <c r="BF10" s="153" t="n">
        <v>0.6</v>
      </c>
      <c r="BG10" s="153" t="n">
        <v>0.6</v>
      </c>
      <c r="BH10" s="153" t="n">
        <v>0.6</v>
      </c>
      <c r="BI10" s="153" t="n">
        <v>0.6</v>
      </c>
      <c r="BJ10" s="153" t="n">
        <v>0.6</v>
      </c>
      <c r="BK10" s="153" t="n">
        <v>0.6</v>
      </c>
      <c r="BL10" s="153" t="n">
        <v>0.6</v>
      </c>
      <c r="BM10" s="153" t="n">
        <v>0.6</v>
      </c>
      <c r="BN10" s="154" t="n">
        <v>0.6</v>
      </c>
      <c r="BO10" s="153" t="n">
        <v>0.6</v>
      </c>
      <c r="BP10" s="153" t="n">
        <v>0.6</v>
      </c>
      <c r="BQ10" s="153" t="n">
        <v>0.6</v>
      </c>
      <c r="BR10" s="153" t="n">
        <v>0.6</v>
      </c>
    </row>
    <row r="11" outlineLevel="1" ht="18" customFormat="1" customHeight="1" s="8">
      <c r="A11" s="152" t="inlineStr">
        <is>
          <t>KPI</t>
        </is>
      </c>
      <c r="C11" s="11" t="inlineStr">
        <is>
          <t>受注率</t>
        </is>
      </c>
      <c r="D11" s="12" t="n"/>
      <c r="E11" s="12" t="n"/>
      <c r="F11" s="155" t="n">
        <v>0.25</v>
      </c>
      <c r="G11" s="155" t="n">
        <v>0.25</v>
      </c>
      <c r="H11" s="155" t="n">
        <v>0.25</v>
      </c>
      <c r="I11" s="155" t="n">
        <v>0.25</v>
      </c>
      <c r="J11" s="155" t="n">
        <v>0.25</v>
      </c>
      <c r="K11" s="155" t="n">
        <v>0.25</v>
      </c>
      <c r="L11" s="155" t="n">
        <v>0.25</v>
      </c>
      <c r="M11" s="155" t="n">
        <v>0.25</v>
      </c>
      <c r="N11" s="155" t="n">
        <v>0.25</v>
      </c>
      <c r="O11" s="155" t="n">
        <v>0.25</v>
      </c>
      <c r="P11" s="155" t="n">
        <v>0.25</v>
      </c>
      <c r="Q11" s="155" t="n">
        <v>0.25</v>
      </c>
      <c r="R11" s="155" t="n">
        <v>0.25</v>
      </c>
      <c r="S11" s="155" t="n">
        <v>0.25</v>
      </c>
      <c r="T11" s="155" t="n">
        <v>0.25</v>
      </c>
      <c r="U11" s="155" t="n">
        <v>0.25</v>
      </c>
      <c r="V11" s="155" t="n">
        <v>0.25</v>
      </c>
      <c r="W11" s="155" t="n">
        <v>0.25</v>
      </c>
      <c r="X11" s="155" t="n">
        <v>0.25</v>
      </c>
      <c r="Y11" s="155" t="n">
        <v>0.25</v>
      </c>
      <c r="Z11" s="155" t="n">
        <v>0.25</v>
      </c>
      <c r="AA11" s="155" t="n">
        <v>0.25</v>
      </c>
      <c r="AB11" s="155" t="n">
        <v>0.25</v>
      </c>
      <c r="AC11" s="155" t="n">
        <v>0.25</v>
      </c>
      <c r="AD11" s="155" t="n">
        <v>0.25</v>
      </c>
      <c r="AE11" s="155" t="n">
        <v>0.25</v>
      </c>
      <c r="AF11" s="155" t="n">
        <v>0.25</v>
      </c>
      <c r="AG11" s="155" t="n">
        <v>0.25</v>
      </c>
      <c r="AH11" s="155" t="n">
        <v>0.25</v>
      </c>
      <c r="AI11" s="155" t="n">
        <v>0.25</v>
      </c>
      <c r="AJ11" s="155" t="n">
        <v>0.25</v>
      </c>
      <c r="AK11" s="155" t="n">
        <v>0.25</v>
      </c>
      <c r="AL11" s="155" t="n">
        <v>0.25</v>
      </c>
      <c r="AM11" s="155" t="n">
        <v>0.25</v>
      </c>
      <c r="AN11" s="155" t="n">
        <v>0.25</v>
      </c>
      <c r="AO11" s="155" t="n">
        <v>0.25</v>
      </c>
      <c r="AP11" s="155" t="n">
        <v>0.25</v>
      </c>
      <c r="AQ11" s="155" t="n">
        <v>0.25</v>
      </c>
      <c r="AR11" s="155" t="n">
        <v>0.25</v>
      </c>
      <c r="AS11" s="155" t="n">
        <v>0.25</v>
      </c>
      <c r="AT11" s="155" t="n">
        <v>0.25</v>
      </c>
      <c r="AU11" s="155" t="n">
        <v>0.25</v>
      </c>
      <c r="AV11" s="155" t="n">
        <v>0.25</v>
      </c>
      <c r="AW11" s="155" t="n">
        <v>0.25</v>
      </c>
      <c r="AX11" s="155" t="n">
        <v>0.25</v>
      </c>
      <c r="AY11" s="155" t="n">
        <v>0.25</v>
      </c>
      <c r="AZ11" s="155" t="n">
        <v>0.25</v>
      </c>
      <c r="BA11" s="155" t="n">
        <v>0.25</v>
      </c>
      <c r="BB11" s="155" t="n">
        <v>0.25</v>
      </c>
      <c r="BC11" s="155" t="n">
        <v>0.25</v>
      </c>
      <c r="BD11" s="155" t="n">
        <v>0.25</v>
      </c>
      <c r="BE11" s="155" t="n">
        <v>0.25</v>
      </c>
      <c r="BF11" s="155" t="n">
        <v>0.25</v>
      </c>
      <c r="BG11" s="155" t="n">
        <v>0.25</v>
      </c>
      <c r="BH11" s="155" t="n">
        <v>0.25</v>
      </c>
      <c r="BI11" s="155" t="n">
        <v>0.25</v>
      </c>
      <c r="BJ11" s="155" t="n">
        <v>0.25</v>
      </c>
      <c r="BK11" s="155" t="n">
        <v>0.25</v>
      </c>
      <c r="BL11" s="155" t="n">
        <v>0.25</v>
      </c>
      <c r="BM11" s="155" t="n">
        <v>0.25</v>
      </c>
      <c r="BN11" s="156" t="n">
        <v>0.25</v>
      </c>
      <c r="BO11" s="155" t="n">
        <v>0.25</v>
      </c>
      <c r="BP11" s="155" t="n">
        <v>0.25</v>
      </c>
      <c r="BQ11" s="155" t="n">
        <v>0.25</v>
      </c>
      <c r="BR11" s="155" t="n">
        <v>0.25</v>
      </c>
    </row>
    <row r="12" outlineLevel="1" ht="18" customFormat="1" customHeight="1" s="8">
      <c r="A12" s="152" t="inlineStr">
        <is>
          <t>KPI</t>
        </is>
      </c>
      <c r="C12" s="17" t="inlineStr">
        <is>
          <t>１税理士 / 受注数</t>
        </is>
      </c>
      <c r="D12" s="12" t="n"/>
      <c r="E12" s="12" t="n"/>
      <c r="F12" s="18">
        <f>PRODUCT(F6:F11) - F19</f>
        <v>0.0</v>
      </c>
      <c r="G12" s="18">
        <f>PRODUCT(G6:G11) - G19</f>
        <v>3.781575</v>
      </c>
      <c r="H12" s="18">
        <f>PRODUCT(H6:H11) - H19</f>
        <v>20.7986625</v>
      </c>
      <c r="I12" s="18">
        <f>PRODUCT(I6:I11) - I19</f>
        <v>37.5875</v>
      </c>
      <c r="J12" s="18">
        <f>PRODUCT(J6:J11) - J19</f>
        <v>53.0225</v>
      </c>
      <c r="K12" s="18">
        <f>PRODUCT(K6:K11) - K19</f>
        <v>72.31625</v>
      </c>
      <c r="L12" s="18">
        <f>PRODUCT(L6:L11) - L19</f>
        <v>90.61</v>
      </c>
      <c r="M12" s="18">
        <f>PRODUCT(M6:M11) - M19</f>
        <v>109.90375</v>
      </c>
      <c r="N12" s="18">
        <f>PRODUCT(N6:N11) - N19</f>
        <v>132.05625</v>
      </c>
      <c r="O12" s="18">
        <f>PRODUCT(O6:O11) - O19</f>
        <v>153.279375</v>
      </c>
      <c r="P12" s="18">
        <f>PRODUCT(P6:P11) - P19</f>
        <v>173.5025</v>
      </c>
      <c r="Q12" s="18">
        <f>PRODUCT(Q6:Q11) - Q19</f>
        <v>198.584375</v>
      </c>
      <c r="R12" s="18">
        <f>PRODUCT(R6:R11) - R19</f>
        <v>220.736875</v>
      </c>
      <c r="S12" s="18">
        <f>PRODUCT(S6:S11) - S19</f>
        <v>243.889375</v>
      </c>
      <c r="T12" s="18">
        <f>PRODUCT(T6:T11) - T19</f>
        <v>269.900625</v>
      </c>
      <c r="U12" s="18">
        <f>PRODUCT(U6:U11) - U19</f>
        <v>294.9825</v>
      </c>
      <c r="V12" s="18">
        <f>PRODUCT(V6:V11) - V19</f>
        <v>319.064375</v>
      </c>
      <c r="W12" s="18">
        <f>PRODUCT(W6:W11) - W19</f>
        <v>348.005</v>
      </c>
      <c r="X12" s="18">
        <f>PRODUCT(X6:X11) - X19</f>
        <v>374.01625</v>
      </c>
      <c r="Y12" s="18">
        <f>PRODUCT(Y6:Y11) - Y19</f>
        <v>401.0275</v>
      </c>
      <c r="Z12" s="18">
        <f>PRODUCT(Z6:Z11) - Z19</f>
        <v>430.8975</v>
      </c>
      <c r="AA12" s="18">
        <f>PRODUCT(AA6:AA11) - AA19</f>
        <v>459.838125</v>
      </c>
      <c r="AB12" s="18">
        <f>PRODUCT(AB6:AB11) - AB19</f>
        <v>487.77875</v>
      </c>
      <c r="AC12" s="18">
        <f>PRODUCT(AC6:AC11) - AC19</f>
        <v>517.64875</v>
      </c>
      <c r="AD12" s="18">
        <f>PRODUCT(AD6:AD11) - AD19</f>
        <v>555.3775</v>
      </c>
      <c r="AE12" s="18">
        <f>PRODUCT(AE6:AE11) - AE19</f>
        <v>587.176875</v>
      </c>
      <c r="AF12" s="18">
        <f>PRODUCT(AF6:AF11) - AF19</f>
        <v>623.835</v>
      </c>
      <c r="AG12" s="18">
        <f>PRODUCT(AG6:AG11) - AG19</f>
        <v>657.56375</v>
      </c>
      <c r="AH12" s="18">
        <f>PRODUCT(AH6:AH11) - AH19</f>
        <v>693.221875</v>
      </c>
      <c r="AI12" s="18">
        <f>PRODUCT(AI6:AI11) - AI19</f>
        <v>729.88</v>
      </c>
      <c r="AJ12" s="18">
        <f>PRODUCT(AJ6:AJ11) - AJ19</f>
        <v>767.4675</v>
      </c>
      <c r="AK12" s="18">
        <f>PRODUCT(AK6:AK11) - AK19</f>
        <v>804.125625</v>
      </c>
      <c r="AL12" s="18">
        <f>PRODUCT(AL6:AL11) - AL19</f>
        <v>843.6425</v>
      </c>
      <c r="AM12" s="18">
        <f>PRODUCT(AM6:AM11) - AM19</f>
        <v>882.23</v>
      </c>
      <c r="AN12" s="18">
        <f>PRODUCT(AN6:AN11) - AN19</f>
        <v>919.8175</v>
      </c>
      <c r="AO12" s="18">
        <f>PRODUCT(AO6:AO11) - AO19</f>
        <v>961.26375</v>
      </c>
      <c r="AP12" s="18">
        <f>PRODUCT(AP6:AP11) - AP19</f>
        <v>1001.780625</v>
      </c>
      <c r="AQ12" s="18">
        <f>PRODUCT(AQ6:AQ11) - AQ19</f>
        <v>1041.2975</v>
      </c>
      <c r="AR12" s="18">
        <f>PRODUCT(AR6:AR11) - AR19</f>
        <v>1083.74375</v>
      </c>
      <c r="AS12" s="18">
        <f>PRODUCT(AS6:AS11) - AS19</f>
        <v>1126.19</v>
      </c>
      <c r="AT12" s="18">
        <f>PRODUCT(AT6:AT11) - AT19</f>
        <v>1166.63625</v>
      </c>
      <c r="AU12" s="18">
        <f>PRODUCT(AU6:AU11) - AU19</f>
        <v>1211.011875</v>
      </c>
      <c r="AV12" s="18">
        <f>PRODUCT(AV6:AV11) - AV19</f>
        <v>1254.3875</v>
      </c>
      <c r="AW12" s="18">
        <f>PRODUCT(AW6:AW11) - AW19</f>
        <v>1298.763125</v>
      </c>
      <c r="AX12" s="18">
        <f>PRODUCT(AX6:AX11) - AX19</f>
        <v>1344.068125</v>
      </c>
      <c r="AY12" s="18">
        <f>PRODUCT(AY6:AY11) - AY19</f>
        <v>1387.44375</v>
      </c>
      <c r="AZ12" s="18">
        <f>PRODUCT(AZ6:AZ11) - AZ19</f>
        <v>1432.74875</v>
      </c>
      <c r="BA12" s="18">
        <f>PRODUCT(BA6:BA11) - BA19</f>
        <v>1478.05375</v>
      </c>
      <c r="BB12" s="18">
        <f>PRODUCT(BB6:BB11) - BB19</f>
        <v>1541.005625</v>
      </c>
      <c r="BC12" s="18">
        <f>PRODUCT(BC6:BC11) - BC19</f>
        <v>1595.028125</v>
      </c>
      <c r="BD12" s="18">
        <f>PRODUCT(BD6:BD11) - BD19</f>
        <v>1649.98</v>
      </c>
      <c r="BE12" s="18">
        <f>PRODUCT(BE6:BE11) - BE19</f>
        <v>1705.931875</v>
      </c>
      <c r="BF12" s="18">
        <f>PRODUCT(BF6:BF11) - BF19</f>
        <v>1760.88375</v>
      </c>
      <c r="BG12" s="18">
        <f>PRODUCT(BG6:BG11) - BG19</f>
        <v>1820.694375</v>
      </c>
      <c r="BH12" s="18">
        <f>PRODUCT(BH6:BH11) - BH19</f>
        <v>1877.575625</v>
      </c>
      <c r="BI12" s="18">
        <f>PRODUCT(BI6:BI11) - BI19</f>
        <v>1934.456875</v>
      </c>
      <c r="BJ12" s="18">
        <f>PRODUCT(BJ6:BJ11) - BJ19</f>
        <v>1994.2675</v>
      </c>
      <c r="BK12" s="18">
        <f>PRODUCT(BK6:BK11) - BK19</f>
        <v>2053.078125</v>
      </c>
      <c r="BL12" s="18">
        <f>PRODUCT(BL6:BL11) - BL19</f>
        <v>2112.88875</v>
      </c>
      <c r="BM12" s="18">
        <f>PRODUCT(BM6:BM11) - BM19</f>
        <v>2173.62875</v>
      </c>
      <c r="BN12" s="37">
        <f>PRODUCT(BN6:BN11) - BN19</f>
        <v>181.0827375</v>
      </c>
      <c r="BO12" s="18">
        <f>PRODUCT(BO6:BO11) - BO19</f>
        <v>437.64875</v>
      </c>
      <c r="BP12" s="18">
        <f>PRODUCT(BP6:BP11) - BP19</f>
        <v>839.26375</v>
      </c>
      <c r="BQ12" s="18">
        <f>PRODUCT(BQ6:BQ11) - BQ19</f>
        <v>1278.05375</v>
      </c>
      <c r="BR12" s="18">
        <f>PRODUCT(BR6:BR11) - BR19</f>
        <v>1970.62875</v>
      </c>
    </row>
    <row r="13" outlineLevel="1" ht="17" customFormat="1" customHeight="1" s="8">
      <c r="C13" s="13" t="inlineStr">
        <is>
          <t>ビジとり 税理士（月/社）</t>
        </is>
      </c>
      <c r="D13" s="12" t="n"/>
      <c r="E13" s="12" t="n"/>
      <c r="F13" s="157" t="n">
        <v>2500</v>
      </c>
      <c r="G13" s="157" t="n">
        <v>2500</v>
      </c>
      <c r="H13" s="157" t="n">
        <v>2500</v>
      </c>
      <c r="I13" s="157" t="n">
        <v>2500</v>
      </c>
      <c r="J13" s="157" t="n">
        <v>2500</v>
      </c>
      <c r="K13" s="157" t="n">
        <v>2500</v>
      </c>
      <c r="L13" s="157" t="n">
        <v>2500</v>
      </c>
      <c r="M13" s="157" t="n">
        <v>2500</v>
      </c>
      <c r="N13" s="157" t="n">
        <v>2500</v>
      </c>
      <c r="O13" s="157" t="n">
        <v>2500</v>
      </c>
      <c r="P13" s="157" t="n">
        <v>2500</v>
      </c>
      <c r="Q13" s="157" t="n">
        <v>2500</v>
      </c>
      <c r="R13" s="157" t="n">
        <v>2500</v>
      </c>
      <c r="S13" s="157" t="n">
        <v>2500</v>
      </c>
      <c r="T13" s="157" t="n">
        <v>2500</v>
      </c>
      <c r="U13" s="157" t="n">
        <v>2500</v>
      </c>
      <c r="V13" s="157" t="n">
        <v>2500</v>
      </c>
      <c r="W13" s="157" t="n">
        <v>2500</v>
      </c>
      <c r="X13" s="157" t="n">
        <v>2500</v>
      </c>
      <c r="Y13" s="157" t="n">
        <v>2500</v>
      </c>
      <c r="Z13" s="157" t="n">
        <v>2500</v>
      </c>
      <c r="AA13" s="157" t="n">
        <v>2500</v>
      </c>
      <c r="AB13" s="157" t="n">
        <v>2500</v>
      </c>
      <c r="AC13" s="157" t="n">
        <v>2500</v>
      </c>
      <c r="AD13" s="157" t="n">
        <v>2500</v>
      </c>
      <c r="AE13" s="157" t="n">
        <v>2500</v>
      </c>
      <c r="AF13" s="157" t="n">
        <v>2500</v>
      </c>
      <c r="AG13" s="157" t="n">
        <v>2500</v>
      </c>
      <c r="AH13" s="157" t="n">
        <v>2500</v>
      </c>
      <c r="AI13" s="157" t="n">
        <v>2500</v>
      </c>
      <c r="AJ13" s="157" t="n">
        <v>2500</v>
      </c>
      <c r="AK13" s="157" t="n">
        <v>2500</v>
      </c>
      <c r="AL13" s="157" t="n">
        <v>2500</v>
      </c>
      <c r="AM13" s="157" t="n">
        <v>2500</v>
      </c>
      <c r="AN13" s="157" t="n">
        <v>2500</v>
      </c>
      <c r="AO13" s="157" t="n">
        <v>2500</v>
      </c>
      <c r="AP13" s="157" t="n">
        <v>2500</v>
      </c>
      <c r="AQ13" s="157" t="n">
        <v>2500</v>
      </c>
      <c r="AR13" s="157" t="n">
        <v>2500</v>
      </c>
      <c r="AS13" s="157" t="n">
        <v>2500</v>
      </c>
      <c r="AT13" s="157" t="n">
        <v>2500</v>
      </c>
      <c r="AU13" s="157" t="n">
        <v>2500</v>
      </c>
      <c r="AV13" s="157" t="n">
        <v>2500</v>
      </c>
      <c r="AW13" s="157" t="n">
        <v>2500</v>
      </c>
      <c r="AX13" s="157" t="n">
        <v>2500</v>
      </c>
      <c r="AY13" s="157" t="n">
        <v>2500</v>
      </c>
      <c r="AZ13" s="157" t="n">
        <v>2500</v>
      </c>
      <c r="BA13" s="157" t="n">
        <v>2500</v>
      </c>
      <c r="BB13" s="157" t="n">
        <v>2500</v>
      </c>
      <c r="BC13" s="157" t="n">
        <v>2500</v>
      </c>
      <c r="BD13" s="157" t="n">
        <v>2500</v>
      </c>
      <c r="BE13" s="157" t="n">
        <v>2500</v>
      </c>
      <c r="BF13" s="157" t="n">
        <v>2500</v>
      </c>
      <c r="BG13" s="157" t="n">
        <v>2500</v>
      </c>
      <c r="BH13" s="157" t="n">
        <v>2500</v>
      </c>
      <c r="BI13" s="157" t="n">
        <v>2500</v>
      </c>
      <c r="BJ13" s="157" t="n">
        <v>2500</v>
      </c>
      <c r="BK13" s="157" t="n">
        <v>2500</v>
      </c>
      <c r="BL13" s="157" t="n">
        <v>2500</v>
      </c>
      <c r="BM13" s="157" t="n">
        <v>2500</v>
      </c>
      <c r="BN13" s="158" t="n">
        <v>2500</v>
      </c>
      <c r="BO13" s="157" t="n">
        <v>2500</v>
      </c>
      <c r="BP13" s="157" t="n">
        <v>2500</v>
      </c>
      <c r="BQ13" s="157" t="n">
        <v>2500</v>
      </c>
      <c r="BR13" s="157" t="n">
        <v>2500</v>
      </c>
    </row>
    <row r="14" outlineLevel="1" ht="17" customFormat="1" customHeight="1" s="8">
      <c r="C14" s="13" t="inlineStr">
        <is>
          <t>ビジとり Taxel（月/社）</t>
        </is>
      </c>
      <c r="D14" s="12" t="n"/>
      <c r="E14" s="12" t="n"/>
      <c r="F14" s="157" t="n">
        <v>500</v>
      </c>
      <c r="G14" s="157" t="n">
        <v>500</v>
      </c>
      <c r="H14" s="157" t="n">
        <v>500</v>
      </c>
      <c r="I14" s="157" t="n">
        <v>500</v>
      </c>
      <c r="J14" s="157" t="n">
        <v>500</v>
      </c>
      <c r="K14" s="157" t="n">
        <v>500</v>
      </c>
      <c r="L14" s="157" t="n">
        <v>500</v>
      </c>
      <c r="M14" s="157" t="n">
        <v>500</v>
      </c>
      <c r="N14" s="157" t="n">
        <v>500</v>
      </c>
      <c r="O14" s="157" t="n">
        <v>500</v>
      </c>
      <c r="P14" s="157" t="n">
        <v>500</v>
      </c>
      <c r="Q14" s="157" t="n">
        <v>500</v>
      </c>
      <c r="R14" s="157" t="n">
        <v>500</v>
      </c>
      <c r="S14" s="157" t="n">
        <v>500</v>
      </c>
      <c r="T14" s="157" t="n">
        <v>500</v>
      </c>
      <c r="U14" s="157" t="n">
        <v>500</v>
      </c>
      <c r="V14" s="157" t="n">
        <v>500</v>
      </c>
      <c r="W14" s="157" t="n">
        <v>500</v>
      </c>
      <c r="X14" s="157" t="n">
        <v>500</v>
      </c>
      <c r="Y14" s="157" t="n">
        <v>500</v>
      </c>
      <c r="Z14" s="157" t="n">
        <v>500</v>
      </c>
      <c r="AA14" s="157" t="n">
        <v>500</v>
      </c>
      <c r="AB14" s="157" t="n">
        <v>500</v>
      </c>
      <c r="AC14" s="157" t="n">
        <v>500</v>
      </c>
      <c r="AD14" s="157" t="n">
        <v>500</v>
      </c>
      <c r="AE14" s="157" t="n">
        <v>500</v>
      </c>
      <c r="AF14" s="157" t="n">
        <v>500</v>
      </c>
      <c r="AG14" s="157" t="n">
        <v>500</v>
      </c>
      <c r="AH14" s="157" t="n">
        <v>500</v>
      </c>
      <c r="AI14" s="157" t="n">
        <v>500</v>
      </c>
      <c r="AJ14" s="157" t="n">
        <v>500</v>
      </c>
      <c r="AK14" s="157" t="n">
        <v>500</v>
      </c>
      <c r="AL14" s="157" t="n">
        <v>500</v>
      </c>
      <c r="AM14" s="157" t="n">
        <v>500</v>
      </c>
      <c r="AN14" s="157" t="n">
        <v>500</v>
      </c>
      <c r="AO14" s="157" t="n">
        <v>500</v>
      </c>
      <c r="AP14" s="157" t="n">
        <v>500</v>
      </c>
      <c r="AQ14" s="157" t="n">
        <v>500</v>
      </c>
      <c r="AR14" s="157" t="n">
        <v>500</v>
      </c>
      <c r="AS14" s="157" t="n">
        <v>500</v>
      </c>
      <c r="AT14" s="157" t="n">
        <v>500</v>
      </c>
      <c r="AU14" s="157" t="n">
        <v>500</v>
      </c>
      <c r="AV14" s="157" t="n">
        <v>500</v>
      </c>
      <c r="AW14" s="157" t="n">
        <v>500</v>
      </c>
      <c r="AX14" s="157" t="n">
        <v>500</v>
      </c>
      <c r="AY14" s="157" t="n">
        <v>500</v>
      </c>
      <c r="AZ14" s="157" t="n">
        <v>500</v>
      </c>
      <c r="BA14" s="157" t="n">
        <v>500</v>
      </c>
      <c r="BB14" s="157" t="n">
        <v>500</v>
      </c>
      <c r="BC14" s="157" t="n">
        <v>500</v>
      </c>
      <c r="BD14" s="157" t="n">
        <v>500</v>
      </c>
      <c r="BE14" s="157" t="n">
        <v>500</v>
      </c>
      <c r="BF14" s="157" t="n">
        <v>500</v>
      </c>
      <c r="BG14" s="157" t="n">
        <v>500</v>
      </c>
      <c r="BH14" s="157" t="n">
        <v>500</v>
      </c>
      <c r="BI14" s="157" t="n">
        <v>500</v>
      </c>
      <c r="BJ14" s="157" t="n">
        <v>500</v>
      </c>
      <c r="BK14" s="157" t="n">
        <v>500</v>
      </c>
      <c r="BL14" s="157" t="n">
        <v>500</v>
      </c>
      <c r="BM14" s="157" t="n">
        <v>500</v>
      </c>
      <c r="BN14" s="158" t="n">
        <v>500</v>
      </c>
      <c r="BO14" s="157" t="n">
        <v>500</v>
      </c>
      <c r="BP14" s="157" t="n">
        <v>500</v>
      </c>
      <c r="BQ14" s="157" t="n">
        <v>500</v>
      </c>
      <c r="BR14" s="157" t="n">
        <v>500</v>
      </c>
    </row>
    <row r="15" outlineLevel="1" ht="17" customFormat="1" customHeight="1" s="8">
      <c r="C15" s="13" t="inlineStr">
        <is>
          <t>ビジとり 定常浸透率（対象社数に対して）</t>
        </is>
      </c>
      <c r="D15" s="12" t="n"/>
      <c r="E15" s="12" t="n"/>
      <c r="F15" s="153" t="n">
        <v>0.7</v>
      </c>
      <c r="G15" s="153" t="n">
        <v>0.7</v>
      </c>
      <c r="H15" s="153" t="n">
        <v>0.7</v>
      </c>
      <c r="I15" s="153" t="n">
        <v>0.7</v>
      </c>
      <c r="J15" s="153" t="n">
        <v>0.7</v>
      </c>
      <c r="K15" s="153" t="n">
        <v>0.7</v>
      </c>
      <c r="L15" s="153" t="n">
        <v>0.7</v>
      </c>
      <c r="M15" s="153" t="n">
        <v>0.7</v>
      </c>
      <c r="N15" s="153" t="n">
        <v>0.7</v>
      </c>
      <c r="O15" s="153" t="n">
        <v>0.7</v>
      </c>
      <c r="P15" s="153" t="n">
        <v>0.7</v>
      </c>
      <c r="Q15" s="153" t="n">
        <v>0.7</v>
      </c>
      <c r="R15" s="153" t="n">
        <v>0.7</v>
      </c>
      <c r="S15" s="153" t="n">
        <v>0.7</v>
      </c>
      <c r="T15" s="153" t="n">
        <v>0.7</v>
      </c>
      <c r="U15" s="153" t="n">
        <v>0.7</v>
      </c>
      <c r="V15" s="153" t="n">
        <v>0.7</v>
      </c>
      <c r="W15" s="153" t="n">
        <v>0.7</v>
      </c>
      <c r="X15" s="153" t="n">
        <v>0.7</v>
      </c>
      <c r="Y15" s="153" t="n">
        <v>0.7</v>
      </c>
      <c r="Z15" s="153" t="n">
        <v>0.7</v>
      </c>
      <c r="AA15" s="153" t="n">
        <v>0.7</v>
      </c>
      <c r="AB15" s="153" t="n">
        <v>0.7</v>
      </c>
      <c r="AC15" s="153" t="n">
        <v>0.7</v>
      </c>
      <c r="AD15" s="153" t="n">
        <v>0.7</v>
      </c>
      <c r="AE15" s="153" t="n">
        <v>0.7</v>
      </c>
      <c r="AF15" s="153" t="n">
        <v>0.7</v>
      </c>
      <c r="AG15" s="153" t="n">
        <v>0.7</v>
      </c>
      <c r="AH15" s="153" t="n">
        <v>0.7</v>
      </c>
      <c r="AI15" s="153" t="n">
        <v>0.7</v>
      </c>
      <c r="AJ15" s="153" t="n">
        <v>0.7</v>
      </c>
      <c r="AK15" s="153" t="n">
        <v>0.7</v>
      </c>
      <c r="AL15" s="153" t="n">
        <v>0.7</v>
      </c>
      <c r="AM15" s="153" t="n">
        <v>0.7</v>
      </c>
      <c r="AN15" s="153" t="n">
        <v>0.7</v>
      </c>
      <c r="AO15" s="153" t="n">
        <v>0.7</v>
      </c>
      <c r="AP15" s="153" t="n">
        <v>0.7</v>
      </c>
      <c r="AQ15" s="153" t="n">
        <v>0.7</v>
      </c>
      <c r="AR15" s="153" t="n">
        <v>0.7</v>
      </c>
      <c r="AS15" s="153" t="n">
        <v>0.7</v>
      </c>
      <c r="AT15" s="153" t="n">
        <v>0.7</v>
      </c>
      <c r="AU15" s="153" t="n">
        <v>0.7</v>
      </c>
      <c r="AV15" s="153" t="n">
        <v>0.7</v>
      </c>
      <c r="AW15" s="153" t="n">
        <v>0.7</v>
      </c>
      <c r="AX15" s="153" t="n">
        <v>0.7</v>
      </c>
      <c r="AY15" s="153" t="n">
        <v>0.7</v>
      </c>
      <c r="AZ15" s="153" t="n">
        <v>0.7</v>
      </c>
      <c r="BA15" s="153" t="n">
        <v>0.7</v>
      </c>
      <c r="BB15" s="153" t="n">
        <v>0.7</v>
      </c>
      <c r="BC15" s="153" t="n">
        <v>0.7</v>
      </c>
      <c r="BD15" s="153" t="n">
        <v>0.7</v>
      </c>
      <c r="BE15" s="153" t="n">
        <v>0.7</v>
      </c>
      <c r="BF15" s="153" t="n">
        <v>0.7</v>
      </c>
      <c r="BG15" s="153" t="n">
        <v>0.7</v>
      </c>
      <c r="BH15" s="153" t="n">
        <v>0.7</v>
      </c>
      <c r="BI15" s="153" t="n">
        <v>0.7</v>
      </c>
      <c r="BJ15" s="153" t="n">
        <v>0.7</v>
      </c>
      <c r="BK15" s="153" t="n">
        <v>0.7</v>
      </c>
      <c r="BL15" s="153" t="n">
        <v>0.7</v>
      </c>
      <c r="BM15" s="153" t="n">
        <v>0.7</v>
      </c>
      <c r="BN15" s="154" t="n">
        <v>0.7</v>
      </c>
      <c r="BO15" s="153" t="n">
        <v>0.7</v>
      </c>
      <c r="BP15" s="153" t="n">
        <v>0.7</v>
      </c>
      <c r="BQ15" s="153" t="n">
        <v>0.7</v>
      </c>
      <c r="BR15" s="153" t="n">
        <v>0.7</v>
      </c>
    </row>
    <row r="16" outlineLevel="1" ht="17" customFormat="1" customHeight="1" s="8">
      <c r="C16" s="13" t="inlineStr">
        <is>
          <t>１税理士 / 紹介費用</t>
        </is>
      </c>
      <c r="D16" s="12" t="n"/>
      <c r="E16" s="12" t="n"/>
      <c r="F16" s="18">
        <f>F14*F12</f>
        <v>0.0</v>
      </c>
      <c r="G16" s="18">
        <f>G13*G12</f>
        <v>9453.9375</v>
      </c>
      <c r="H16" s="18">
        <f>H13*H12</f>
        <v>51996.65625</v>
      </c>
      <c r="I16" s="18">
        <f>I13*I12</f>
        <v>93968.75</v>
      </c>
      <c r="J16" s="18">
        <f>J13*J12</f>
        <v>132556.25</v>
      </c>
      <c r="K16" s="18">
        <f>K13*K12</f>
        <v>180790.625</v>
      </c>
      <c r="L16" s="18">
        <f>L13*L12</f>
        <v>226525.0</v>
      </c>
      <c r="M16" s="18">
        <f>M13*M12</f>
        <v>274759.375</v>
      </c>
      <c r="N16" s="18">
        <f>N13*N12</f>
        <v>330140.625</v>
      </c>
      <c r="O16" s="18">
        <f>O13*O12</f>
        <v>383198.4375</v>
      </c>
      <c r="P16" s="18">
        <f>P13*P12</f>
        <v>433756.25</v>
      </c>
      <c r="Q16" s="18">
        <f>Q13*Q12</f>
        <v>496460.9375</v>
      </c>
      <c r="R16" s="18">
        <f>R13*R12</f>
        <v>551842.1875</v>
      </c>
      <c r="S16" s="18">
        <f>S13*S12</f>
        <v>609723.4375</v>
      </c>
      <c r="T16" s="18">
        <f>T13*T12</f>
        <v>674751.5625</v>
      </c>
      <c r="U16" s="18">
        <f>U13*U12</f>
        <v>737456.25</v>
      </c>
      <c r="V16" s="18">
        <f>V13*V12</f>
        <v>797660.9375</v>
      </c>
      <c r="W16" s="18">
        <f>W13*W12</f>
        <v>870012.5</v>
      </c>
      <c r="X16" s="18">
        <f>X13*X12</f>
        <v>935040.625</v>
      </c>
      <c r="Y16" s="18">
        <f>Y13*Y12</f>
        <v>1002568.75</v>
      </c>
      <c r="Z16" s="18">
        <f>Z13*Z12</f>
        <v>1077243.75</v>
      </c>
      <c r="AA16" s="18">
        <f>AA13*AA12</f>
        <v>1149595.3125</v>
      </c>
      <c r="AB16" s="18">
        <f>AB13*AB12</f>
        <v>1219446.875</v>
      </c>
      <c r="AC16" s="18">
        <f>AC13*AC12</f>
        <v>1294121.875</v>
      </c>
      <c r="AD16" s="18">
        <f>AD13*AD12</f>
        <v>1388443.75</v>
      </c>
      <c r="AE16" s="18">
        <f>AE13*AE12</f>
        <v>1467942.1875</v>
      </c>
      <c r="AF16" s="18">
        <f>AF13*AF12</f>
        <v>1559587.5</v>
      </c>
      <c r="AG16" s="18">
        <f>AG13*AG12</f>
        <v>1643909.375</v>
      </c>
      <c r="AH16" s="18">
        <f>AH13*AH12</f>
        <v>1733054.6875</v>
      </c>
      <c r="AI16" s="18">
        <f>AI13*AI12</f>
        <v>1824700.0</v>
      </c>
      <c r="AJ16" s="18">
        <f>AJ13*AJ12</f>
        <v>1918668.75</v>
      </c>
      <c r="AK16" s="18">
        <f>AK13*AK12</f>
        <v>2010314.0625</v>
      </c>
      <c r="AL16" s="18">
        <f>AL13*AL12</f>
        <v>2109106.25</v>
      </c>
      <c r="AM16" s="18">
        <f>AM13*AM12</f>
        <v>2205575.0</v>
      </c>
      <c r="AN16" s="18">
        <f>AN13*AN12</f>
        <v>2299543.75</v>
      </c>
      <c r="AO16" s="18">
        <f>AO13*AO12</f>
        <v>2403159.375</v>
      </c>
      <c r="AP16" s="18">
        <f>AP13*AP12</f>
        <v>2504451.5625</v>
      </c>
      <c r="AQ16" s="18">
        <f>AQ13*AQ12</f>
        <v>2603243.75</v>
      </c>
      <c r="AR16" s="18">
        <f>AR13*AR12</f>
        <v>2709359.375</v>
      </c>
      <c r="AS16" s="18">
        <f>AS13*AS12</f>
        <v>2815475.0</v>
      </c>
      <c r="AT16" s="18">
        <f>AT13*AT12</f>
        <v>2916590.625</v>
      </c>
      <c r="AU16" s="18">
        <f>AU13*AU12</f>
        <v>3027529.6875</v>
      </c>
      <c r="AV16" s="18">
        <f>AV13*AV12</f>
        <v>3135968.75</v>
      </c>
      <c r="AW16" s="18">
        <f>AW13*AW12</f>
        <v>3246907.8125</v>
      </c>
      <c r="AX16" s="18">
        <f>AX13*AX12</f>
        <v>3360170.3125</v>
      </c>
      <c r="AY16" s="18">
        <f>AY13*AY12</f>
        <v>3468609.375</v>
      </c>
      <c r="AZ16" s="18">
        <f>AZ13*AZ12</f>
        <v>3581871.875</v>
      </c>
      <c r="BA16" s="18">
        <f>BA13*BA12</f>
        <v>3695134.375</v>
      </c>
      <c r="BB16" s="18">
        <f>BB13*BB12</f>
        <v>3852514.0625</v>
      </c>
      <c r="BC16" s="18">
        <f>BC13*BC12</f>
        <v>3987570.3125</v>
      </c>
      <c r="BD16" s="18">
        <f>BD13*BD12</f>
        <v>4124950.0</v>
      </c>
      <c r="BE16" s="18">
        <f>BE13*BE12</f>
        <v>4264829.6875</v>
      </c>
      <c r="BF16" s="18">
        <f>BF13*BF12</f>
        <v>4402209.375</v>
      </c>
      <c r="BG16" s="18">
        <f>BG13*BG12</f>
        <v>4551735.9375</v>
      </c>
      <c r="BH16" s="18">
        <f>BH13*BH12</f>
        <v>4693939.0625</v>
      </c>
      <c r="BI16" s="18">
        <f>BI13*BI12</f>
        <v>4836142.1875</v>
      </c>
      <c r="BJ16" s="18">
        <f>BJ13*BJ12</f>
        <v>4985668.75</v>
      </c>
      <c r="BK16" s="18">
        <f>BK13*BK12</f>
        <v>5132695.3125</v>
      </c>
      <c r="BL16" s="18">
        <f>BL13*BL12</f>
        <v>5282221.875</v>
      </c>
      <c r="BM16" s="18">
        <f>BM13*BM12</f>
        <v>5434071.875</v>
      </c>
      <c r="BN16" s="37">
        <f>BN14*BN12</f>
        <v>90541.36875</v>
      </c>
      <c r="BO16" s="18">
        <f>BO14*BO12</f>
        <v>218824.375</v>
      </c>
      <c r="BP16" s="18">
        <f>BP14*BP12</f>
        <v>419631.875</v>
      </c>
      <c r="BQ16" s="18">
        <f>BQ14*BQ12</f>
        <v>639026.875</v>
      </c>
      <c r="BR16" s="18">
        <f>BR14*BR12</f>
        <v>985314.375</v>
      </c>
    </row>
    <row r="17" outlineLevel="1" ht="17" customFormat="1" customHeight="1" s="8">
      <c r="C17" s="17" t="inlineStr">
        <is>
          <t>税理士数＝アカウト数</t>
        </is>
      </c>
      <c r="D17" s="12" t="n"/>
      <c r="E17" s="12" t="n"/>
      <c r="F17" s="104" t="n">
        <v>0</v>
      </c>
      <c r="G17" s="104" t="n">
        <v>2</v>
      </c>
      <c r="H17" s="104" t="n">
        <v>11</v>
      </c>
      <c r="I17" s="104" t="n">
        <v>20</v>
      </c>
      <c r="J17" s="104" t="n">
        <v>28</v>
      </c>
      <c r="K17" s="104" t="n">
        <v>38</v>
      </c>
      <c r="L17" s="104" t="n">
        <v>48</v>
      </c>
      <c r="M17" s="104" t="n">
        <v>58</v>
      </c>
      <c r="N17" s="104" t="n">
        <v>70</v>
      </c>
      <c r="O17" s="104" t="n">
        <v>81</v>
      </c>
      <c r="P17" s="104" t="n">
        <v>92</v>
      </c>
      <c r="Q17" s="104" t="n">
        <v>105</v>
      </c>
      <c r="R17" s="104" t="n">
        <v>117</v>
      </c>
      <c r="S17" s="104" t="n">
        <v>129</v>
      </c>
      <c r="T17" s="104" t="n">
        <v>143</v>
      </c>
      <c r="U17" s="104" t="n">
        <v>156</v>
      </c>
      <c r="V17" s="104" t="n">
        <v>169</v>
      </c>
      <c r="W17" s="104" t="n">
        <v>184</v>
      </c>
      <c r="X17" s="104" t="n">
        <v>198</v>
      </c>
      <c r="Y17" s="104" t="n">
        <v>212</v>
      </c>
      <c r="Z17" s="104" t="n">
        <v>228</v>
      </c>
      <c r="AA17" s="104" t="n">
        <v>243</v>
      </c>
      <c r="AB17" s="104" t="n">
        <v>258</v>
      </c>
      <c r="AC17" s="104" t="n">
        <v>274</v>
      </c>
      <c r="AD17" s="104" t="n">
        <v>292</v>
      </c>
      <c r="AE17" s="104" t="n">
        <v>309</v>
      </c>
      <c r="AF17" s="104" t="n">
        <v>328</v>
      </c>
      <c r="AG17" s="104" t="n">
        <v>346</v>
      </c>
      <c r="AH17" s="104" t="n">
        <v>365</v>
      </c>
      <c r="AI17" s="104" t="n">
        <v>384</v>
      </c>
      <c r="AJ17" s="104" t="n">
        <v>404</v>
      </c>
      <c r="AK17" s="104" t="n">
        <v>423</v>
      </c>
      <c r="AL17" s="104" t="n">
        <v>444</v>
      </c>
      <c r="AM17" s="104" t="n">
        <v>464</v>
      </c>
      <c r="AN17" s="104" t="n">
        <v>484</v>
      </c>
      <c r="AO17" s="104" t="n">
        <v>506</v>
      </c>
      <c r="AP17" s="104" t="n">
        <v>527</v>
      </c>
      <c r="AQ17" s="104" t="n">
        <v>548</v>
      </c>
      <c r="AR17" s="104" t="n">
        <v>570</v>
      </c>
      <c r="AS17" s="104" t="n">
        <v>592</v>
      </c>
      <c r="AT17" s="104" t="n">
        <v>614</v>
      </c>
      <c r="AU17" s="104" t="n">
        <v>637</v>
      </c>
      <c r="AV17" s="104" t="n">
        <v>660</v>
      </c>
      <c r="AW17" s="104" t="n">
        <v>683</v>
      </c>
      <c r="AX17" s="104" t="n">
        <v>707</v>
      </c>
      <c r="AY17" s="104" t="n">
        <v>730</v>
      </c>
      <c r="AZ17" s="104" t="n">
        <v>754</v>
      </c>
      <c r="BA17" s="104" t="n">
        <v>778</v>
      </c>
      <c r="BB17" s="104" t="n">
        <v>807</v>
      </c>
      <c r="BC17" s="104" t="n">
        <v>835</v>
      </c>
      <c r="BD17" s="104" t="n">
        <v>864</v>
      </c>
      <c r="BE17" s="104" t="n">
        <v>893</v>
      </c>
      <c r="BF17" s="104" t="n">
        <v>922</v>
      </c>
      <c r="BG17" s="104" t="n">
        <v>953</v>
      </c>
      <c r="BH17" s="104" t="n">
        <v>983</v>
      </c>
      <c r="BI17" s="104" t="n">
        <v>1013</v>
      </c>
      <c r="BJ17" s="104" t="n">
        <v>1044</v>
      </c>
      <c r="BK17" s="104" t="n">
        <v>1075</v>
      </c>
      <c r="BL17" s="104" t="n">
        <v>1106</v>
      </c>
      <c r="BM17" s="104" t="n">
        <v>1138</v>
      </c>
      <c r="BN17" s="117">
        <f>Q17</f>
        <v>105.0</v>
      </c>
      <c r="BO17" s="104">
        <f>AC17</f>
        <v>274.0</v>
      </c>
      <c r="BP17" s="104">
        <f>AO17</f>
        <v>506.0</v>
      </c>
      <c r="BQ17" s="104">
        <f>BA17</f>
        <v>778.0</v>
      </c>
      <c r="BR17" s="104">
        <f>BM17</f>
        <v>1138.0</v>
      </c>
    </row>
    <row r="18" ht="18" customHeight="1" s="159">
      <c r="A18" s="152" t="inlineStr">
        <is>
          <t>KPI</t>
        </is>
      </c>
      <c r="B18" s="160" t="n"/>
      <c r="C18" s="160" t="inlineStr">
        <is>
          <t>新規</t>
        </is>
      </c>
      <c r="D18" s="12" t="n"/>
      <c r="E18" s="160" t="n"/>
      <c r="F18" s="8" t="n">
        <v>0</v>
      </c>
      <c r="G18" s="26" t="n">
        <v>4</v>
      </c>
      <c r="H18" s="26">
        <f>PRODUCT(H6:H11)-G18</f>
        <v>17.223125</v>
      </c>
      <c r="I18" s="26" t="n">
        <v>5</v>
      </c>
      <c r="J18" s="26" t="n">
        <v>5</v>
      </c>
      <c r="K18" s="26">
        <f>H18+1</f>
        <v>18.223125</v>
      </c>
      <c r="L18" s="26">
        <f>I18+1</f>
        <v>6.0</v>
      </c>
      <c r="M18" s="26">
        <f>J18+1</f>
        <v>6.0</v>
      </c>
      <c r="N18" s="26">
        <f>K18+1</f>
        <v>19.223125</v>
      </c>
      <c r="O18" s="26">
        <f>L18+1</f>
        <v>7.0</v>
      </c>
      <c r="P18" s="26">
        <f>M18+1</f>
        <v>7.0</v>
      </c>
      <c r="Q18" s="26">
        <f>N18+1</f>
        <v>20.223125</v>
      </c>
      <c r="R18" s="26">
        <f>O18+1</f>
        <v>8.0</v>
      </c>
      <c r="S18" s="26">
        <f>P18+1</f>
        <v>8.0</v>
      </c>
      <c r="T18" s="26">
        <f>Q18+1</f>
        <v>21.223125</v>
      </c>
      <c r="U18" s="26">
        <f>R18+1</f>
        <v>9.0</v>
      </c>
      <c r="V18" s="26">
        <f>S18+1</f>
        <v>9.0</v>
      </c>
      <c r="W18" s="26">
        <f>T18+1</f>
        <v>22.223125</v>
      </c>
      <c r="X18" s="26">
        <f>U18+1</f>
        <v>10.0</v>
      </c>
      <c r="Y18" s="26">
        <f>V18+1</f>
        <v>10.0</v>
      </c>
      <c r="Z18" s="26">
        <f>W18+1</f>
        <v>23.223125</v>
      </c>
      <c r="AA18" s="26">
        <f>X18+1</f>
        <v>11.0</v>
      </c>
      <c r="AB18" s="26">
        <f>Y18+1</f>
        <v>11.0</v>
      </c>
      <c r="AC18" s="26">
        <f>Z18+1</f>
        <v>24.223125</v>
      </c>
      <c r="AD18" s="26">
        <f>AA18+1</f>
        <v>12.0</v>
      </c>
      <c r="AE18" s="26">
        <f>AB18+1</f>
        <v>12.0</v>
      </c>
      <c r="AF18" s="26">
        <f>AC18+1</f>
        <v>25.223125</v>
      </c>
      <c r="AG18" s="26">
        <f>AD18+1</f>
        <v>13.0</v>
      </c>
      <c r="AH18" s="26">
        <f>AE18+1</f>
        <v>13.0</v>
      </c>
      <c r="AI18" s="26">
        <f>AF18+1</f>
        <v>26.223125</v>
      </c>
      <c r="AJ18" s="26">
        <f>AG18+1</f>
        <v>14.0</v>
      </c>
      <c r="AK18" s="26">
        <f>AH18+1</f>
        <v>14.0</v>
      </c>
      <c r="AL18" s="26">
        <f>AI18+1</f>
        <v>27.223125</v>
      </c>
      <c r="AM18" s="26">
        <f>AJ18+1</f>
        <v>15.0</v>
      </c>
      <c r="AN18" s="26">
        <f>AK18+1</f>
        <v>15.0</v>
      </c>
      <c r="AO18" s="26">
        <f>AL18+1</f>
        <v>28.223125</v>
      </c>
      <c r="AP18" s="26">
        <f>AM18+1</f>
        <v>16.0</v>
      </c>
      <c r="AQ18" s="26">
        <f>AN18+1</f>
        <v>16.0</v>
      </c>
      <c r="AR18" s="26">
        <f>AO18+1</f>
        <v>29.223125</v>
      </c>
      <c r="AS18" s="26">
        <f>AP18+1</f>
        <v>17.0</v>
      </c>
      <c r="AT18" s="26">
        <f>AQ18+1</f>
        <v>17.0</v>
      </c>
      <c r="AU18" s="26">
        <f>AR18+1</f>
        <v>30.223125</v>
      </c>
      <c r="AV18" s="26">
        <f>AS18+1</f>
        <v>18.0</v>
      </c>
      <c r="AW18" s="26">
        <f>AT18+1</f>
        <v>18.0</v>
      </c>
      <c r="AX18" s="26">
        <f>AU18+1</f>
        <v>31.223125</v>
      </c>
      <c r="AY18" s="26">
        <f>AV18+1</f>
        <v>19.0</v>
      </c>
      <c r="AZ18" s="26">
        <f>AW18+1</f>
        <v>19.0</v>
      </c>
      <c r="BA18" s="26">
        <f>AX18+1</f>
        <v>32.223125</v>
      </c>
      <c r="BB18" s="26">
        <f>AY18+1</f>
        <v>20.0</v>
      </c>
      <c r="BC18" s="26">
        <f>AZ18+1</f>
        <v>20.0</v>
      </c>
      <c r="BD18" s="26">
        <f>BA18+1</f>
        <v>33.223125</v>
      </c>
      <c r="BE18" s="26">
        <f>BB18+1</f>
        <v>21.0</v>
      </c>
      <c r="BF18" s="26">
        <f>BC18+1</f>
        <v>21.0</v>
      </c>
      <c r="BG18" s="26">
        <f>BD18+1</f>
        <v>34.223125</v>
      </c>
      <c r="BH18" s="26">
        <f>BE18+1</f>
        <v>22.0</v>
      </c>
      <c r="BI18" s="26">
        <f>BF18+1</f>
        <v>22.0</v>
      </c>
      <c r="BJ18" s="26">
        <f>BG18+1</f>
        <v>35.223125</v>
      </c>
      <c r="BK18" s="26">
        <f>BH18+1</f>
        <v>23.0</v>
      </c>
      <c r="BL18" s="26">
        <f>BI18+1</f>
        <v>23.0</v>
      </c>
      <c r="BM18" s="25">
        <f>BJ18+1</f>
        <v>36.223125</v>
      </c>
      <c r="BN18" s="26">
        <f>SUM(F18:Q18)</f>
        <v>114.8925</v>
      </c>
      <c r="BO18" s="26">
        <f>SUM(R18:AC18)</f>
        <v>166.8925</v>
      </c>
      <c r="BP18" s="26">
        <f>SUM(AD18:AO18)</f>
        <v>214.8925</v>
      </c>
      <c r="BQ18" s="26">
        <f>SUM(AP18:BA18)</f>
        <v>262.8925</v>
      </c>
      <c r="BR18" s="26">
        <f>SUM(BB18:BM18)</f>
        <v>310.8925</v>
      </c>
    </row>
    <row r="19" ht="18" customHeight="1" s="159">
      <c r="A19" s="152" t="n"/>
      <c r="B19" s="161" t="n"/>
      <c r="C19" s="160" t="inlineStr">
        <is>
          <t>解約予想数</t>
        </is>
      </c>
      <c r="D19" s="12" t="n"/>
      <c r="E19" s="160" t="n"/>
      <c r="F19" s="28">
        <f>F20*PRODUCT(F6:F11)</f>
        <v>0.0</v>
      </c>
      <c r="G19" s="28">
        <f>G20*PRODUCT(G6:G11)</f>
        <v>0.077175</v>
      </c>
      <c r="H19" s="28">
        <f>H20*PRODUCT(H6:H11)</f>
        <v>0.4244625</v>
      </c>
      <c r="I19" s="28" t="n">
        <v>1</v>
      </c>
      <c r="J19" s="28" t="n">
        <v>1</v>
      </c>
      <c r="K19" s="28" t="n">
        <v>1</v>
      </c>
      <c r="L19" s="28" t="n">
        <v>2</v>
      </c>
      <c r="M19" s="28" t="n">
        <v>2</v>
      </c>
      <c r="N19" s="28" t="n">
        <v>3</v>
      </c>
      <c r="O19" s="28" t="n">
        <v>3</v>
      </c>
      <c r="P19" s="28" t="n">
        <v>4</v>
      </c>
      <c r="Q19" s="28" t="n">
        <v>4</v>
      </c>
      <c r="R19" s="28" t="n">
        <v>5</v>
      </c>
      <c r="S19" s="28" t="n">
        <v>5</v>
      </c>
      <c r="T19" s="28" t="n">
        <v>6</v>
      </c>
      <c r="U19" s="28" t="n">
        <v>6</v>
      </c>
      <c r="V19" s="28" t="n">
        <v>7</v>
      </c>
      <c r="W19" s="28" t="n">
        <v>7</v>
      </c>
      <c r="X19" s="28" t="n">
        <v>8</v>
      </c>
      <c r="Y19" s="28" t="n">
        <v>8</v>
      </c>
      <c r="Z19" s="28" t="n">
        <v>9</v>
      </c>
      <c r="AA19" s="28" t="n">
        <v>9</v>
      </c>
      <c r="AB19" s="28" t="n">
        <v>10</v>
      </c>
      <c r="AC19" s="28" t="n">
        <v>11</v>
      </c>
      <c r="AD19" s="28" t="n">
        <v>8</v>
      </c>
      <c r="AE19" s="28" t="n">
        <v>9</v>
      </c>
      <c r="AF19" s="28" t="n">
        <v>9</v>
      </c>
      <c r="AG19" s="28" t="n">
        <v>10</v>
      </c>
      <c r="AH19" s="28" t="n">
        <v>11</v>
      </c>
      <c r="AI19" s="28" t="n">
        <v>11</v>
      </c>
      <c r="AJ19" s="28" t="n">
        <v>12</v>
      </c>
      <c r="AK19" s="28" t="n">
        <v>12</v>
      </c>
      <c r="AL19" s="28" t="n">
        <v>13</v>
      </c>
      <c r="AM19" s="28" t="n">
        <v>13</v>
      </c>
      <c r="AN19" s="28" t="n">
        <v>14</v>
      </c>
      <c r="AO19" s="28" t="n">
        <v>15</v>
      </c>
      <c r="AP19" s="28" t="n">
        <v>15</v>
      </c>
      <c r="AQ19" s="28" t="n">
        <v>16</v>
      </c>
      <c r="AR19" s="28" t="n">
        <v>16</v>
      </c>
      <c r="AS19" s="28" t="n">
        <v>16</v>
      </c>
      <c r="AT19" s="28" t="n">
        <v>18</v>
      </c>
      <c r="AU19" s="28" t="n">
        <v>18</v>
      </c>
      <c r="AV19" s="28" t="n">
        <v>19</v>
      </c>
      <c r="AW19" s="28" t="n">
        <v>19</v>
      </c>
      <c r="AX19" s="28" t="n">
        <v>20</v>
      </c>
      <c r="AY19" s="28" t="n">
        <v>21</v>
      </c>
      <c r="AZ19" s="28" t="n">
        <v>22</v>
      </c>
      <c r="BA19" s="28" t="n">
        <v>23</v>
      </c>
      <c r="BB19" s="28" t="n">
        <v>16</v>
      </c>
      <c r="BC19" s="28" t="n">
        <v>16</v>
      </c>
      <c r="BD19" s="28" t="n">
        <v>17</v>
      </c>
      <c r="BE19" s="28" t="n">
        <v>17</v>
      </c>
      <c r="BF19" s="28" t="n">
        <v>18</v>
      </c>
      <c r="BG19" s="28" t="n">
        <v>18</v>
      </c>
      <c r="BH19" s="28" t="n">
        <v>19</v>
      </c>
      <c r="BI19" s="28" t="n">
        <v>20</v>
      </c>
      <c r="BJ19" s="28" t="n">
        <v>20</v>
      </c>
      <c r="BK19" s="28" t="n">
        <v>21</v>
      </c>
      <c r="BL19" s="28" t="n">
        <v>21</v>
      </c>
      <c r="BM19" s="28" t="n">
        <v>22</v>
      </c>
      <c r="BN19" s="40">
        <f>SUM(F19:Q19)</f>
        <v>21.5016375</v>
      </c>
      <c r="BO19" s="26">
        <f>SUM(R19:AC19)</f>
        <v>91.0</v>
      </c>
      <c r="BP19" s="26">
        <f>SUM(AD19:AO19)</f>
        <v>137.0</v>
      </c>
      <c r="BQ19" s="26">
        <f>SUM(AP19:BA19)</f>
        <v>223.0</v>
      </c>
      <c r="BR19" s="26">
        <f>SUM(BB19:BM19)</f>
        <v>225.0</v>
      </c>
    </row>
    <row r="20" ht="18" customHeight="1" s="159">
      <c r="A20" s="152" t="n"/>
      <c r="B20" s="161" t="n"/>
      <c r="C20" s="160" t="inlineStr">
        <is>
          <t>解約率</t>
        </is>
      </c>
      <c r="D20" s="12" t="inlineStr">
        <is>
          <t>F&amp;M オフィスステーション1.01%</t>
        </is>
      </c>
      <c r="E20" s="160" t="n"/>
      <c r="F20" s="29" t="n">
        <v>0.02</v>
      </c>
      <c r="G20" s="29" t="n">
        <v>0.02</v>
      </c>
      <c r="H20" s="29" t="n">
        <v>0.02</v>
      </c>
      <c r="I20" s="29" t="n">
        <v>0.02</v>
      </c>
      <c r="J20" s="29" t="n">
        <v>0.02</v>
      </c>
      <c r="K20" s="29" t="n">
        <v>0.02</v>
      </c>
      <c r="L20" s="29" t="n">
        <v>0.02</v>
      </c>
      <c r="M20" s="29" t="n">
        <v>0.02</v>
      </c>
      <c r="N20" s="29" t="n">
        <v>0.02</v>
      </c>
      <c r="O20" s="29" t="n">
        <v>0.02</v>
      </c>
      <c r="P20" s="29" t="n">
        <v>0.02</v>
      </c>
      <c r="Q20" s="29" t="n">
        <v>0.02</v>
      </c>
      <c r="R20" s="29" t="n">
        <v>0.02</v>
      </c>
      <c r="S20" s="29" t="n">
        <v>0.02</v>
      </c>
      <c r="T20" s="29" t="n">
        <v>0.02</v>
      </c>
      <c r="U20" s="29" t="n">
        <v>0.02</v>
      </c>
      <c r="V20" s="29" t="n">
        <v>0.02</v>
      </c>
      <c r="W20" s="29" t="n">
        <v>0.02</v>
      </c>
      <c r="X20" s="29" t="n">
        <v>0.02</v>
      </c>
      <c r="Y20" s="29" t="n">
        <v>0.02</v>
      </c>
      <c r="Z20" s="29" t="n">
        <v>0.02</v>
      </c>
      <c r="AA20" s="29" t="n">
        <v>0.02</v>
      </c>
      <c r="AB20" s="29" t="n">
        <v>0.02</v>
      </c>
      <c r="AC20" s="29" t="n">
        <v>0.02</v>
      </c>
      <c r="AD20" s="162" t="n">
        <v>0.015</v>
      </c>
      <c r="AE20" s="162" t="n">
        <v>0.015</v>
      </c>
      <c r="AF20" s="162" t="n">
        <v>0.015</v>
      </c>
      <c r="AG20" s="162" t="n">
        <v>0.015</v>
      </c>
      <c r="AH20" s="162" t="n">
        <v>0.015</v>
      </c>
      <c r="AI20" s="162" t="n">
        <v>0.015</v>
      </c>
      <c r="AJ20" s="162" t="n">
        <v>0.015</v>
      </c>
      <c r="AK20" s="162" t="n">
        <v>0.015</v>
      </c>
      <c r="AL20" s="162" t="n">
        <v>0.015</v>
      </c>
      <c r="AM20" s="162" t="n">
        <v>0.015</v>
      </c>
      <c r="AN20" s="162" t="n">
        <v>0.015</v>
      </c>
      <c r="AO20" s="162" t="n">
        <v>0.015</v>
      </c>
      <c r="AP20" s="162" t="n">
        <v>0.015</v>
      </c>
      <c r="AQ20" s="162" t="n">
        <v>0.015</v>
      </c>
      <c r="AR20" s="162" t="n">
        <v>0.015</v>
      </c>
      <c r="AS20" s="162" t="n">
        <v>0.015</v>
      </c>
      <c r="AT20" s="162" t="n">
        <v>0.015</v>
      </c>
      <c r="AU20" s="162" t="n">
        <v>0.015</v>
      </c>
      <c r="AV20" s="162" t="n">
        <v>0.015</v>
      </c>
      <c r="AW20" s="162" t="n">
        <v>0.015</v>
      </c>
      <c r="AX20" s="162" t="n">
        <v>0.015</v>
      </c>
      <c r="AY20" s="162" t="n">
        <v>0.015</v>
      </c>
      <c r="AZ20" s="162" t="n">
        <v>0.015</v>
      </c>
      <c r="BA20" s="162" t="n">
        <v>0.015</v>
      </c>
      <c r="BB20" s="29" t="n">
        <v>0.01</v>
      </c>
      <c r="BC20" s="29" t="n">
        <v>0.01</v>
      </c>
      <c r="BD20" s="29" t="n">
        <v>0.01</v>
      </c>
      <c r="BE20" s="29" t="n">
        <v>0.01</v>
      </c>
      <c r="BF20" s="29" t="n">
        <v>0.01</v>
      </c>
      <c r="BG20" s="29" t="n">
        <v>0.01</v>
      </c>
      <c r="BH20" s="29" t="n">
        <v>0.01</v>
      </c>
      <c r="BI20" s="29" t="n">
        <v>0.01</v>
      </c>
      <c r="BJ20" s="29" t="n">
        <v>0.01</v>
      </c>
      <c r="BK20" s="29" t="n">
        <v>0.01</v>
      </c>
      <c r="BL20" s="29" t="n">
        <v>0.01</v>
      </c>
      <c r="BM20" s="31" t="n">
        <v>0.01</v>
      </c>
      <c r="BN20" s="29" t="n">
        <v>0.12</v>
      </c>
      <c r="BO20" s="29" t="n">
        <v>0.12</v>
      </c>
      <c r="BP20" s="29" t="n">
        <v>0.12</v>
      </c>
      <c r="BQ20" s="29" t="n">
        <v>0.12</v>
      </c>
      <c r="BR20" s="29" t="n">
        <v>0.12</v>
      </c>
    </row>
    <row r="21">
      <c r="A21" s="1" t="n"/>
      <c r="B21" s="163" t="n"/>
      <c r="C21" s="164" t="n"/>
      <c r="D21" s="32" t="n"/>
      <c r="E21" s="165" t="n"/>
      <c r="F21" s="164" t="n"/>
      <c r="G21" s="166" t="n"/>
      <c r="H21" s="166" t="n"/>
      <c r="I21" s="167" t="n"/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4:BR20"/>
  <sheetViews>
    <sheetView topLeftCell="AL1" zoomScale="125" workbookViewId="0">
      <selection activeCell="AZ24" sqref="AZ24"/>
    </sheetView>
  </sheetViews>
  <sheetFormatPr baseColWidth="10" defaultRowHeight="20"/>
  <sheetData>
    <row r="4">
      <c r="C4" s="5" t="inlineStr">
        <is>
          <t>■ 支払い.com　 ➡ 　請求書クレカ払い</t>
        </is>
      </c>
      <c r="D4" s="6" t="n"/>
      <c r="E4" s="6" t="n"/>
      <c r="F4" s="10" t="inlineStr">
        <is>
          <t>Y1_M1</t>
        </is>
      </c>
      <c r="G4" s="10" t="inlineStr">
        <is>
          <t>Y1_M2</t>
        </is>
      </c>
      <c r="H4" s="10" t="inlineStr">
        <is>
          <t>Y1_M3</t>
        </is>
      </c>
      <c r="I4" s="10" t="inlineStr">
        <is>
          <t>Y1_M4</t>
        </is>
      </c>
      <c r="J4" s="10" t="inlineStr">
        <is>
          <t>Y1_M5</t>
        </is>
      </c>
      <c r="K4" s="10" t="inlineStr">
        <is>
          <t>Y1_M6</t>
        </is>
      </c>
      <c r="L4" s="10" t="inlineStr">
        <is>
          <t>Y1_M7</t>
        </is>
      </c>
      <c r="M4" s="10" t="inlineStr">
        <is>
          <t>Y1_M8</t>
        </is>
      </c>
      <c r="N4" s="10" t="inlineStr">
        <is>
          <t>Y1_M9</t>
        </is>
      </c>
      <c r="O4" s="10" t="inlineStr">
        <is>
          <t>Y1_M10</t>
        </is>
      </c>
      <c r="P4" s="10" t="inlineStr">
        <is>
          <t>Y1_M11</t>
        </is>
      </c>
      <c r="Q4" s="10" t="inlineStr">
        <is>
          <t>Y1_M12</t>
        </is>
      </c>
      <c r="R4" s="10" t="inlineStr">
        <is>
          <t>Y2_M1</t>
        </is>
      </c>
      <c r="S4" s="10" t="inlineStr">
        <is>
          <t>Y2_M2</t>
        </is>
      </c>
      <c r="T4" s="10" t="inlineStr">
        <is>
          <t>Y2_M3</t>
        </is>
      </c>
      <c r="U4" s="10" t="inlineStr">
        <is>
          <t>Y2_M4</t>
        </is>
      </c>
      <c r="V4" s="10" t="inlineStr">
        <is>
          <t>Y2_M5</t>
        </is>
      </c>
      <c r="W4" s="10" t="inlineStr">
        <is>
          <t>Y2_M6</t>
        </is>
      </c>
      <c r="X4" s="10" t="inlineStr">
        <is>
          <t>Y2_M7</t>
        </is>
      </c>
      <c r="Y4" s="10" t="inlineStr">
        <is>
          <t>Y2_M8</t>
        </is>
      </c>
      <c r="Z4" s="10" t="inlineStr">
        <is>
          <t>Y2_M9</t>
        </is>
      </c>
      <c r="AA4" s="10" t="inlineStr">
        <is>
          <t>Y2_M10</t>
        </is>
      </c>
      <c r="AB4" s="10" t="inlineStr">
        <is>
          <t>Y2_M11</t>
        </is>
      </c>
      <c r="AC4" s="10" t="inlineStr">
        <is>
          <t>Y2_M12</t>
        </is>
      </c>
      <c r="AD4" s="10" t="inlineStr">
        <is>
          <t>Y3_M1</t>
        </is>
      </c>
      <c r="AE4" s="10" t="inlineStr">
        <is>
          <t>Y3_M2</t>
        </is>
      </c>
      <c r="AF4" s="10" t="inlineStr">
        <is>
          <t>Y3_M3</t>
        </is>
      </c>
      <c r="AG4" s="10" t="inlineStr">
        <is>
          <t>Y3_M4</t>
        </is>
      </c>
      <c r="AH4" s="10" t="inlineStr">
        <is>
          <t>Y3_M5</t>
        </is>
      </c>
      <c r="AI4" s="10" t="inlineStr">
        <is>
          <t>Y3_M6</t>
        </is>
      </c>
      <c r="AJ4" s="10" t="inlineStr">
        <is>
          <t>Y3_M7</t>
        </is>
      </c>
      <c r="AK4" s="10" t="inlineStr">
        <is>
          <t>Y3_M8</t>
        </is>
      </c>
      <c r="AL4" s="10" t="inlineStr">
        <is>
          <t>Y3_M9</t>
        </is>
      </c>
      <c r="AM4" s="10" t="inlineStr">
        <is>
          <t>Y3_M10</t>
        </is>
      </c>
      <c r="AN4" s="10" t="inlineStr">
        <is>
          <t>Y3_M11</t>
        </is>
      </c>
      <c r="AO4" s="10" t="inlineStr">
        <is>
          <t>Y3_M12</t>
        </is>
      </c>
      <c r="AP4" s="10" t="inlineStr">
        <is>
          <t>Y4_M1</t>
        </is>
      </c>
      <c r="AQ4" s="10" t="inlineStr">
        <is>
          <t>Y4_M2</t>
        </is>
      </c>
      <c r="AR4" s="10" t="inlineStr">
        <is>
          <t>Y4_M3</t>
        </is>
      </c>
      <c r="AS4" s="10" t="inlineStr">
        <is>
          <t>Y4_M4</t>
        </is>
      </c>
      <c r="AT4" s="10" t="inlineStr">
        <is>
          <t>Y4_M5</t>
        </is>
      </c>
      <c r="AU4" s="10" t="inlineStr">
        <is>
          <t>Y4_M6</t>
        </is>
      </c>
      <c r="AV4" s="10" t="inlineStr">
        <is>
          <t>Y4_M7</t>
        </is>
      </c>
      <c r="AW4" s="10" t="inlineStr">
        <is>
          <t>Y4_M8</t>
        </is>
      </c>
      <c r="AX4" s="10" t="inlineStr">
        <is>
          <t>Y4_M9</t>
        </is>
      </c>
      <c r="AY4" s="10" t="inlineStr">
        <is>
          <t>Y4_M10</t>
        </is>
      </c>
      <c r="AZ4" s="10" t="inlineStr">
        <is>
          <t>Y4_M11</t>
        </is>
      </c>
      <c r="BA4" s="10" t="inlineStr">
        <is>
          <t>Y4_M12</t>
        </is>
      </c>
      <c r="BB4" s="10" t="inlineStr">
        <is>
          <t>Y5_M1</t>
        </is>
      </c>
      <c r="BC4" s="10" t="inlineStr">
        <is>
          <t>Y5_M2</t>
        </is>
      </c>
      <c r="BD4" s="10" t="inlineStr">
        <is>
          <t>Y5_M3</t>
        </is>
      </c>
      <c r="BE4" s="10" t="inlineStr">
        <is>
          <t>Y5_M4</t>
        </is>
      </c>
      <c r="BF4" s="10" t="inlineStr">
        <is>
          <t>Y5_M5</t>
        </is>
      </c>
      <c r="BG4" s="10" t="inlineStr">
        <is>
          <t>Y5_M6</t>
        </is>
      </c>
      <c r="BH4" s="10" t="inlineStr">
        <is>
          <t>Y5_M7</t>
        </is>
      </c>
      <c r="BI4" s="10" t="inlineStr">
        <is>
          <t>Y5_M8</t>
        </is>
      </c>
      <c r="BJ4" s="10" t="inlineStr">
        <is>
          <t>Y5_M9</t>
        </is>
      </c>
      <c r="BK4" s="10" t="inlineStr">
        <is>
          <t>Y5_M10</t>
        </is>
      </c>
      <c r="BL4" s="10" t="inlineStr">
        <is>
          <t>Y5_M11</t>
        </is>
      </c>
      <c r="BM4" s="10" t="inlineStr">
        <is>
          <t>Y5_M12</t>
        </is>
      </c>
      <c r="BN4" s="9" t="inlineStr">
        <is>
          <t>Y1</t>
        </is>
      </c>
      <c r="BO4" s="10" t="inlineStr">
        <is>
          <t>Y2</t>
        </is>
      </c>
      <c r="BP4" s="10" t="inlineStr">
        <is>
          <t>Y3</t>
        </is>
      </c>
      <c r="BQ4" s="10" t="inlineStr">
        <is>
          <t>Y4</t>
        </is>
      </c>
      <c r="BR4" s="10" t="inlineStr">
        <is>
          <t>Y5</t>
        </is>
      </c>
    </row>
    <row r="5">
      <c r="C5" s="5" t="inlineStr">
        <is>
          <t>売上</t>
        </is>
      </c>
      <c r="D5" s="6" t="n"/>
      <c r="E5" s="6" t="n"/>
      <c r="F5" s="168">
        <f>F12*F13</f>
        <v>0.0</v>
      </c>
      <c r="G5" s="168">
        <f>G12*G13</f>
        <v>3673.53</v>
      </c>
      <c r="H5" s="168">
        <f>H12*H13</f>
        <v>20204.415</v>
      </c>
      <c r="I5" s="168">
        <f>I12*I13</f>
        <v>36735.3</v>
      </c>
      <c r="J5" s="168">
        <f>J12*J13</f>
        <v>51429.42</v>
      </c>
      <c r="K5" s="168">
        <f>K12*K13</f>
        <v>69797.07</v>
      </c>
      <c r="L5" s="168">
        <f>L12*L13</f>
        <v>88164.72</v>
      </c>
      <c r="M5" s="168">
        <f>M12*M13</f>
        <v>106532.37</v>
      </c>
      <c r="N5" s="168">
        <f>N12*N13</f>
        <v>128573.55</v>
      </c>
      <c r="O5" s="168">
        <f>O12*O13</f>
        <v>148777.965</v>
      </c>
      <c r="P5" s="168">
        <f>P12*P13</f>
        <v>168982.38</v>
      </c>
      <c r="Q5" s="168">
        <f>Q12*Q13</f>
        <v>192860.325</v>
      </c>
      <c r="R5" s="168">
        <f>R12*R13</f>
        <v>214901.505</v>
      </c>
      <c r="S5" s="168">
        <f>S12*S13</f>
        <v>236942.685</v>
      </c>
      <c r="T5" s="168">
        <f>T12*T13</f>
        <v>262657.395</v>
      </c>
      <c r="U5" s="168">
        <f>U12*U13</f>
        <v>286535.34</v>
      </c>
      <c r="V5" s="168">
        <f>V12*V13</f>
        <v>310413.285</v>
      </c>
      <c r="W5" s="168">
        <f>W12*W13</f>
        <v>337964.76</v>
      </c>
      <c r="X5" s="168">
        <f>X12*X13</f>
        <v>363679.47</v>
      </c>
      <c r="Y5" s="168">
        <f>Y12*Y13</f>
        <v>389394.18</v>
      </c>
      <c r="Z5" s="168">
        <f>Z12*Z13</f>
        <v>418782.42</v>
      </c>
      <c r="AA5" s="168">
        <f>AA12*AA13</f>
        <v>446333.895</v>
      </c>
      <c r="AB5" s="168">
        <f>AB12*AB13</f>
        <v>473885.37</v>
      </c>
      <c r="AC5" s="168">
        <f>AC12*AC13</f>
        <v>503273.61</v>
      </c>
      <c r="AD5" s="168">
        <f>AD12*AD13</f>
        <v>539071.785</v>
      </c>
      <c r="AE5" s="168">
        <f>AE12*AE13</f>
        <v>570456.10125</v>
      </c>
      <c r="AF5" s="168">
        <f>AF12*AF13</f>
        <v>605532.69</v>
      </c>
      <c r="AG5" s="168">
        <f>AG12*AG13</f>
        <v>638763.1425</v>
      </c>
      <c r="AH5" s="168">
        <f>AH12*AH13</f>
        <v>673839.73125</v>
      </c>
      <c r="AI5" s="168">
        <f>AI12*AI13</f>
        <v>708916.32</v>
      </c>
      <c r="AJ5" s="168">
        <f>AJ12*AJ13</f>
        <v>745839.045</v>
      </c>
      <c r="AK5" s="168">
        <f>AK12*AK13</f>
        <v>780915.63375</v>
      </c>
      <c r="AL5" s="168">
        <f>AL12*AL13</f>
        <v>819684.495</v>
      </c>
      <c r="AM5" s="168">
        <f>AM12*AM13</f>
        <v>856607.22</v>
      </c>
      <c r="AN5" s="168">
        <f>AN12*AN13</f>
        <v>893529.945</v>
      </c>
      <c r="AO5" s="168">
        <f>AO12*AO13</f>
        <v>934144.9425</v>
      </c>
      <c r="AP5" s="168">
        <f>AP12*AP13</f>
        <v>972913.80375</v>
      </c>
      <c r="AQ5" s="168">
        <f>AQ12*AQ13</f>
        <v>1011682.665</v>
      </c>
      <c r="AR5" s="168">
        <f>AR12*AR13</f>
        <v>1052297.6625</v>
      </c>
      <c r="AS5" s="168">
        <f>AS12*AS13</f>
        <v>1092912.66</v>
      </c>
      <c r="AT5" s="168">
        <f>AT12*AT13</f>
        <v>1133527.6575</v>
      </c>
      <c r="AU5" s="168">
        <f>AU12*AU13</f>
        <v>1175988.79125</v>
      </c>
      <c r="AV5" s="168">
        <f>AV12*AV13</f>
        <v>1218449.925</v>
      </c>
      <c r="AW5" s="168">
        <f>AW12*AW13</f>
        <v>1260911.05875</v>
      </c>
      <c r="AX5" s="168">
        <f>AX12*AX13</f>
        <v>1305218.32875</v>
      </c>
      <c r="AY5" s="168">
        <f>AY12*AY13</f>
        <v>1347679.4625</v>
      </c>
      <c r="AZ5" s="168">
        <f>AZ12*AZ13</f>
        <v>1391986.7325</v>
      </c>
      <c r="BA5" s="168">
        <f>BA12*BA13</f>
        <v>1436294.0025</v>
      </c>
      <c r="BB5" s="168">
        <f>BB12*BB13</f>
        <v>1497394.5525</v>
      </c>
      <c r="BC5" s="168">
        <f>BC12*BC13</f>
        <v>1549348.7625</v>
      </c>
      <c r="BD5" s="168">
        <f>BD12*BD13</f>
        <v>1603158.48</v>
      </c>
      <c r="BE5" s="168">
        <f>BE12*BE13</f>
        <v>1656968.1975</v>
      </c>
      <c r="BF5" s="168">
        <f>BF12*BF13</f>
        <v>1710777.915</v>
      </c>
      <c r="BG5" s="168">
        <f>BG12*BG13</f>
        <v>1768298.6475</v>
      </c>
      <c r="BH5" s="168">
        <f>BH12*BH13</f>
        <v>1823963.8725</v>
      </c>
      <c r="BI5" s="168">
        <f>BI12*BI13</f>
        <v>1879629.0975</v>
      </c>
      <c r="BJ5" s="168">
        <f>BJ12*BJ13</f>
        <v>1937149.83</v>
      </c>
      <c r="BK5" s="168">
        <f>BK12*BK13</f>
        <v>1994670.5625</v>
      </c>
      <c r="BL5" s="168">
        <f>BL12*BL13</f>
        <v>2052191.295</v>
      </c>
      <c r="BM5" s="169">
        <f>BM12*BM13</f>
        <v>2111567.535</v>
      </c>
      <c r="BN5" s="168">
        <f>BN12*BN13</f>
        <v>176067.045</v>
      </c>
      <c r="BO5" s="168">
        <f>BO12*BO13</f>
        <v>426916.665</v>
      </c>
      <c r="BP5" s="168">
        <f>BP12*BP13</f>
        <v>814858.30125</v>
      </c>
      <c r="BQ5" s="168">
        <f>BQ12*BQ13</f>
        <v>1238879.25</v>
      </c>
      <c r="BR5" s="168">
        <f>BR12*BR13</f>
        <v>1914864.9975</v>
      </c>
    </row>
    <row r="6">
      <c r="C6" s="43" t="inlineStr">
        <is>
          <t>顧問先</t>
        </is>
      </c>
      <c r="D6" s="44" t="n"/>
      <c r="E6" s="44" t="n"/>
      <c r="F6" s="43">
        <f>35*F17</f>
        <v>0.0</v>
      </c>
      <c r="G6" s="43">
        <f>35*G17</f>
        <v>70.0</v>
      </c>
      <c r="H6" s="43">
        <f>35*H17</f>
        <v>385.0</v>
      </c>
      <c r="I6" s="43">
        <f>35*I17</f>
        <v>700.0</v>
      </c>
      <c r="J6" s="43">
        <f>35*J17</f>
        <v>980.0</v>
      </c>
      <c r="K6" s="43">
        <f>35*K17</f>
        <v>1330.0</v>
      </c>
      <c r="L6" s="43">
        <f>35*L17</f>
        <v>1680.0</v>
      </c>
      <c r="M6" s="43">
        <f>35*M17</f>
        <v>2030.0</v>
      </c>
      <c r="N6" s="43">
        <f>35*N17</f>
        <v>2450.0</v>
      </c>
      <c r="O6" s="43">
        <f>35*O17</f>
        <v>2835.0</v>
      </c>
      <c r="P6" s="43">
        <f>35*P17</f>
        <v>3220.0</v>
      </c>
      <c r="Q6" s="43">
        <f>35*Q17</f>
        <v>3675.0</v>
      </c>
      <c r="R6" s="43">
        <f>35*R17</f>
        <v>4095.0</v>
      </c>
      <c r="S6" s="43">
        <f>35*S17</f>
        <v>4515.0</v>
      </c>
      <c r="T6" s="43">
        <f>35*T17</f>
        <v>5005.0</v>
      </c>
      <c r="U6" s="43">
        <f>35*U17</f>
        <v>5460.0</v>
      </c>
      <c r="V6" s="43">
        <f>35*V17</f>
        <v>5915.0</v>
      </c>
      <c r="W6" s="43">
        <f>35*W17</f>
        <v>6440.0</v>
      </c>
      <c r="X6" s="43">
        <f>35*X17</f>
        <v>6930.0</v>
      </c>
      <c r="Y6" s="43">
        <f>35*Y17</f>
        <v>7420.0</v>
      </c>
      <c r="Z6" s="43">
        <f>35*Z17</f>
        <v>7980.0</v>
      </c>
      <c r="AA6" s="43">
        <f>35*AA17</f>
        <v>8505.0</v>
      </c>
      <c r="AB6" s="43">
        <f>35*AB17</f>
        <v>9030.0</v>
      </c>
      <c r="AC6" s="43">
        <f>35*AC17</f>
        <v>9590.0</v>
      </c>
      <c r="AD6" s="43">
        <f>35*AD17</f>
        <v>10220.0</v>
      </c>
      <c r="AE6" s="43">
        <f>35*AE17</f>
        <v>10815.0</v>
      </c>
      <c r="AF6" s="43">
        <f>35*AF17</f>
        <v>11480.0</v>
      </c>
      <c r="AG6" s="43">
        <f>35*AG17</f>
        <v>12110.0</v>
      </c>
      <c r="AH6" s="43">
        <f>35*AH17</f>
        <v>12775.0</v>
      </c>
      <c r="AI6" s="43">
        <f>35*AI17</f>
        <v>13440.0</v>
      </c>
      <c r="AJ6" s="43">
        <f>35*AJ17</f>
        <v>14140.0</v>
      </c>
      <c r="AK6" s="43">
        <f>35*AK17</f>
        <v>14805.0</v>
      </c>
      <c r="AL6" s="43">
        <f>35*AL17</f>
        <v>15540.0</v>
      </c>
      <c r="AM6" s="43">
        <f>35*AM17</f>
        <v>16240.0</v>
      </c>
      <c r="AN6" s="43">
        <f>35*AN17</f>
        <v>16940.0</v>
      </c>
      <c r="AO6" s="43">
        <f>35*AO17</f>
        <v>17710.0</v>
      </c>
      <c r="AP6" s="43">
        <f>35*AP17</f>
        <v>18445.0</v>
      </c>
      <c r="AQ6" s="43">
        <f>35*AQ17</f>
        <v>19180.0</v>
      </c>
      <c r="AR6" s="43">
        <f>35*AR17</f>
        <v>19950.0</v>
      </c>
      <c r="AS6" s="43">
        <f>35*AS17</f>
        <v>20720.0</v>
      </c>
      <c r="AT6" s="43">
        <f>35*AT17</f>
        <v>21490.0</v>
      </c>
      <c r="AU6" s="43">
        <f>35*AU17</f>
        <v>22295.0</v>
      </c>
      <c r="AV6" s="43">
        <f>35*AV17</f>
        <v>23100.0</v>
      </c>
      <c r="AW6" s="43">
        <f>35*AW17</f>
        <v>23905.0</v>
      </c>
      <c r="AX6" s="43">
        <f>35*AX17</f>
        <v>24745.0</v>
      </c>
      <c r="AY6" s="43">
        <f>35*AY17</f>
        <v>25550.0</v>
      </c>
      <c r="AZ6" s="43">
        <f>35*AZ17</f>
        <v>26390.0</v>
      </c>
      <c r="BA6" s="43">
        <f>35*BA17</f>
        <v>27230.0</v>
      </c>
      <c r="BB6" s="43">
        <f>35*BB17</f>
        <v>28245.0</v>
      </c>
      <c r="BC6" s="43">
        <f>35*BC17</f>
        <v>29225.0</v>
      </c>
      <c r="BD6" s="43">
        <f>35*BD17</f>
        <v>30240.0</v>
      </c>
      <c r="BE6" s="43">
        <f>35*BE17</f>
        <v>31255.0</v>
      </c>
      <c r="BF6" s="43">
        <f>35*BF17</f>
        <v>32270.0</v>
      </c>
      <c r="BG6" s="43">
        <f>35*BG17</f>
        <v>33355.0</v>
      </c>
      <c r="BH6" s="43">
        <f>35*BH17</f>
        <v>34405.0</v>
      </c>
      <c r="BI6" s="43">
        <f>35*BI17</f>
        <v>35455.0</v>
      </c>
      <c r="BJ6" s="43">
        <f>35*BJ17</f>
        <v>36540.0</v>
      </c>
      <c r="BK6" s="43">
        <f>35*BK17</f>
        <v>37625.0</v>
      </c>
      <c r="BL6" s="43">
        <f>35*BL17</f>
        <v>38710.0</v>
      </c>
      <c r="BM6" s="45">
        <f>35*BM17</f>
        <v>39830.0</v>
      </c>
      <c r="BN6" s="43">
        <f>35*BN17</f>
        <v>3675.0</v>
      </c>
      <c r="BO6" s="43">
        <f>35*BO17</f>
        <v>9590.0</v>
      </c>
      <c r="BP6" s="43">
        <f>35*BP17</f>
        <v>17710.0</v>
      </c>
      <c r="BQ6" s="43">
        <f>35*BQ17</f>
        <v>27230.0</v>
      </c>
      <c r="BR6" s="43">
        <f>35*BR17</f>
        <v>39830.0</v>
      </c>
    </row>
    <row r="7">
      <c r="C7" s="46" t="inlineStr">
        <is>
          <t>年商3,000万円以上</t>
        </is>
      </c>
      <c r="D7" s="47" t="n"/>
      <c r="E7" s="47" t="n"/>
      <c r="F7" s="170" t="n">
        <v>0.85</v>
      </c>
      <c r="G7" s="170" t="n">
        <v>0.85</v>
      </c>
      <c r="H7" s="170" t="n">
        <v>0.85</v>
      </c>
      <c r="I7" s="170" t="n">
        <v>0.85</v>
      </c>
      <c r="J7" s="170" t="n">
        <v>0.85</v>
      </c>
      <c r="K7" s="170" t="n">
        <v>0.85</v>
      </c>
      <c r="L7" s="170" t="n">
        <v>0.85</v>
      </c>
      <c r="M7" s="170" t="n">
        <v>0.85</v>
      </c>
      <c r="N7" s="170" t="n">
        <v>0.85</v>
      </c>
      <c r="O7" s="170" t="n">
        <v>0.85</v>
      </c>
      <c r="P7" s="170" t="n">
        <v>0.85</v>
      </c>
      <c r="Q7" s="170" t="n">
        <v>0.85</v>
      </c>
      <c r="R7" s="170" t="n">
        <v>0.85</v>
      </c>
      <c r="S7" s="170" t="n">
        <v>0.85</v>
      </c>
      <c r="T7" s="170" t="n">
        <v>0.85</v>
      </c>
      <c r="U7" s="170" t="n">
        <v>0.85</v>
      </c>
      <c r="V7" s="170" t="n">
        <v>0.85</v>
      </c>
      <c r="W7" s="170" t="n">
        <v>0.85</v>
      </c>
      <c r="X7" s="170" t="n">
        <v>0.85</v>
      </c>
      <c r="Y7" s="170" t="n">
        <v>0.85</v>
      </c>
      <c r="Z7" s="170" t="n">
        <v>0.85</v>
      </c>
      <c r="AA7" s="170" t="n">
        <v>0.85</v>
      </c>
      <c r="AB7" s="170" t="n">
        <v>0.85</v>
      </c>
      <c r="AC7" s="170" t="n">
        <v>0.85</v>
      </c>
      <c r="AD7" s="170" t="n">
        <v>0.85</v>
      </c>
      <c r="AE7" s="170" t="n">
        <v>0.85</v>
      </c>
      <c r="AF7" s="170" t="n">
        <v>0.85</v>
      </c>
      <c r="AG7" s="170" t="n">
        <v>0.85</v>
      </c>
      <c r="AH7" s="170" t="n">
        <v>0.85</v>
      </c>
      <c r="AI7" s="170" t="n">
        <v>0.85</v>
      </c>
      <c r="AJ7" s="170" t="n">
        <v>0.85</v>
      </c>
      <c r="AK7" s="170" t="n">
        <v>0.85</v>
      </c>
      <c r="AL7" s="170" t="n">
        <v>0.85</v>
      </c>
      <c r="AM7" s="170" t="n">
        <v>0.85</v>
      </c>
      <c r="AN7" s="170" t="n">
        <v>0.85</v>
      </c>
      <c r="AO7" s="170" t="n">
        <v>0.85</v>
      </c>
      <c r="AP7" s="170" t="n">
        <v>0.85</v>
      </c>
      <c r="AQ7" s="170" t="n">
        <v>0.85</v>
      </c>
      <c r="AR7" s="170" t="n">
        <v>0.85</v>
      </c>
      <c r="AS7" s="170" t="n">
        <v>0.85</v>
      </c>
      <c r="AT7" s="170" t="n">
        <v>0.85</v>
      </c>
      <c r="AU7" s="170" t="n">
        <v>0.85</v>
      </c>
      <c r="AV7" s="170" t="n">
        <v>0.85</v>
      </c>
      <c r="AW7" s="170" t="n">
        <v>0.85</v>
      </c>
      <c r="AX7" s="170" t="n">
        <v>0.85</v>
      </c>
      <c r="AY7" s="170" t="n">
        <v>0.85</v>
      </c>
      <c r="AZ7" s="170" t="n">
        <v>0.85</v>
      </c>
      <c r="BA7" s="170" t="n">
        <v>0.85</v>
      </c>
      <c r="BB7" s="170" t="n">
        <v>0.85</v>
      </c>
      <c r="BC7" s="170" t="n">
        <v>0.85</v>
      </c>
      <c r="BD7" s="170" t="n">
        <v>0.85</v>
      </c>
      <c r="BE7" s="170" t="n">
        <v>0.85</v>
      </c>
      <c r="BF7" s="170" t="n">
        <v>0.85</v>
      </c>
      <c r="BG7" s="170" t="n">
        <v>0.85</v>
      </c>
      <c r="BH7" s="170" t="n">
        <v>0.85</v>
      </c>
      <c r="BI7" s="170" t="n">
        <v>0.85</v>
      </c>
      <c r="BJ7" s="170" t="n">
        <v>0.85</v>
      </c>
      <c r="BK7" s="170" t="n">
        <v>0.85</v>
      </c>
      <c r="BL7" s="170" t="n">
        <v>0.85</v>
      </c>
      <c r="BM7" s="171" t="n">
        <v>0.85</v>
      </c>
      <c r="BN7" s="170" t="n">
        <v>0.85</v>
      </c>
      <c r="BO7" s="170" t="n">
        <v>0.85</v>
      </c>
      <c r="BP7" s="170" t="n">
        <v>0.85</v>
      </c>
      <c r="BQ7" s="170" t="n">
        <v>0.85</v>
      </c>
      <c r="BR7" s="170" t="n">
        <v>0.85</v>
      </c>
    </row>
    <row r="8">
      <c r="C8" s="46" t="inlineStr">
        <is>
          <t>資金繰りが逼迫</t>
        </is>
      </c>
      <c r="D8" s="50" t="inlineStr">
        <is>
          <t>ゾンビ率14.3%/赤字法人率61%</t>
        </is>
      </c>
      <c r="E8" s="50" t="n"/>
      <c r="F8" s="170" t="n">
        <v>0.25</v>
      </c>
      <c r="G8" s="170" t="n">
        <v>0.25</v>
      </c>
      <c r="H8" s="170" t="n">
        <v>0.25</v>
      </c>
      <c r="I8" s="170" t="n">
        <v>0.25</v>
      </c>
      <c r="J8" s="170" t="n">
        <v>0.25</v>
      </c>
      <c r="K8" s="170" t="n">
        <v>0.25</v>
      </c>
      <c r="L8" s="170" t="n">
        <v>0.25</v>
      </c>
      <c r="M8" s="170" t="n">
        <v>0.25</v>
      </c>
      <c r="N8" s="170" t="n">
        <v>0.25</v>
      </c>
      <c r="O8" s="170" t="n">
        <v>0.25</v>
      </c>
      <c r="P8" s="170" t="n">
        <v>0.25</v>
      </c>
      <c r="Q8" s="170" t="n">
        <v>0.25</v>
      </c>
      <c r="R8" s="170" t="n">
        <v>0.25</v>
      </c>
      <c r="S8" s="170" t="n">
        <v>0.25</v>
      </c>
      <c r="T8" s="170" t="n">
        <v>0.25</v>
      </c>
      <c r="U8" s="170" t="n">
        <v>0.25</v>
      </c>
      <c r="V8" s="170" t="n">
        <v>0.25</v>
      </c>
      <c r="W8" s="170" t="n">
        <v>0.25</v>
      </c>
      <c r="X8" s="170" t="n">
        <v>0.25</v>
      </c>
      <c r="Y8" s="170" t="n">
        <v>0.25</v>
      </c>
      <c r="Z8" s="170" t="n">
        <v>0.25</v>
      </c>
      <c r="AA8" s="170" t="n">
        <v>0.25</v>
      </c>
      <c r="AB8" s="170" t="n">
        <v>0.25</v>
      </c>
      <c r="AC8" s="170" t="n">
        <v>0.25</v>
      </c>
      <c r="AD8" s="170" t="n">
        <v>0.25</v>
      </c>
      <c r="AE8" s="170" t="n">
        <v>0.25</v>
      </c>
      <c r="AF8" s="170" t="n">
        <v>0.25</v>
      </c>
      <c r="AG8" s="170" t="n">
        <v>0.25</v>
      </c>
      <c r="AH8" s="170" t="n">
        <v>0.25</v>
      </c>
      <c r="AI8" s="170" t="n">
        <v>0.25</v>
      </c>
      <c r="AJ8" s="170" t="n">
        <v>0.25</v>
      </c>
      <c r="AK8" s="170" t="n">
        <v>0.25</v>
      </c>
      <c r="AL8" s="170" t="n">
        <v>0.25</v>
      </c>
      <c r="AM8" s="170" t="n">
        <v>0.25</v>
      </c>
      <c r="AN8" s="170" t="n">
        <v>0.25</v>
      </c>
      <c r="AO8" s="170" t="n">
        <v>0.25</v>
      </c>
      <c r="AP8" s="170" t="n">
        <v>0.25</v>
      </c>
      <c r="AQ8" s="170" t="n">
        <v>0.25</v>
      </c>
      <c r="AR8" s="170" t="n">
        <v>0.25</v>
      </c>
      <c r="AS8" s="170" t="n">
        <v>0.25</v>
      </c>
      <c r="AT8" s="170" t="n">
        <v>0.25</v>
      </c>
      <c r="AU8" s="170" t="n">
        <v>0.25</v>
      </c>
      <c r="AV8" s="170" t="n">
        <v>0.25</v>
      </c>
      <c r="AW8" s="170" t="n">
        <v>0.25</v>
      </c>
      <c r="AX8" s="170" t="n">
        <v>0.25</v>
      </c>
      <c r="AY8" s="170" t="n">
        <v>0.25</v>
      </c>
      <c r="AZ8" s="170" t="n">
        <v>0.25</v>
      </c>
      <c r="BA8" s="170" t="n">
        <v>0.25</v>
      </c>
      <c r="BB8" s="170" t="n">
        <v>0.25</v>
      </c>
      <c r="BC8" s="170" t="n">
        <v>0.25</v>
      </c>
      <c r="BD8" s="170" t="n">
        <v>0.25</v>
      </c>
      <c r="BE8" s="170" t="n">
        <v>0.25</v>
      </c>
      <c r="BF8" s="170" t="n">
        <v>0.25</v>
      </c>
      <c r="BG8" s="170" t="n">
        <v>0.25</v>
      </c>
      <c r="BH8" s="170" t="n">
        <v>0.25</v>
      </c>
      <c r="BI8" s="170" t="n">
        <v>0.25</v>
      </c>
      <c r="BJ8" s="170" t="n">
        <v>0.25</v>
      </c>
      <c r="BK8" s="170" t="n">
        <v>0.25</v>
      </c>
      <c r="BL8" s="170" t="n">
        <v>0.25</v>
      </c>
      <c r="BM8" s="171" t="n">
        <v>0.25</v>
      </c>
      <c r="BN8" s="170" t="n">
        <v>0.25</v>
      </c>
      <c r="BO8" s="170" t="n">
        <v>0.25</v>
      </c>
      <c r="BP8" s="170" t="n">
        <v>0.25</v>
      </c>
      <c r="BQ8" s="170" t="n">
        <v>0.25</v>
      </c>
      <c r="BR8" s="170" t="n">
        <v>0.25</v>
      </c>
    </row>
    <row r="9">
      <c r="C9" s="46" t="inlineStr">
        <is>
          <t>カード与信を通過</t>
        </is>
      </c>
      <c r="D9" s="47" t="n"/>
      <c r="E9" s="47" t="n"/>
      <c r="F9" s="170" t="n">
        <v>0.7</v>
      </c>
      <c r="G9" s="170" t="n">
        <v>0.7</v>
      </c>
      <c r="H9" s="170" t="n">
        <v>0.7</v>
      </c>
      <c r="I9" s="170" t="n">
        <v>0.7</v>
      </c>
      <c r="J9" s="170" t="n">
        <v>0.7</v>
      </c>
      <c r="K9" s="170" t="n">
        <v>0.7</v>
      </c>
      <c r="L9" s="170" t="n">
        <v>0.7</v>
      </c>
      <c r="M9" s="170" t="n">
        <v>0.7</v>
      </c>
      <c r="N9" s="170" t="n">
        <v>0.7</v>
      </c>
      <c r="O9" s="170" t="n">
        <v>0.7</v>
      </c>
      <c r="P9" s="170" t="n">
        <v>0.7</v>
      </c>
      <c r="Q9" s="170" t="n">
        <v>0.7</v>
      </c>
      <c r="R9" s="170" t="n">
        <v>0.7</v>
      </c>
      <c r="S9" s="170" t="n">
        <v>0.7</v>
      </c>
      <c r="T9" s="170" t="n">
        <v>0.7</v>
      </c>
      <c r="U9" s="170" t="n">
        <v>0.7</v>
      </c>
      <c r="V9" s="170" t="n">
        <v>0.7</v>
      </c>
      <c r="W9" s="170" t="n">
        <v>0.7</v>
      </c>
      <c r="X9" s="170" t="n">
        <v>0.7</v>
      </c>
      <c r="Y9" s="170" t="n">
        <v>0.7</v>
      </c>
      <c r="Z9" s="170" t="n">
        <v>0.7</v>
      </c>
      <c r="AA9" s="170" t="n">
        <v>0.7</v>
      </c>
      <c r="AB9" s="170" t="n">
        <v>0.7</v>
      </c>
      <c r="AC9" s="170" t="n">
        <v>0.7</v>
      </c>
      <c r="AD9" s="170" t="n">
        <v>0.7</v>
      </c>
      <c r="AE9" s="170" t="n">
        <v>0.7</v>
      </c>
      <c r="AF9" s="170" t="n">
        <v>0.7</v>
      </c>
      <c r="AG9" s="170" t="n">
        <v>0.7</v>
      </c>
      <c r="AH9" s="170" t="n">
        <v>0.7</v>
      </c>
      <c r="AI9" s="170" t="n">
        <v>0.7</v>
      </c>
      <c r="AJ9" s="170" t="n">
        <v>0.7</v>
      </c>
      <c r="AK9" s="170" t="n">
        <v>0.7</v>
      </c>
      <c r="AL9" s="170" t="n">
        <v>0.7</v>
      </c>
      <c r="AM9" s="170" t="n">
        <v>0.7</v>
      </c>
      <c r="AN9" s="170" t="n">
        <v>0.7</v>
      </c>
      <c r="AO9" s="170" t="n">
        <v>0.7</v>
      </c>
      <c r="AP9" s="170" t="n">
        <v>0.7</v>
      </c>
      <c r="AQ9" s="170" t="n">
        <v>0.7</v>
      </c>
      <c r="AR9" s="170" t="n">
        <v>0.7</v>
      </c>
      <c r="AS9" s="170" t="n">
        <v>0.7</v>
      </c>
      <c r="AT9" s="170" t="n">
        <v>0.7</v>
      </c>
      <c r="AU9" s="170" t="n">
        <v>0.7</v>
      </c>
      <c r="AV9" s="170" t="n">
        <v>0.7</v>
      </c>
      <c r="AW9" s="170" t="n">
        <v>0.7</v>
      </c>
      <c r="AX9" s="170" t="n">
        <v>0.7</v>
      </c>
      <c r="AY9" s="170" t="n">
        <v>0.7</v>
      </c>
      <c r="AZ9" s="170" t="n">
        <v>0.7</v>
      </c>
      <c r="BA9" s="170" t="n">
        <v>0.7</v>
      </c>
      <c r="BB9" s="170" t="n">
        <v>0.7</v>
      </c>
      <c r="BC9" s="170" t="n">
        <v>0.7</v>
      </c>
      <c r="BD9" s="170" t="n">
        <v>0.7</v>
      </c>
      <c r="BE9" s="170" t="n">
        <v>0.7</v>
      </c>
      <c r="BF9" s="170" t="n">
        <v>0.7</v>
      </c>
      <c r="BG9" s="170" t="n">
        <v>0.7</v>
      </c>
      <c r="BH9" s="170" t="n">
        <v>0.7</v>
      </c>
      <c r="BI9" s="170" t="n">
        <v>0.7</v>
      </c>
      <c r="BJ9" s="170" t="n">
        <v>0.7</v>
      </c>
      <c r="BK9" s="170" t="n">
        <v>0.7</v>
      </c>
      <c r="BL9" s="170" t="n">
        <v>0.7</v>
      </c>
      <c r="BM9" s="171" t="n">
        <v>0.7</v>
      </c>
      <c r="BN9" s="170" t="n">
        <v>0.7</v>
      </c>
      <c r="BO9" s="170" t="n">
        <v>0.7</v>
      </c>
      <c r="BP9" s="170" t="n">
        <v>0.7</v>
      </c>
      <c r="BQ9" s="170" t="n">
        <v>0.7</v>
      </c>
      <c r="BR9" s="170" t="n">
        <v>0.7</v>
      </c>
    </row>
    <row r="10">
      <c r="C10" s="46" t="inlineStr">
        <is>
          <t>税理士 ➡ 企業提案</t>
        </is>
      </c>
      <c r="D10" s="47" t="n"/>
      <c r="E10" s="47" t="n"/>
      <c r="F10" s="170" t="n">
        <v>0.4</v>
      </c>
      <c r="G10" s="170" t="n">
        <v>0.4</v>
      </c>
      <c r="H10" s="170" t="n">
        <v>0.4</v>
      </c>
      <c r="I10" s="170" t="n">
        <v>0.4</v>
      </c>
      <c r="J10" s="170" t="n">
        <v>0.4</v>
      </c>
      <c r="K10" s="170" t="n">
        <v>0.4</v>
      </c>
      <c r="L10" s="170" t="n">
        <v>0.4</v>
      </c>
      <c r="M10" s="170" t="n">
        <v>0.4</v>
      </c>
      <c r="N10" s="170" t="n">
        <v>0.4</v>
      </c>
      <c r="O10" s="170" t="n">
        <v>0.4</v>
      </c>
      <c r="P10" s="170" t="n">
        <v>0.4</v>
      </c>
      <c r="Q10" s="170" t="n">
        <v>0.4</v>
      </c>
      <c r="R10" s="170" t="n">
        <v>0.4</v>
      </c>
      <c r="S10" s="170" t="n">
        <v>0.4</v>
      </c>
      <c r="T10" s="170" t="n">
        <v>0.4</v>
      </c>
      <c r="U10" s="170" t="n">
        <v>0.4</v>
      </c>
      <c r="V10" s="170" t="n">
        <v>0.4</v>
      </c>
      <c r="W10" s="170" t="n">
        <v>0.4</v>
      </c>
      <c r="X10" s="170" t="n">
        <v>0.4</v>
      </c>
      <c r="Y10" s="170" t="n">
        <v>0.4</v>
      </c>
      <c r="Z10" s="170" t="n">
        <v>0.4</v>
      </c>
      <c r="AA10" s="170" t="n">
        <v>0.4</v>
      </c>
      <c r="AB10" s="170" t="n">
        <v>0.4</v>
      </c>
      <c r="AC10" s="170" t="n">
        <v>0.4</v>
      </c>
      <c r="AD10" s="170" t="n">
        <v>0.4</v>
      </c>
      <c r="AE10" s="170" t="n">
        <v>0.4</v>
      </c>
      <c r="AF10" s="170" t="n">
        <v>0.4</v>
      </c>
      <c r="AG10" s="170" t="n">
        <v>0.4</v>
      </c>
      <c r="AH10" s="170" t="n">
        <v>0.4</v>
      </c>
      <c r="AI10" s="170" t="n">
        <v>0.4</v>
      </c>
      <c r="AJ10" s="170" t="n">
        <v>0.4</v>
      </c>
      <c r="AK10" s="170" t="n">
        <v>0.4</v>
      </c>
      <c r="AL10" s="170" t="n">
        <v>0.4</v>
      </c>
      <c r="AM10" s="170" t="n">
        <v>0.4</v>
      </c>
      <c r="AN10" s="170" t="n">
        <v>0.4</v>
      </c>
      <c r="AO10" s="170" t="n">
        <v>0.4</v>
      </c>
      <c r="AP10" s="170" t="n">
        <v>0.4</v>
      </c>
      <c r="AQ10" s="170" t="n">
        <v>0.4</v>
      </c>
      <c r="AR10" s="170" t="n">
        <v>0.4</v>
      </c>
      <c r="AS10" s="170" t="n">
        <v>0.4</v>
      </c>
      <c r="AT10" s="170" t="n">
        <v>0.4</v>
      </c>
      <c r="AU10" s="170" t="n">
        <v>0.4</v>
      </c>
      <c r="AV10" s="170" t="n">
        <v>0.4</v>
      </c>
      <c r="AW10" s="170" t="n">
        <v>0.4</v>
      </c>
      <c r="AX10" s="170" t="n">
        <v>0.4</v>
      </c>
      <c r="AY10" s="170" t="n">
        <v>0.4</v>
      </c>
      <c r="AZ10" s="170" t="n">
        <v>0.4</v>
      </c>
      <c r="BA10" s="170" t="n">
        <v>0.4</v>
      </c>
      <c r="BB10" s="170" t="n">
        <v>0.4</v>
      </c>
      <c r="BC10" s="170" t="n">
        <v>0.4</v>
      </c>
      <c r="BD10" s="170" t="n">
        <v>0.4</v>
      </c>
      <c r="BE10" s="170" t="n">
        <v>0.4</v>
      </c>
      <c r="BF10" s="170" t="n">
        <v>0.4</v>
      </c>
      <c r="BG10" s="170" t="n">
        <v>0.4</v>
      </c>
      <c r="BH10" s="170" t="n">
        <v>0.4</v>
      </c>
      <c r="BI10" s="170" t="n">
        <v>0.4</v>
      </c>
      <c r="BJ10" s="170" t="n">
        <v>0.4</v>
      </c>
      <c r="BK10" s="170" t="n">
        <v>0.4</v>
      </c>
      <c r="BL10" s="170" t="n">
        <v>0.4</v>
      </c>
      <c r="BM10" s="171" t="n">
        <v>0.4</v>
      </c>
      <c r="BN10" s="170" t="n">
        <v>0.4</v>
      </c>
      <c r="BO10" s="170" t="n">
        <v>0.4</v>
      </c>
      <c r="BP10" s="170" t="n">
        <v>0.4</v>
      </c>
      <c r="BQ10" s="170" t="n">
        <v>0.4</v>
      </c>
      <c r="BR10" s="170" t="n">
        <v>0.4</v>
      </c>
    </row>
    <row r="11">
      <c r="C11" s="51" t="inlineStr">
        <is>
          <t>受注率</t>
        </is>
      </c>
      <c r="D11" s="44" t="n"/>
      <c r="E11" s="44" t="n"/>
      <c r="F11" s="172" t="n">
        <v>0.6</v>
      </c>
      <c r="G11" s="172" t="n">
        <v>0.6</v>
      </c>
      <c r="H11" s="172" t="n">
        <v>0.6</v>
      </c>
      <c r="I11" s="172" t="n">
        <v>0.6</v>
      </c>
      <c r="J11" s="172" t="n">
        <v>0.6</v>
      </c>
      <c r="K11" s="172" t="n">
        <v>0.6</v>
      </c>
      <c r="L11" s="172" t="n">
        <v>0.6</v>
      </c>
      <c r="M11" s="172" t="n">
        <v>0.6</v>
      </c>
      <c r="N11" s="172" t="n">
        <v>0.6</v>
      </c>
      <c r="O11" s="172" t="n">
        <v>0.6</v>
      </c>
      <c r="P11" s="172" t="n">
        <v>0.6</v>
      </c>
      <c r="Q11" s="172" t="n">
        <v>0.6</v>
      </c>
      <c r="R11" s="172" t="n">
        <v>0.6</v>
      </c>
      <c r="S11" s="172" t="n">
        <v>0.6</v>
      </c>
      <c r="T11" s="172" t="n">
        <v>0.6</v>
      </c>
      <c r="U11" s="172" t="n">
        <v>0.6</v>
      </c>
      <c r="V11" s="172" t="n">
        <v>0.6</v>
      </c>
      <c r="W11" s="172" t="n">
        <v>0.6</v>
      </c>
      <c r="X11" s="172" t="n">
        <v>0.6</v>
      </c>
      <c r="Y11" s="172" t="n">
        <v>0.6</v>
      </c>
      <c r="Z11" s="172" t="n">
        <v>0.6</v>
      </c>
      <c r="AA11" s="172" t="n">
        <v>0.6</v>
      </c>
      <c r="AB11" s="172" t="n">
        <v>0.6</v>
      </c>
      <c r="AC11" s="172" t="n">
        <v>0.6</v>
      </c>
      <c r="AD11" s="172" t="n">
        <v>0.6</v>
      </c>
      <c r="AE11" s="172" t="n">
        <v>0.6</v>
      </c>
      <c r="AF11" s="172" t="n">
        <v>0.6</v>
      </c>
      <c r="AG11" s="172" t="n">
        <v>0.6</v>
      </c>
      <c r="AH11" s="172" t="n">
        <v>0.6</v>
      </c>
      <c r="AI11" s="172" t="n">
        <v>0.6</v>
      </c>
      <c r="AJ11" s="172" t="n">
        <v>0.6</v>
      </c>
      <c r="AK11" s="172" t="n">
        <v>0.6</v>
      </c>
      <c r="AL11" s="172" t="n">
        <v>0.6</v>
      </c>
      <c r="AM11" s="172" t="n">
        <v>0.6</v>
      </c>
      <c r="AN11" s="172" t="n">
        <v>0.6</v>
      </c>
      <c r="AO11" s="172" t="n">
        <v>0.6</v>
      </c>
      <c r="AP11" s="172" t="n">
        <v>0.6</v>
      </c>
      <c r="AQ11" s="172" t="n">
        <v>0.6</v>
      </c>
      <c r="AR11" s="172" t="n">
        <v>0.6</v>
      </c>
      <c r="AS11" s="172" t="n">
        <v>0.6</v>
      </c>
      <c r="AT11" s="172" t="n">
        <v>0.6</v>
      </c>
      <c r="AU11" s="172" t="n">
        <v>0.6</v>
      </c>
      <c r="AV11" s="172" t="n">
        <v>0.6</v>
      </c>
      <c r="AW11" s="172" t="n">
        <v>0.6</v>
      </c>
      <c r="AX11" s="172" t="n">
        <v>0.6</v>
      </c>
      <c r="AY11" s="172" t="n">
        <v>0.6</v>
      </c>
      <c r="AZ11" s="172" t="n">
        <v>0.6</v>
      </c>
      <c r="BA11" s="172" t="n">
        <v>0.6</v>
      </c>
      <c r="BB11" s="172" t="n">
        <v>0.6</v>
      </c>
      <c r="BC11" s="172" t="n">
        <v>0.6</v>
      </c>
      <c r="BD11" s="172" t="n">
        <v>0.6</v>
      </c>
      <c r="BE11" s="172" t="n">
        <v>0.6</v>
      </c>
      <c r="BF11" s="172" t="n">
        <v>0.6</v>
      </c>
      <c r="BG11" s="172" t="n">
        <v>0.6</v>
      </c>
      <c r="BH11" s="172" t="n">
        <v>0.6</v>
      </c>
      <c r="BI11" s="172" t="n">
        <v>0.6</v>
      </c>
      <c r="BJ11" s="172" t="n">
        <v>0.6</v>
      </c>
      <c r="BK11" s="172" t="n">
        <v>0.6</v>
      </c>
      <c r="BL11" s="172" t="n">
        <v>0.6</v>
      </c>
      <c r="BM11" s="173" t="n">
        <v>0.6</v>
      </c>
      <c r="BN11" s="172" t="n">
        <v>0.6</v>
      </c>
      <c r="BO11" s="172" t="n">
        <v>0.6</v>
      </c>
      <c r="BP11" s="172" t="n">
        <v>0.6</v>
      </c>
      <c r="BQ11" s="172" t="n">
        <v>0.6</v>
      </c>
      <c r="BR11" s="172" t="n">
        <v>0.6</v>
      </c>
    </row>
    <row r="12">
      <c r="C12" s="46" t="inlineStr">
        <is>
          <t>１税理士 / 受注数</t>
        </is>
      </c>
      <c r="D12" s="47" t="n"/>
      <c r="E12" s="47" t="n"/>
      <c r="F12" s="174">
        <f>PRODUCT(F6:F11) - F19</f>
        <v>0.0</v>
      </c>
      <c r="G12" s="174">
        <f>PRODUCT(G6:G11) - G19</f>
        <v>2.44902</v>
      </c>
      <c r="H12" s="174">
        <f>PRODUCT(H6:H11) - H19</f>
        <v>13.46961</v>
      </c>
      <c r="I12" s="174">
        <f>PRODUCT(I6:I11) - I19</f>
        <v>24.4902</v>
      </c>
      <c r="J12" s="174">
        <f>PRODUCT(J6:J11) - J19</f>
        <v>34.28628</v>
      </c>
      <c r="K12" s="174">
        <f>PRODUCT(K6:K11) - K19</f>
        <v>46.53138</v>
      </c>
      <c r="L12" s="174">
        <f>PRODUCT(L6:L11) - L19</f>
        <v>58.77648</v>
      </c>
      <c r="M12" s="174">
        <f>PRODUCT(M6:M11) - M19</f>
        <v>71.02158</v>
      </c>
      <c r="N12" s="174">
        <f>PRODUCT(N6:N11) - N19</f>
        <v>85.7157</v>
      </c>
      <c r="O12" s="174">
        <f>PRODUCT(O6:O11) - O19</f>
        <v>99.18531</v>
      </c>
      <c r="P12" s="174">
        <f>PRODUCT(P6:P11) - P19</f>
        <v>112.65492</v>
      </c>
      <c r="Q12" s="174">
        <f>PRODUCT(Q6:Q11) - Q19</f>
        <v>128.57355</v>
      </c>
      <c r="R12" s="174">
        <f>PRODUCT(R6:R11) - R19</f>
        <v>143.26767</v>
      </c>
      <c r="S12" s="174">
        <f>PRODUCT(S6:S11) - S19</f>
        <v>157.96179</v>
      </c>
      <c r="T12" s="174">
        <f>PRODUCT(T6:T11) - T19</f>
        <v>175.10493</v>
      </c>
      <c r="U12" s="174">
        <f>PRODUCT(U6:U11) - U19</f>
        <v>191.02356</v>
      </c>
      <c r="V12" s="174">
        <f>PRODUCT(V6:V11) - V19</f>
        <v>206.94219</v>
      </c>
      <c r="W12" s="174">
        <f>PRODUCT(W6:W11) - W19</f>
        <v>225.30984</v>
      </c>
      <c r="X12" s="174">
        <f>PRODUCT(X6:X11) - X19</f>
        <v>242.45298</v>
      </c>
      <c r="Y12" s="174">
        <f>PRODUCT(Y6:Y11) - Y19</f>
        <v>259.59612</v>
      </c>
      <c r="Z12" s="174">
        <f>PRODUCT(Z6:Z11) - Z19</f>
        <v>279.18828</v>
      </c>
      <c r="AA12" s="174">
        <f>PRODUCT(AA6:AA11) - AA19</f>
        <v>297.55593</v>
      </c>
      <c r="AB12" s="174">
        <f>PRODUCT(AB6:AB11) - AB19</f>
        <v>315.92358</v>
      </c>
      <c r="AC12" s="174">
        <f>PRODUCT(AC6:AC11) - AC19</f>
        <v>335.51574</v>
      </c>
      <c r="AD12" s="174">
        <f>PRODUCT(AD6:AD11) - AD19</f>
        <v>359.38119</v>
      </c>
      <c r="AE12" s="174">
        <f>PRODUCT(AE6:AE11) - AE19</f>
        <v>380.3040675</v>
      </c>
      <c r="AF12" s="174">
        <f>PRODUCT(AF6:AF11) - AF19</f>
        <v>403.68846</v>
      </c>
      <c r="AG12" s="174">
        <f>PRODUCT(AG6:AG11) - AG19</f>
        <v>425.842095</v>
      </c>
      <c r="AH12" s="174">
        <f>PRODUCT(AH6:AH11) - AH19</f>
        <v>449.2264875</v>
      </c>
      <c r="AI12" s="174">
        <f>PRODUCT(AI6:AI11) - AI19</f>
        <v>472.61088</v>
      </c>
      <c r="AJ12" s="174">
        <f>PRODUCT(AJ6:AJ11) - AJ19</f>
        <v>497.22603</v>
      </c>
      <c r="AK12" s="174">
        <f>PRODUCT(AK6:AK11) - AK19</f>
        <v>520.6104225</v>
      </c>
      <c r="AL12" s="174">
        <f>PRODUCT(AL6:AL11) - AL19</f>
        <v>546.45633</v>
      </c>
      <c r="AM12" s="174">
        <f>PRODUCT(AM6:AM11) - AM19</f>
        <v>571.07148</v>
      </c>
      <c r="AN12" s="174">
        <f>PRODUCT(AN6:AN11) - AN19</f>
        <v>595.68663</v>
      </c>
      <c r="AO12" s="174">
        <f>PRODUCT(AO6:AO11) - AO19</f>
        <v>622.763295</v>
      </c>
      <c r="AP12" s="174">
        <f>PRODUCT(AP6:AP11) - AP19</f>
        <v>648.6092025</v>
      </c>
      <c r="AQ12" s="174">
        <f>PRODUCT(AQ6:AQ11) - AQ19</f>
        <v>674.45511</v>
      </c>
      <c r="AR12" s="174">
        <f>PRODUCT(AR6:AR11) - AR19</f>
        <v>701.531775</v>
      </c>
      <c r="AS12" s="174">
        <f>PRODUCT(AS6:AS11) - AS19</f>
        <v>728.60844</v>
      </c>
      <c r="AT12" s="174">
        <f>PRODUCT(AT6:AT11) - AT19</f>
        <v>755.685105</v>
      </c>
      <c r="AU12" s="174">
        <f>PRODUCT(AU6:AU11) - AU19</f>
        <v>783.9925275</v>
      </c>
      <c r="AV12" s="174">
        <f>PRODUCT(AV6:AV11) - AV19</f>
        <v>812.29995</v>
      </c>
      <c r="AW12" s="174">
        <f>PRODUCT(AW6:AW11) - AW19</f>
        <v>840.6073725</v>
      </c>
      <c r="AX12" s="174">
        <f>PRODUCT(AX6:AX11) - AX19</f>
        <v>870.1455525</v>
      </c>
      <c r="AY12" s="174">
        <f>PRODUCT(AY6:AY11) - AY19</f>
        <v>898.452975</v>
      </c>
      <c r="AZ12" s="174">
        <f>PRODUCT(AZ6:AZ11) - AZ19</f>
        <v>927.991155</v>
      </c>
      <c r="BA12" s="174">
        <f>PRODUCT(BA6:BA11) - BA19</f>
        <v>957.529335</v>
      </c>
      <c r="BB12" s="174">
        <f>PRODUCT(BB6:BB11) - BB19</f>
        <v>998.263035</v>
      </c>
      <c r="BC12" s="174">
        <f>PRODUCT(BC6:BC11) - BC19</f>
        <v>1032.899175</v>
      </c>
      <c r="BD12" s="174">
        <f>PRODUCT(BD6:BD11) - BD19</f>
        <v>1068.77232</v>
      </c>
      <c r="BE12" s="174">
        <f>PRODUCT(BE6:BE11) - BE19</f>
        <v>1104.645465</v>
      </c>
      <c r="BF12" s="174">
        <f>PRODUCT(BF6:BF11) - BF19</f>
        <v>1140.51861</v>
      </c>
      <c r="BG12" s="174">
        <f>PRODUCT(BG6:BG11) - BG19</f>
        <v>1178.865765</v>
      </c>
      <c r="BH12" s="174">
        <f>PRODUCT(BH6:BH11) - BH19</f>
        <v>1215.975915</v>
      </c>
      <c r="BI12" s="174">
        <f>PRODUCT(BI6:BI11) - BI19</f>
        <v>1253.086065</v>
      </c>
      <c r="BJ12" s="174">
        <f>PRODUCT(BJ6:BJ11) - BJ19</f>
        <v>1291.43322</v>
      </c>
      <c r="BK12" s="174">
        <f>PRODUCT(BK6:BK11) - BK19</f>
        <v>1329.780375</v>
      </c>
      <c r="BL12" s="174">
        <f>PRODUCT(BL6:BL11) - BL19</f>
        <v>1368.12753</v>
      </c>
      <c r="BM12" s="174">
        <f>PRODUCT(BM6:BM11) - BM19</f>
        <v>1407.71169</v>
      </c>
      <c r="BN12" s="175">
        <f>PRODUCT(BN6:BN11) - BN19</f>
        <v>117.37803</v>
      </c>
      <c r="BO12" s="174">
        <f>PRODUCT(BO6:BO11) - BO19</f>
        <v>284.61111</v>
      </c>
      <c r="BP12" s="174">
        <f>PRODUCT(BP6:BP11) - BP19</f>
        <v>543.2388675</v>
      </c>
      <c r="BQ12" s="174">
        <f>PRODUCT(BQ6:BQ11) - BQ19</f>
        <v>825.9195</v>
      </c>
      <c r="BR12" s="174">
        <f>PRODUCT(BR6:BR11) - BR19</f>
        <v>1276.576665</v>
      </c>
    </row>
    <row r="13">
      <c r="C13" s="55" t="inlineStr">
        <is>
          <t>単価</t>
        </is>
      </c>
      <c r="D13" s="47" t="n"/>
      <c r="E13" s="47" t="n"/>
      <c r="F13" s="176">
        <f>F14*F15</f>
        <v>1500.0</v>
      </c>
      <c r="G13" s="176">
        <f>G14*G15</f>
        <v>1500.0</v>
      </c>
      <c r="H13" s="176">
        <f>H14*H15</f>
        <v>1500.0</v>
      </c>
      <c r="I13" s="176">
        <f>I14*I15</f>
        <v>1500.0</v>
      </c>
      <c r="J13" s="176">
        <f>J14*J15</f>
        <v>1500.0</v>
      </c>
      <c r="K13" s="176">
        <f>K14*K15</f>
        <v>1500.0</v>
      </c>
      <c r="L13" s="176">
        <f>L14*L15</f>
        <v>1500.0</v>
      </c>
      <c r="M13" s="176">
        <f>M14*M15</f>
        <v>1500.0</v>
      </c>
      <c r="N13" s="176">
        <f>N14*N15</f>
        <v>1500.0</v>
      </c>
      <c r="O13" s="176">
        <f>O14*O15</f>
        <v>1500.0</v>
      </c>
      <c r="P13" s="176">
        <f>P14*P15</f>
        <v>1500.0</v>
      </c>
      <c r="Q13" s="176">
        <f>Q14*Q15</f>
        <v>1500.0</v>
      </c>
      <c r="R13" s="176">
        <f>R14*R15</f>
        <v>1500.0</v>
      </c>
      <c r="S13" s="176">
        <f>S14*S15</f>
        <v>1500.0</v>
      </c>
      <c r="T13" s="176">
        <f>T14*T15</f>
        <v>1500.0</v>
      </c>
      <c r="U13" s="176">
        <f>U14*U15</f>
        <v>1500.0</v>
      </c>
      <c r="V13" s="176">
        <f>V14*V15</f>
        <v>1500.0</v>
      </c>
      <c r="W13" s="176">
        <f>W14*W15</f>
        <v>1500.0</v>
      </c>
      <c r="X13" s="176">
        <f>X14*X15</f>
        <v>1500.0</v>
      </c>
      <c r="Y13" s="176">
        <f>Y14*Y15</f>
        <v>1500.0</v>
      </c>
      <c r="Z13" s="176">
        <f>Z14*Z15</f>
        <v>1500.0</v>
      </c>
      <c r="AA13" s="176">
        <f>AA14*AA15</f>
        <v>1500.0</v>
      </c>
      <c r="AB13" s="176">
        <f>AB14*AB15</f>
        <v>1500.0</v>
      </c>
      <c r="AC13" s="176">
        <f>AC14*AC15</f>
        <v>1500.0</v>
      </c>
      <c r="AD13" s="176">
        <f>AD14*AD15</f>
        <v>1500.0</v>
      </c>
      <c r="AE13" s="176">
        <f>AE14*AE15</f>
        <v>1500.0</v>
      </c>
      <c r="AF13" s="176">
        <f>AF14*AF15</f>
        <v>1500.0</v>
      </c>
      <c r="AG13" s="176">
        <f>AG14*AG15</f>
        <v>1500.0</v>
      </c>
      <c r="AH13" s="176">
        <f>AH14*AH15</f>
        <v>1500.0</v>
      </c>
      <c r="AI13" s="176">
        <f>AI14*AI15</f>
        <v>1500.0</v>
      </c>
      <c r="AJ13" s="176">
        <f>AJ14*AJ15</f>
        <v>1500.0</v>
      </c>
      <c r="AK13" s="176">
        <f>AK14*AK15</f>
        <v>1500.0</v>
      </c>
      <c r="AL13" s="176">
        <f>AL14*AL15</f>
        <v>1500.0</v>
      </c>
      <c r="AM13" s="176">
        <f>AM14*AM15</f>
        <v>1500.0</v>
      </c>
      <c r="AN13" s="176">
        <f>AN14*AN15</f>
        <v>1500.0</v>
      </c>
      <c r="AO13" s="176">
        <f>AO14*AO15</f>
        <v>1500.0</v>
      </c>
      <c r="AP13" s="176">
        <f>AP14*AP15</f>
        <v>1500.0</v>
      </c>
      <c r="AQ13" s="176">
        <f>AQ14*AQ15</f>
        <v>1500.0</v>
      </c>
      <c r="AR13" s="176">
        <f>AR14*AR15</f>
        <v>1500.0</v>
      </c>
      <c r="AS13" s="176">
        <f>AS14*AS15</f>
        <v>1500.0</v>
      </c>
      <c r="AT13" s="176">
        <f>AT14*AT15</f>
        <v>1500.0</v>
      </c>
      <c r="AU13" s="176">
        <f>AU14*AU15</f>
        <v>1500.0</v>
      </c>
      <c r="AV13" s="176">
        <f>AV14*AV15</f>
        <v>1500.0</v>
      </c>
      <c r="AW13" s="176">
        <f>AW14*AW15</f>
        <v>1500.0</v>
      </c>
      <c r="AX13" s="176">
        <f>AX14*AX15</f>
        <v>1500.0</v>
      </c>
      <c r="AY13" s="176">
        <f>AY14*AY15</f>
        <v>1500.0</v>
      </c>
      <c r="AZ13" s="176">
        <f>AZ14*AZ15</f>
        <v>1500.0</v>
      </c>
      <c r="BA13" s="176">
        <f>BA14*BA15</f>
        <v>1500.0</v>
      </c>
      <c r="BB13" s="176">
        <f>BB14*BB15</f>
        <v>1500.0</v>
      </c>
      <c r="BC13" s="176">
        <f>BC14*BC15</f>
        <v>1500.0</v>
      </c>
      <c r="BD13" s="176">
        <f>BD14*BD15</f>
        <v>1500.0</v>
      </c>
      <c r="BE13" s="176">
        <f>BE14*BE15</f>
        <v>1500.0</v>
      </c>
      <c r="BF13" s="176">
        <f>BF14*BF15</f>
        <v>1500.0</v>
      </c>
      <c r="BG13" s="176">
        <f>BG14*BG15</f>
        <v>1500.0</v>
      </c>
      <c r="BH13" s="176">
        <f>BH14*BH15</f>
        <v>1500.0</v>
      </c>
      <c r="BI13" s="176">
        <f>BI14*BI15</f>
        <v>1500.0</v>
      </c>
      <c r="BJ13" s="176">
        <f>BJ14*BJ15</f>
        <v>1500.0</v>
      </c>
      <c r="BK13" s="176">
        <f>BK14*BK15</f>
        <v>1500.0</v>
      </c>
      <c r="BL13" s="176">
        <f>BL14*BL15</f>
        <v>1500.0</v>
      </c>
      <c r="BM13" s="177">
        <f>BM14*BM15</f>
        <v>1500.0</v>
      </c>
      <c r="BN13" s="176">
        <f>BN14*BN15</f>
        <v>1500.0</v>
      </c>
      <c r="BO13" s="176">
        <f>BO14*BO15</f>
        <v>1500.0</v>
      </c>
      <c r="BP13" s="176">
        <f>BP14*BP15</f>
        <v>1500.0</v>
      </c>
      <c r="BQ13" s="176">
        <f>BQ14*BQ15</f>
        <v>1500.0</v>
      </c>
      <c r="BR13" s="176">
        <f>BR14*BR15</f>
        <v>1500.0</v>
      </c>
    </row>
    <row r="14">
      <c r="C14" s="55" t="inlineStr">
        <is>
          <t>企業の年間販管費（人件費抜き）</t>
        </is>
      </c>
      <c r="D14" s="58" t="inlineStr">
        <is>
          <t>https://www.e-stat.go.jp/stat-search/files?tclass=000001230645&amp;cycle=7&amp;year=20240</t>
        </is>
      </c>
      <c r="E14" s="47" t="n"/>
      <c r="F14" s="56" t="n">
        <v>3000000</v>
      </c>
      <c r="G14" s="56" t="n">
        <v>3000000</v>
      </c>
      <c r="H14" s="56" t="n">
        <v>3000000</v>
      </c>
      <c r="I14" s="56" t="n">
        <v>3000000</v>
      </c>
      <c r="J14" s="56" t="n">
        <v>3000000</v>
      </c>
      <c r="K14" s="56" t="n">
        <v>3000000</v>
      </c>
      <c r="L14" s="56" t="n">
        <v>3000000</v>
      </c>
      <c r="M14" s="56" t="n">
        <v>3000000</v>
      </c>
      <c r="N14" s="56" t="n">
        <v>3000000</v>
      </c>
      <c r="O14" s="56" t="n">
        <v>3000000</v>
      </c>
      <c r="P14" s="56" t="n">
        <v>3000000</v>
      </c>
      <c r="Q14" s="56" t="n">
        <v>3000000</v>
      </c>
      <c r="R14" s="56" t="n">
        <v>3000000</v>
      </c>
      <c r="S14" s="56" t="n">
        <v>3000000</v>
      </c>
      <c r="T14" s="56" t="n">
        <v>3000000</v>
      </c>
      <c r="U14" s="56" t="n">
        <v>3000000</v>
      </c>
      <c r="V14" s="56" t="n">
        <v>3000000</v>
      </c>
      <c r="W14" s="56" t="n">
        <v>3000000</v>
      </c>
      <c r="X14" s="56" t="n">
        <v>3000000</v>
      </c>
      <c r="Y14" s="56" t="n">
        <v>3000000</v>
      </c>
      <c r="Z14" s="56" t="n">
        <v>3000000</v>
      </c>
      <c r="AA14" s="56" t="n">
        <v>3000000</v>
      </c>
      <c r="AB14" s="56" t="n">
        <v>3000000</v>
      </c>
      <c r="AC14" s="56" t="n">
        <v>3000000</v>
      </c>
      <c r="AD14" s="56" t="n">
        <v>3000000</v>
      </c>
      <c r="AE14" s="56" t="n">
        <v>3000000</v>
      </c>
      <c r="AF14" s="56" t="n">
        <v>3000000</v>
      </c>
      <c r="AG14" s="56" t="n">
        <v>3000000</v>
      </c>
      <c r="AH14" s="56" t="n">
        <v>3000000</v>
      </c>
      <c r="AI14" s="56" t="n">
        <v>3000000</v>
      </c>
      <c r="AJ14" s="56" t="n">
        <v>3000000</v>
      </c>
      <c r="AK14" s="56" t="n">
        <v>3000000</v>
      </c>
      <c r="AL14" s="56" t="n">
        <v>3000000</v>
      </c>
      <c r="AM14" s="56" t="n">
        <v>3000000</v>
      </c>
      <c r="AN14" s="56" t="n">
        <v>3000000</v>
      </c>
      <c r="AO14" s="56" t="n">
        <v>3000000</v>
      </c>
      <c r="AP14" s="56" t="n">
        <v>3000000</v>
      </c>
      <c r="AQ14" s="56" t="n">
        <v>3000000</v>
      </c>
      <c r="AR14" s="56" t="n">
        <v>3000000</v>
      </c>
      <c r="AS14" s="56" t="n">
        <v>3000000</v>
      </c>
      <c r="AT14" s="56" t="n">
        <v>3000000</v>
      </c>
      <c r="AU14" s="56" t="n">
        <v>3000000</v>
      </c>
      <c r="AV14" s="56" t="n">
        <v>3000000</v>
      </c>
      <c r="AW14" s="56" t="n">
        <v>3000000</v>
      </c>
      <c r="AX14" s="56" t="n">
        <v>3000000</v>
      </c>
      <c r="AY14" s="56" t="n">
        <v>3000000</v>
      </c>
      <c r="AZ14" s="56" t="n">
        <v>3000000</v>
      </c>
      <c r="BA14" s="56" t="n">
        <v>3000000</v>
      </c>
      <c r="BB14" s="56" t="n">
        <v>3000000</v>
      </c>
      <c r="BC14" s="56" t="n">
        <v>3000000</v>
      </c>
      <c r="BD14" s="56" t="n">
        <v>3000000</v>
      </c>
      <c r="BE14" s="56" t="n">
        <v>3000000</v>
      </c>
      <c r="BF14" s="56" t="n">
        <v>3000000</v>
      </c>
      <c r="BG14" s="56" t="n">
        <v>3000000</v>
      </c>
      <c r="BH14" s="56" t="n">
        <v>3000000</v>
      </c>
      <c r="BI14" s="56" t="n">
        <v>3000000</v>
      </c>
      <c r="BJ14" s="56" t="n">
        <v>3000000</v>
      </c>
      <c r="BK14" s="56" t="n">
        <v>3000000</v>
      </c>
      <c r="BL14" s="56" t="n">
        <v>3000000</v>
      </c>
      <c r="BM14" s="57" t="n">
        <v>3000000</v>
      </c>
      <c r="BN14" s="56" t="n">
        <v>3000000</v>
      </c>
      <c r="BO14" s="56" t="n">
        <v>3000000</v>
      </c>
      <c r="BP14" s="56" t="n">
        <v>3000000</v>
      </c>
      <c r="BQ14" s="56" t="n">
        <v>3000000</v>
      </c>
      <c r="BR14" s="56" t="n">
        <v>3000000</v>
      </c>
    </row>
    <row r="15">
      <c r="C15" s="46" t="inlineStr">
        <is>
          <t>支払い.com Taxel 紹介費用率</t>
        </is>
      </c>
      <c r="D15" s="47" t="n"/>
      <c r="E15" s="47" t="n"/>
      <c r="F15" s="59" t="n">
        <v>0.0005</v>
      </c>
      <c r="G15" s="59" t="n">
        <v>0.0005</v>
      </c>
      <c r="H15" s="59" t="n">
        <v>0.0005</v>
      </c>
      <c r="I15" s="59" t="n">
        <v>0.0005</v>
      </c>
      <c r="J15" s="59" t="n">
        <v>0.0005</v>
      </c>
      <c r="K15" s="59" t="n">
        <v>0.0005</v>
      </c>
      <c r="L15" s="59" t="n">
        <v>0.0005</v>
      </c>
      <c r="M15" s="59" t="n">
        <v>0.0005</v>
      </c>
      <c r="N15" s="59" t="n">
        <v>0.0005</v>
      </c>
      <c r="O15" s="59" t="n">
        <v>0.0005</v>
      </c>
      <c r="P15" s="59" t="n">
        <v>0.0005</v>
      </c>
      <c r="Q15" s="59" t="n">
        <v>0.0005</v>
      </c>
      <c r="R15" s="59" t="n">
        <v>0.0005</v>
      </c>
      <c r="S15" s="59" t="n">
        <v>0.0005</v>
      </c>
      <c r="T15" s="59" t="n">
        <v>0.0005</v>
      </c>
      <c r="U15" s="59" t="n">
        <v>0.0005</v>
      </c>
      <c r="V15" s="59" t="n">
        <v>0.0005</v>
      </c>
      <c r="W15" s="59" t="n">
        <v>0.0005</v>
      </c>
      <c r="X15" s="59" t="n">
        <v>0.0005</v>
      </c>
      <c r="Y15" s="59" t="n">
        <v>0.0005</v>
      </c>
      <c r="Z15" s="59" t="n">
        <v>0.0005</v>
      </c>
      <c r="AA15" s="59" t="n">
        <v>0.0005</v>
      </c>
      <c r="AB15" s="59" t="n">
        <v>0.0005</v>
      </c>
      <c r="AC15" s="59" t="n">
        <v>0.0005</v>
      </c>
      <c r="AD15" s="59" t="n">
        <v>0.0005</v>
      </c>
      <c r="AE15" s="59" t="n">
        <v>0.0005</v>
      </c>
      <c r="AF15" s="59" t="n">
        <v>0.0005</v>
      </c>
      <c r="AG15" s="59" t="n">
        <v>0.0005</v>
      </c>
      <c r="AH15" s="59" t="n">
        <v>0.0005</v>
      </c>
      <c r="AI15" s="59" t="n">
        <v>0.0005</v>
      </c>
      <c r="AJ15" s="59" t="n">
        <v>0.0005</v>
      </c>
      <c r="AK15" s="59" t="n">
        <v>0.0005</v>
      </c>
      <c r="AL15" s="59" t="n">
        <v>0.0005</v>
      </c>
      <c r="AM15" s="59" t="n">
        <v>0.0005</v>
      </c>
      <c r="AN15" s="59" t="n">
        <v>0.0005</v>
      </c>
      <c r="AO15" s="59" t="n">
        <v>0.0005</v>
      </c>
      <c r="AP15" s="59" t="n">
        <v>0.0005</v>
      </c>
      <c r="AQ15" s="59" t="n">
        <v>0.0005</v>
      </c>
      <c r="AR15" s="59" t="n">
        <v>0.0005</v>
      </c>
      <c r="AS15" s="59" t="n">
        <v>0.0005</v>
      </c>
      <c r="AT15" s="59" t="n">
        <v>0.0005</v>
      </c>
      <c r="AU15" s="59" t="n">
        <v>0.0005</v>
      </c>
      <c r="AV15" s="59" t="n">
        <v>0.0005</v>
      </c>
      <c r="AW15" s="59" t="n">
        <v>0.0005</v>
      </c>
      <c r="AX15" s="59" t="n">
        <v>0.0005</v>
      </c>
      <c r="AY15" s="59" t="n">
        <v>0.0005</v>
      </c>
      <c r="AZ15" s="59" t="n">
        <v>0.0005</v>
      </c>
      <c r="BA15" s="59" t="n">
        <v>0.0005</v>
      </c>
      <c r="BB15" s="59" t="n">
        <v>0.0005</v>
      </c>
      <c r="BC15" s="59" t="n">
        <v>0.0005</v>
      </c>
      <c r="BD15" s="59" t="n">
        <v>0.0005</v>
      </c>
      <c r="BE15" s="59" t="n">
        <v>0.0005</v>
      </c>
      <c r="BF15" s="59" t="n">
        <v>0.0005</v>
      </c>
      <c r="BG15" s="59" t="n">
        <v>0.0005</v>
      </c>
      <c r="BH15" s="59" t="n">
        <v>0.0005</v>
      </c>
      <c r="BI15" s="59" t="n">
        <v>0.0005</v>
      </c>
      <c r="BJ15" s="59" t="n">
        <v>0.0005</v>
      </c>
      <c r="BK15" s="59" t="n">
        <v>0.0005</v>
      </c>
      <c r="BL15" s="59" t="n">
        <v>0.0005</v>
      </c>
      <c r="BM15" s="60" t="n">
        <v>0.0005</v>
      </c>
      <c r="BN15" s="59" t="n">
        <v>0.0005</v>
      </c>
      <c r="BO15" s="59" t="n">
        <v>0.0005</v>
      </c>
      <c r="BP15" s="59" t="n">
        <v>0.0005</v>
      </c>
      <c r="BQ15" s="59" t="n">
        <v>0.0005</v>
      </c>
      <c r="BR15" s="59" t="n">
        <v>0.0005</v>
      </c>
    </row>
    <row r="16">
      <c r="C16" s="46" t="inlineStr">
        <is>
          <t>１税理士 / 紹介費用</t>
        </is>
      </c>
      <c r="D16" s="47" t="n"/>
      <c r="E16" s="47" t="n"/>
      <c r="F16" s="178">
        <f>F13*F12</f>
        <v>0.0</v>
      </c>
      <c r="G16" s="178">
        <f>G13*G12</f>
        <v>3673.53</v>
      </c>
      <c r="H16" s="178">
        <f>H13*H12</f>
        <v>20204.415</v>
      </c>
      <c r="I16" s="178">
        <f>I13*I12</f>
        <v>36735.3</v>
      </c>
      <c r="J16" s="178">
        <f>J13*J12</f>
        <v>51429.42</v>
      </c>
      <c r="K16" s="178">
        <f>K13*K12</f>
        <v>69797.07</v>
      </c>
      <c r="L16" s="178">
        <f>L13*L12</f>
        <v>88164.72</v>
      </c>
      <c r="M16" s="178">
        <f>M13*M12</f>
        <v>106532.37</v>
      </c>
      <c r="N16" s="178">
        <f>N13*N12</f>
        <v>128573.55</v>
      </c>
      <c r="O16" s="178">
        <f>O13*O12</f>
        <v>148777.965</v>
      </c>
      <c r="P16" s="178">
        <f>P13*P12</f>
        <v>168982.38</v>
      </c>
      <c r="Q16" s="178">
        <f>Q13*Q12</f>
        <v>192860.325</v>
      </c>
      <c r="R16" s="178">
        <f>R13*R12</f>
        <v>214901.505</v>
      </c>
      <c r="S16" s="178">
        <f>S13*S12</f>
        <v>236942.685</v>
      </c>
      <c r="T16" s="178">
        <f>T13*T12</f>
        <v>262657.395</v>
      </c>
      <c r="U16" s="178">
        <f>U13*U12</f>
        <v>286535.34</v>
      </c>
      <c r="V16" s="178">
        <f>V13*V12</f>
        <v>310413.285</v>
      </c>
      <c r="W16" s="178">
        <f>W13*W12</f>
        <v>337964.76</v>
      </c>
      <c r="X16" s="178">
        <f>X13*X12</f>
        <v>363679.47</v>
      </c>
      <c r="Y16" s="178">
        <f>Y13*Y12</f>
        <v>389394.18</v>
      </c>
      <c r="Z16" s="178">
        <f>Z13*Z12</f>
        <v>418782.42</v>
      </c>
      <c r="AA16" s="178">
        <f>AA13*AA12</f>
        <v>446333.895</v>
      </c>
      <c r="AB16" s="178">
        <f>AB13*AB12</f>
        <v>473885.37</v>
      </c>
      <c r="AC16" s="178">
        <f>AC13*AC12</f>
        <v>503273.61</v>
      </c>
      <c r="AD16" s="178">
        <f>AD13*AD12</f>
        <v>539071.785</v>
      </c>
      <c r="AE16" s="178">
        <f>AE13*AE12</f>
        <v>570456.10125</v>
      </c>
      <c r="AF16" s="178">
        <f>AF13*AF12</f>
        <v>605532.69</v>
      </c>
      <c r="AG16" s="178">
        <f>AG13*AG12</f>
        <v>638763.1425</v>
      </c>
      <c r="AH16" s="178">
        <f>AH13*AH12</f>
        <v>673839.73125</v>
      </c>
      <c r="AI16" s="178">
        <f>AI13*AI12</f>
        <v>708916.32</v>
      </c>
      <c r="AJ16" s="178">
        <f>AJ13*AJ12</f>
        <v>745839.045</v>
      </c>
      <c r="AK16" s="178">
        <f>AK13*AK12</f>
        <v>780915.63375</v>
      </c>
      <c r="AL16" s="178">
        <f>AL13*AL12</f>
        <v>819684.495</v>
      </c>
      <c r="AM16" s="178">
        <f>AM13*AM12</f>
        <v>856607.22</v>
      </c>
      <c r="AN16" s="178">
        <f>AN13*AN12</f>
        <v>893529.945</v>
      </c>
      <c r="AO16" s="178">
        <f>AO13*AO12</f>
        <v>934144.9425</v>
      </c>
      <c r="AP16" s="178">
        <f>AP13*AP12</f>
        <v>972913.80375</v>
      </c>
      <c r="AQ16" s="178">
        <f>AQ13*AQ12</f>
        <v>1011682.665</v>
      </c>
      <c r="AR16" s="178">
        <f>AR13*AR12</f>
        <v>1052297.6625</v>
      </c>
      <c r="AS16" s="178">
        <f>AS13*AS12</f>
        <v>1092912.66</v>
      </c>
      <c r="AT16" s="178">
        <f>AT13*AT12</f>
        <v>1133527.6575</v>
      </c>
      <c r="AU16" s="178">
        <f>AU13*AU12</f>
        <v>1175988.79125</v>
      </c>
      <c r="AV16" s="178">
        <f>AV13*AV12</f>
        <v>1218449.925</v>
      </c>
      <c r="AW16" s="178">
        <f>AW13*AW12</f>
        <v>1260911.05875</v>
      </c>
      <c r="AX16" s="178">
        <f>AX13*AX12</f>
        <v>1305218.32875</v>
      </c>
      <c r="AY16" s="178">
        <f>AY13*AY12</f>
        <v>1347679.4625</v>
      </c>
      <c r="AZ16" s="178">
        <f>AZ13*AZ12</f>
        <v>1391986.7325</v>
      </c>
      <c r="BA16" s="178">
        <f>BA13*BA12</f>
        <v>1436294.0025</v>
      </c>
      <c r="BB16" s="178">
        <f>BB13*BB12</f>
        <v>1497394.5525</v>
      </c>
      <c r="BC16" s="178">
        <f>BC13*BC12</f>
        <v>1549348.7625</v>
      </c>
      <c r="BD16" s="178">
        <f>BD13*BD12</f>
        <v>1603158.48</v>
      </c>
      <c r="BE16" s="178">
        <f>BE13*BE12</f>
        <v>1656968.1975</v>
      </c>
      <c r="BF16" s="178">
        <f>BF13*BF12</f>
        <v>1710777.915</v>
      </c>
      <c r="BG16" s="178">
        <f>BG13*BG12</f>
        <v>1768298.6475</v>
      </c>
      <c r="BH16" s="178">
        <f>BH13*BH12</f>
        <v>1823963.8725</v>
      </c>
      <c r="BI16" s="178">
        <f>BI13*BI12</f>
        <v>1879629.0975</v>
      </c>
      <c r="BJ16" s="178">
        <f>BJ13*BJ12</f>
        <v>1937149.83</v>
      </c>
      <c r="BK16" s="178">
        <f>BK13*BK12</f>
        <v>1994670.5625</v>
      </c>
      <c r="BL16" s="178">
        <f>BL13*BL12</f>
        <v>2052191.295</v>
      </c>
      <c r="BM16" s="179">
        <f>BM13*BM12</f>
        <v>2111567.535</v>
      </c>
      <c r="BN16" s="178">
        <f>BN13*BN12</f>
        <v>176067.045</v>
      </c>
      <c r="BO16" s="178">
        <f>BO13*BO12</f>
        <v>426916.665</v>
      </c>
      <c r="BP16" s="178">
        <f>BP13*BP12</f>
        <v>814858.30125</v>
      </c>
      <c r="BQ16" s="178">
        <f>BQ13*BQ12</f>
        <v>1238879.25</v>
      </c>
      <c r="BR16" s="178">
        <f>BR13*BR12</f>
        <v>1914864.9975</v>
      </c>
    </row>
    <row r="17">
      <c r="C17" s="11" t="inlineStr">
        <is>
          <t>税理士数＝アカウト数</t>
        </is>
      </c>
      <c r="D17" s="103" t="n"/>
      <c r="E17" s="103" t="n"/>
      <c r="F17" s="104" t="n">
        <v>0</v>
      </c>
      <c r="G17" s="104" t="n">
        <v>2</v>
      </c>
      <c r="H17" s="104" t="n">
        <v>11</v>
      </c>
      <c r="I17" s="104" t="n">
        <v>20</v>
      </c>
      <c r="J17" s="104" t="n">
        <v>28</v>
      </c>
      <c r="K17" s="104" t="n">
        <v>38</v>
      </c>
      <c r="L17" s="104" t="n">
        <v>48</v>
      </c>
      <c r="M17" s="104" t="n">
        <v>58</v>
      </c>
      <c r="N17" s="104" t="n">
        <v>70</v>
      </c>
      <c r="O17" s="104" t="n">
        <v>81</v>
      </c>
      <c r="P17" s="104" t="n">
        <v>92</v>
      </c>
      <c r="Q17" s="104" t="n">
        <v>105</v>
      </c>
      <c r="R17" s="104" t="n">
        <v>117</v>
      </c>
      <c r="S17" s="104" t="n">
        <v>129</v>
      </c>
      <c r="T17" s="104" t="n">
        <v>143</v>
      </c>
      <c r="U17" s="104" t="n">
        <v>156</v>
      </c>
      <c r="V17" s="104" t="n">
        <v>169</v>
      </c>
      <c r="W17" s="104" t="n">
        <v>184</v>
      </c>
      <c r="X17" s="104" t="n">
        <v>198</v>
      </c>
      <c r="Y17" s="104" t="n">
        <v>212</v>
      </c>
      <c r="Z17" s="104" t="n">
        <v>228</v>
      </c>
      <c r="AA17" s="104" t="n">
        <v>243</v>
      </c>
      <c r="AB17" s="104" t="n">
        <v>258</v>
      </c>
      <c r="AC17" s="104" t="n">
        <v>274</v>
      </c>
      <c r="AD17" s="104" t="n">
        <v>292</v>
      </c>
      <c r="AE17" s="104" t="n">
        <v>309</v>
      </c>
      <c r="AF17" s="104" t="n">
        <v>328</v>
      </c>
      <c r="AG17" s="104" t="n">
        <v>346</v>
      </c>
      <c r="AH17" s="104" t="n">
        <v>365</v>
      </c>
      <c r="AI17" s="104" t="n">
        <v>384</v>
      </c>
      <c r="AJ17" s="104" t="n">
        <v>404</v>
      </c>
      <c r="AK17" s="104" t="n">
        <v>423</v>
      </c>
      <c r="AL17" s="104" t="n">
        <v>444</v>
      </c>
      <c r="AM17" s="104" t="n">
        <v>464</v>
      </c>
      <c r="AN17" s="104" t="n">
        <v>484</v>
      </c>
      <c r="AO17" s="104" t="n">
        <v>506</v>
      </c>
      <c r="AP17" s="104" t="n">
        <v>527</v>
      </c>
      <c r="AQ17" s="104" t="n">
        <v>548</v>
      </c>
      <c r="AR17" s="104" t="n">
        <v>570</v>
      </c>
      <c r="AS17" s="104" t="n">
        <v>592</v>
      </c>
      <c r="AT17" s="104" t="n">
        <v>614</v>
      </c>
      <c r="AU17" s="104" t="n">
        <v>637</v>
      </c>
      <c r="AV17" s="104" t="n">
        <v>660</v>
      </c>
      <c r="AW17" s="104" t="n">
        <v>683</v>
      </c>
      <c r="AX17" s="104" t="n">
        <v>707</v>
      </c>
      <c r="AY17" s="104" t="n">
        <v>730</v>
      </c>
      <c r="AZ17" s="104" t="n">
        <v>754</v>
      </c>
      <c r="BA17" s="104" t="n">
        <v>778</v>
      </c>
      <c r="BB17" s="104" t="n">
        <v>807</v>
      </c>
      <c r="BC17" s="104" t="n">
        <v>835</v>
      </c>
      <c r="BD17" s="104" t="n">
        <v>864</v>
      </c>
      <c r="BE17" s="104" t="n">
        <v>893</v>
      </c>
      <c r="BF17" s="104" t="n">
        <v>922</v>
      </c>
      <c r="BG17" s="104" t="n">
        <v>953</v>
      </c>
      <c r="BH17" s="104" t="n">
        <v>983</v>
      </c>
      <c r="BI17" s="104" t="n">
        <v>1013</v>
      </c>
      <c r="BJ17" s="104" t="n">
        <v>1044</v>
      </c>
      <c r="BK17" s="104" t="n">
        <v>1075</v>
      </c>
      <c r="BL17" s="104" t="n">
        <v>1106</v>
      </c>
      <c r="BM17" s="105" t="n">
        <v>1138</v>
      </c>
      <c r="BN17" s="104" t="n">
        <v>105</v>
      </c>
      <c r="BO17" s="104" t="n">
        <v>274</v>
      </c>
      <c r="BP17" s="104" t="n">
        <v>506</v>
      </c>
      <c r="BQ17" s="104" t="n">
        <v>778</v>
      </c>
      <c r="BR17" s="104" t="n">
        <v>1138</v>
      </c>
    </row>
    <row r="18">
      <c r="C18" s="160" t="inlineStr">
        <is>
          <t>新規</t>
        </is>
      </c>
      <c r="D18" s="12" t="n"/>
      <c r="E18" s="160" t="n"/>
      <c r="F18" s="8" t="n">
        <v>0</v>
      </c>
      <c r="G18" s="26" t="n">
        <v>1</v>
      </c>
      <c r="H18" s="26" t="n">
        <v>5</v>
      </c>
      <c r="I18" s="26" t="n">
        <v>5</v>
      </c>
      <c r="J18" s="26" t="n">
        <v>5</v>
      </c>
      <c r="K18" s="26">
        <f>H18+1</f>
        <v>6.0</v>
      </c>
      <c r="L18" s="26">
        <f>I18+1</f>
        <v>6.0</v>
      </c>
      <c r="M18" s="26">
        <f>J18+1</f>
        <v>6.0</v>
      </c>
      <c r="N18" s="26">
        <f>K18+1</f>
        <v>7.0</v>
      </c>
      <c r="O18" s="26">
        <f>L18+1</f>
        <v>7.0</v>
      </c>
      <c r="P18" s="26">
        <f>M18+1</f>
        <v>7.0</v>
      </c>
      <c r="Q18" s="26">
        <f>N18+1</f>
        <v>8.0</v>
      </c>
      <c r="R18" s="26">
        <f>O18+1</f>
        <v>8.0</v>
      </c>
      <c r="S18" s="26">
        <f>P18+1</f>
        <v>8.0</v>
      </c>
      <c r="T18" s="26">
        <f>Q18+1</f>
        <v>9.0</v>
      </c>
      <c r="U18" s="26">
        <f>R18+1</f>
        <v>9.0</v>
      </c>
      <c r="V18" s="26">
        <f>S18+1</f>
        <v>9.0</v>
      </c>
      <c r="W18" s="26">
        <f>T18+1</f>
        <v>10.0</v>
      </c>
      <c r="X18" s="26">
        <f>U18+1</f>
        <v>10.0</v>
      </c>
      <c r="Y18" s="26">
        <f>V18+1</f>
        <v>10.0</v>
      </c>
      <c r="Z18" s="26">
        <f>W18+1</f>
        <v>11.0</v>
      </c>
      <c r="AA18" s="26">
        <f>X18+1</f>
        <v>11.0</v>
      </c>
      <c r="AB18" s="26">
        <f>Y18+1</f>
        <v>11.0</v>
      </c>
      <c r="AC18" s="26">
        <f>Z18+1</f>
        <v>12.0</v>
      </c>
      <c r="AD18" s="26">
        <f>AA18+1</f>
        <v>12.0</v>
      </c>
      <c r="AE18" s="26">
        <f>AB18+1</f>
        <v>12.0</v>
      </c>
      <c r="AF18" s="26">
        <f>AC18+1</f>
        <v>13.0</v>
      </c>
      <c r="AG18" s="26">
        <f>AD18+1</f>
        <v>13.0</v>
      </c>
      <c r="AH18" s="26">
        <f>AE18+1</f>
        <v>13.0</v>
      </c>
      <c r="AI18" s="26">
        <f>AF18+1</f>
        <v>14.0</v>
      </c>
      <c r="AJ18" s="26">
        <f>AG18+1</f>
        <v>14.0</v>
      </c>
      <c r="AK18" s="26">
        <f>AH18+1</f>
        <v>14.0</v>
      </c>
      <c r="AL18" s="26">
        <f>AI18+1</f>
        <v>15.0</v>
      </c>
      <c r="AM18" s="26">
        <f>AJ18+1</f>
        <v>15.0</v>
      </c>
      <c r="AN18" s="26">
        <f>AK18+1</f>
        <v>15.0</v>
      </c>
      <c r="AO18" s="26">
        <f>AL18+1</f>
        <v>16.0</v>
      </c>
      <c r="AP18" s="26">
        <f>AM18+1</f>
        <v>16.0</v>
      </c>
      <c r="AQ18" s="26">
        <f>AN18+1</f>
        <v>16.0</v>
      </c>
      <c r="AR18" s="26">
        <f>AO18+1</f>
        <v>17.0</v>
      </c>
      <c r="AS18" s="26">
        <f>AP18+1</f>
        <v>17.0</v>
      </c>
      <c r="AT18" s="26">
        <f>AQ18+1</f>
        <v>17.0</v>
      </c>
      <c r="AU18" s="26">
        <f>AR18+1</f>
        <v>18.0</v>
      </c>
      <c r="AV18" s="26">
        <f>AS18+1</f>
        <v>18.0</v>
      </c>
      <c r="AW18" s="26">
        <f>AT18+1</f>
        <v>18.0</v>
      </c>
      <c r="AX18" s="26">
        <f>AU18+1</f>
        <v>19.0</v>
      </c>
      <c r="AY18" s="26">
        <f>AV18+1</f>
        <v>19.0</v>
      </c>
      <c r="AZ18" s="26">
        <f>AW18+1</f>
        <v>19.0</v>
      </c>
      <c r="BA18" s="26">
        <f>AX18+1</f>
        <v>20.0</v>
      </c>
      <c r="BB18" s="26">
        <f>AY18+1</f>
        <v>20.0</v>
      </c>
      <c r="BC18" s="26">
        <f>AZ18+1</f>
        <v>20.0</v>
      </c>
      <c r="BD18" s="26">
        <f>BA18+1</f>
        <v>21.0</v>
      </c>
      <c r="BE18" s="26">
        <f>BB18+1</f>
        <v>21.0</v>
      </c>
      <c r="BF18" s="26">
        <f>BC18+1</f>
        <v>21.0</v>
      </c>
      <c r="BG18" s="26">
        <f>BD18+1</f>
        <v>22.0</v>
      </c>
      <c r="BH18" s="26">
        <f>BE18+1</f>
        <v>22.0</v>
      </c>
      <c r="BI18" s="26">
        <f>BF18+1</f>
        <v>22.0</v>
      </c>
      <c r="BJ18" s="26">
        <f>BG18+1</f>
        <v>23.0</v>
      </c>
      <c r="BK18" s="26">
        <f>BH18+1</f>
        <v>23.0</v>
      </c>
      <c r="BL18" s="26">
        <f>BI18+1</f>
        <v>23.0</v>
      </c>
      <c r="BM18" s="25">
        <f>BJ18+1</f>
        <v>24.0</v>
      </c>
      <c r="BN18" s="26">
        <f>SUM(F18:Q18)</f>
        <v>63.0</v>
      </c>
      <c r="BO18" s="26">
        <f>SUM(R18:AC18)</f>
        <v>118.0</v>
      </c>
      <c r="BP18" s="26">
        <f>SUM(AD18:AO18)</f>
        <v>166.0</v>
      </c>
      <c r="BQ18" s="26">
        <f>SUM(AP18:BA18)</f>
        <v>214.0</v>
      </c>
      <c r="BR18" s="26">
        <f>SUM(BB18:BM18)</f>
        <v>262.0</v>
      </c>
    </row>
    <row r="19">
      <c r="C19" s="160" t="inlineStr">
        <is>
          <t>解約予想数</t>
        </is>
      </c>
      <c r="D19" s="12" t="n"/>
      <c r="E19" s="160" t="n"/>
      <c r="F19" s="28">
        <f>F20*PRODUCT(F6:F11)</f>
        <v>0.0</v>
      </c>
      <c r="G19" s="28">
        <f>G20*PRODUCT(G6:G11)</f>
        <v>0.04998</v>
      </c>
      <c r="H19" s="28">
        <f>H20*PRODUCT(H6:H11)</f>
        <v>0.27489</v>
      </c>
      <c r="I19" s="28">
        <f>I20*PRODUCT(I6:I11)</f>
        <v>0.4998</v>
      </c>
      <c r="J19" s="28">
        <f>J20*PRODUCT(J6:J11)</f>
        <v>0.69972</v>
      </c>
      <c r="K19" s="28">
        <f>K20*PRODUCT(K6:K11)</f>
        <v>0.94962</v>
      </c>
      <c r="L19" s="28">
        <f>L20*PRODUCT(L6:L11)</f>
        <v>1.19952</v>
      </c>
      <c r="M19" s="28">
        <f>M20*PRODUCT(M6:M11)</f>
        <v>1.44942</v>
      </c>
      <c r="N19" s="28">
        <f>N20*PRODUCT(N6:N11)</f>
        <v>1.7493</v>
      </c>
      <c r="O19" s="28">
        <f>O20*PRODUCT(O6:O11)</f>
        <v>2.02419</v>
      </c>
      <c r="P19" s="28">
        <f>P20*PRODUCT(P6:P11)</f>
        <v>2.29908</v>
      </c>
      <c r="Q19" s="28">
        <f>Q20*PRODUCT(Q6:Q11)</f>
        <v>2.62395</v>
      </c>
      <c r="R19" s="28">
        <f>R20*PRODUCT(R6:R11)</f>
        <v>2.92383</v>
      </c>
      <c r="S19" s="28">
        <f>S20*PRODUCT(S6:S11)</f>
        <v>3.22371</v>
      </c>
      <c r="T19" s="28">
        <f>T20*PRODUCT(T6:T11)</f>
        <v>3.57357</v>
      </c>
      <c r="U19" s="28">
        <f>U20*PRODUCT(U6:U11)</f>
        <v>3.89844</v>
      </c>
      <c r="V19" s="28">
        <f>V20*PRODUCT(V6:V11)</f>
        <v>4.22331</v>
      </c>
      <c r="W19" s="28">
        <f>W20*PRODUCT(W6:W11)</f>
        <v>4.59816</v>
      </c>
      <c r="X19" s="28">
        <f>X20*PRODUCT(X6:X11)</f>
        <v>4.94802</v>
      </c>
      <c r="Y19" s="28">
        <f>Y20*PRODUCT(Y6:Y11)</f>
        <v>5.29788</v>
      </c>
      <c r="Z19" s="28">
        <f>Z20*PRODUCT(Z6:Z11)</f>
        <v>5.69772</v>
      </c>
      <c r="AA19" s="28">
        <f>AA20*PRODUCT(AA6:AA11)</f>
        <v>6.07257</v>
      </c>
      <c r="AB19" s="28">
        <f>AB20*PRODUCT(AB6:AB11)</f>
        <v>6.44742</v>
      </c>
      <c r="AC19" s="28">
        <f>AC20*PRODUCT(AC6:AC11)</f>
        <v>6.84726</v>
      </c>
      <c r="AD19" s="28">
        <f>AD20*PRODUCT(AD6:AD11)</f>
        <v>5.47281</v>
      </c>
      <c r="AE19" s="28">
        <f>AE20*PRODUCT(AE6:AE11)</f>
        <v>5.7914325</v>
      </c>
      <c r="AF19" s="28">
        <f>AF20*PRODUCT(AF6:AF11)</f>
        <v>6.14754</v>
      </c>
      <c r="AG19" s="28">
        <f>AG20*PRODUCT(AG6:AG11)</f>
        <v>6.484905</v>
      </c>
      <c r="AH19" s="28">
        <f>AH20*PRODUCT(AH6:AH11)</f>
        <v>6.8410125</v>
      </c>
      <c r="AI19" s="28">
        <f>AI20*PRODUCT(AI6:AI11)</f>
        <v>7.19712</v>
      </c>
      <c r="AJ19" s="28">
        <f>AJ20*PRODUCT(AJ6:AJ11)</f>
        <v>7.57197</v>
      </c>
      <c r="AK19" s="28">
        <f>AK20*PRODUCT(AK6:AK11)</f>
        <v>7.9280775</v>
      </c>
      <c r="AL19" s="28">
        <f>AL20*PRODUCT(AL6:AL11)</f>
        <v>8.32167</v>
      </c>
      <c r="AM19" s="28">
        <f>AM20*PRODUCT(AM6:AM11)</f>
        <v>8.69652</v>
      </c>
      <c r="AN19" s="28">
        <f>AN20*PRODUCT(AN6:AN11)</f>
        <v>9.07137</v>
      </c>
      <c r="AO19" s="28">
        <f>AO20*PRODUCT(AO6:AO11)</f>
        <v>9.483705</v>
      </c>
      <c r="AP19" s="28">
        <f>AP20*PRODUCT(AP6:AP11)</f>
        <v>9.8772975</v>
      </c>
      <c r="AQ19" s="28">
        <f>AQ20*PRODUCT(AQ6:AQ11)</f>
        <v>10.27089</v>
      </c>
      <c r="AR19" s="28">
        <f>AR20*PRODUCT(AR6:AR11)</f>
        <v>10.683225</v>
      </c>
      <c r="AS19" s="28">
        <f>AS20*PRODUCT(AS6:AS11)</f>
        <v>11.09556</v>
      </c>
      <c r="AT19" s="28">
        <f>AT20*PRODUCT(AT6:AT11)</f>
        <v>11.507895</v>
      </c>
      <c r="AU19" s="28">
        <f>AU20*PRODUCT(AU6:AU11)</f>
        <v>11.9389725</v>
      </c>
      <c r="AV19" s="28">
        <f>AV20*PRODUCT(AV6:AV11)</f>
        <v>12.37005</v>
      </c>
      <c r="AW19" s="28">
        <f>AW20*PRODUCT(AW6:AW11)</f>
        <v>12.8011275</v>
      </c>
      <c r="AX19" s="28">
        <f>AX20*PRODUCT(AX6:AX11)</f>
        <v>13.2509475</v>
      </c>
      <c r="AY19" s="28">
        <f>AY20*PRODUCT(AY6:AY11)</f>
        <v>13.682025</v>
      </c>
      <c r="AZ19" s="28">
        <f>AZ20*PRODUCT(AZ6:AZ11)</f>
        <v>14.131845</v>
      </c>
      <c r="BA19" s="28">
        <f>BA20*PRODUCT(BA6:BA11)</f>
        <v>14.581665</v>
      </c>
      <c r="BB19" s="28">
        <f>BB20*PRODUCT(BB6:BB11)</f>
        <v>10.083465</v>
      </c>
      <c r="BC19" s="28">
        <f>BC20*PRODUCT(BC6:BC11)</f>
        <v>10.433325</v>
      </c>
      <c r="BD19" s="28">
        <f>BD20*PRODUCT(BD6:BD11)</f>
        <v>10.79568</v>
      </c>
      <c r="BE19" s="28">
        <f>BE20*PRODUCT(BE6:BE11)</f>
        <v>11.158035</v>
      </c>
      <c r="BF19" s="28">
        <f>BF20*PRODUCT(BF6:BF11)</f>
        <v>11.52039</v>
      </c>
      <c r="BG19" s="28">
        <f>BG20*PRODUCT(BG6:BG11)</f>
        <v>11.907735</v>
      </c>
      <c r="BH19" s="28">
        <f>BH20*PRODUCT(BH6:BH11)</f>
        <v>12.282585</v>
      </c>
      <c r="BI19" s="28">
        <f>BI20*PRODUCT(BI6:BI11)</f>
        <v>12.657435</v>
      </c>
      <c r="BJ19" s="28">
        <f>BJ20*PRODUCT(BJ6:BJ11)</f>
        <v>13.04478</v>
      </c>
      <c r="BK19" s="28">
        <f>BK20*PRODUCT(BK6:BK11)</f>
        <v>13.432125</v>
      </c>
      <c r="BL19" s="28">
        <f>BL20*PRODUCT(BL6:BL11)</f>
        <v>13.81947</v>
      </c>
      <c r="BM19" s="61">
        <f>BM20*PRODUCT(BM6:BM11)</f>
        <v>14.21931</v>
      </c>
      <c r="BN19" s="40">
        <f>SUM(F19:Q19)</f>
        <v>13.81947</v>
      </c>
      <c r="BO19" s="26">
        <f>SUM(R19:AC19)</f>
        <v>57.75189</v>
      </c>
      <c r="BP19" s="26">
        <f>SUM(AD19:AO19)</f>
        <v>89.0081325</v>
      </c>
      <c r="BQ19" s="26">
        <f>SUM(AP19:BA19)</f>
        <v>146.1915</v>
      </c>
      <c r="BR19" s="26">
        <f>SUM(BB19:BM19)</f>
        <v>145.354335</v>
      </c>
    </row>
    <row r="20">
      <c r="C20" s="160" t="inlineStr">
        <is>
          <t>解約率</t>
        </is>
      </c>
      <c r="D20" s="12" t="inlineStr">
        <is>
          <t>F&amp;M オフィスステーション1.01%</t>
        </is>
      </c>
      <c r="E20" s="160" t="n"/>
      <c r="F20" s="29" t="n">
        <v>0.02</v>
      </c>
      <c r="G20" s="29" t="n">
        <v>0.02</v>
      </c>
      <c r="H20" s="29" t="n">
        <v>0.02</v>
      </c>
      <c r="I20" s="29" t="n">
        <v>0.02</v>
      </c>
      <c r="J20" s="29" t="n">
        <v>0.02</v>
      </c>
      <c r="K20" s="29" t="n">
        <v>0.02</v>
      </c>
      <c r="L20" s="29" t="n">
        <v>0.02</v>
      </c>
      <c r="M20" s="29" t="n">
        <v>0.02</v>
      </c>
      <c r="N20" s="29" t="n">
        <v>0.02</v>
      </c>
      <c r="O20" s="29" t="n">
        <v>0.02</v>
      </c>
      <c r="P20" s="29" t="n">
        <v>0.02</v>
      </c>
      <c r="Q20" s="29" t="n">
        <v>0.02</v>
      </c>
      <c r="R20" s="29" t="n">
        <v>0.02</v>
      </c>
      <c r="S20" s="29" t="n">
        <v>0.02</v>
      </c>
      <c r="T20" s="29" t="n">
        <v>0.02</v>
      </c>
      <c r="U20" s="29" t="n">
        <v>0.02</v>
      </c>
      <c r="V20" s="29" t="n">
        <v>0.02</v>
      </c>
      <c r="W20" s="29" t="n">
        <v>0.02</v>
      </c>
      <c r="X20" s="29" t="n">
        <v>0.02</v>
      </c>
      <c r="Y20" s="29" t="n">
        <v>0.02</v>
      </c>
      <c r="Z20" s="29" t="n">
        <v>0.02</v>
      </c>
      <c r="AA20" s="29" t="n">
        <v>0.02</v>
      </c>
      <c r="AB20" s="29" t="n">
        <v>0.02</v>
      </c>
      <c r="AC20" s="29" t="n">
        <v>0.02</v>
      </c>
      <c r="AD20" s="162" t="n">
        <v>0.015</v>
      </c>
      <c r="AE20" s="162" t="n">
        <v>0.015</v>
      </c>
      <c r="AF20" s="162" t="n">
        <v>0.015</v>
      </c>
      <c r="AG20" s="162" t="n">
        <v>0.015</v>
      </c>
      <c r="AH20" s="162" t="n">
        <v>0.015</v>
      </c>
      <c r="AI20" s="162" t="n">
        <v>0.015</v>
      </c>
      <c r="AJ20" s="162" t="n">
        <v>0.015</v>
      </c>
      <c r="AK20" s="162" t="n">
        <v>0.015</v>
      </c>
      <c r="AL20" s="162" t="n">
        <v>0.015</v>
      </c>
      <c r="AM20" s="162" t="n">
        <v>0.015</v>
      </c>
      <c r="AN20" s="162" t="n">
        <v>0.015</v>
      </c>
      <c r="AO20" s="162" t="n">
        <v>0.015</v>
      </c>
      <c r="AP20" s="162" t="n">
        <v>0.015</v>
      </c>
      <c r="AQ20" s="162" t="n">
        <v>0.015</v>
      </c>
      <c r="AR20" s="162" t="n">
        <v>0.015</v>
      </c>
      <c r="AS20" s="162" t="n">
        <v>0.015</v>
      </c>
      <c r="AT20" s="162" t="n">
        <v>0.015</v>
      </c>
      <c r="AU20" s="162" t="n">
        <v>0.015</v>
      </c>
      <c r="AV20" s="162" t="n">
        <v>0.015</v>
      </c>
      <c r="AW20" s="162" t="n">
        <v>0.015</v>
      </c>
      <c r="AX20" s="162" t="n">
        <v>0.015</v>
      </c>
      <c r="AY20" s="162" t="n">
        <v>0.015</v>
      </c>
      <c r="AZ20" s="162" t="n">
        <v>0.015</v>
      </c>
      <c r="BA20" s="162" t="n">
        <v>0.015</v>
      </c>
      <c r="BB20" s="29" t="n">
        <v>0.01</v>
      </c>
      <c r="BC20" s="29" t="n">
        <v>0.01</v>
      </c>
      <c r="BD20" s="29" t="n">
        <v>0.01</v>
      </c>
      <c r="BE20" s="29" t="n">
        <v>0.01</v>
      </c>
      <c r="BF20" s="29" t="n">
        <v>0.01</v>
      </c>
      <c r="BG20" s="29" t="n">
        <v>0.01</v>
      </c>
      <c r="BH20" s="29" t="n">
        <v>0.01</v>
      </c>
      <c r="BI20" s="29" t="n">
        <v>0.01</v>
      </c>
      <c r="BJ20" s="29" t="n">
        <v>0.01</v>
      </c>
      <c r="BK20" s="29" t="n">
        <v>0.01</v>
      </c>
      <c r="BL20" s="29" t="n">
        <v>0.01</v>
      </c>
      <c r="BM20" s="31" t="n">
        <v>0.01</v>
      </c>
      <c r="BN20" s="29" t="n">
        <v>0.12</v>
      </c>
      <c r="BO20" s="29" t="n">
        <v>0.12</v>
      </c>
      <c r="BP20" s="29" t="n">
        <v>0.12</v>
      </c>
      <c r="BQ20" s="29" t="n">
        <v>0.12</v>
      </c>
      <c r="BR20" s="29" t="n">
        <v>0.12</v>
      </c>
    </row>
  </sheetData>
  <hyperlinks>
    <hyperlink xmlns:r="http://schemas.openxmlformats.org/officeDocument/2006/relationships" ref="D14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4:BR18"/>
  <sheetViews>
    <sheetView zoomScale="118" workbookViewId="0">
      <selection activeCell="F4" sqref="F4:BR4"/>
    </sheetView>
  </sheetViews>
  <sheetFormatPr baseColWidth="10" defaultRowHeight="20"/>
  <sheetData>
    <row r="4">
      <c r="C4" s="62" t="inlineStr">
        <is>
          <t>■ プライベートバンク ➡ UBM 積立式</t>
        </is>
      </c>
      <c r="D4" s="63" t="n"/>
      <c r="E4" s="63" t="n"/>
      <c r="F4" s="118" t="inlineStr">
        <is>
          <t>Y1_M1</t>
        </is>
      </c>
      <c r="G4" s="118" t="inlineStr">
        <is>
          <t>Y1_M2</t>
        </is>
      </c>
      <c r="H4" s="118" t="inlineStr">
        <is>
          <t>Y1_M3</t>
        </is>
      </c>
      <c r="I4" s="118" t="inlineStr">
        <is>
          <t>Y1_M4</t>
        </is>
      </c>
      <c r="J4" s="118" t="inlineStr">
        <is>
          <t>Y1_M5</t>
        </is>
      </c>
      <c r="K4" s="118" t="inlineStr">
        <is>
          <t>Y1_M6</t>
        </is>
      </c>
      <c r="L4" s="118" t="inlineStr">
        <is>
          <t>Y1_M7</t>
        </is>
      </c>
      <c r="M4" s="118" t="inlineStr">
        <is>
          <t>Y1_M8</t>
        </is>
      </c>
      <c r="N4" s="118" t="inlineStr">
        <is>
          <t>Y1_M9</t>
        </is>
      </c>
      <c r="O4" s="118" t="inlineStr">
        <is>
          <t>Y1_M10</t>
        </is>
      </c>
      <c r="P4" s="118" t="inlineStr">
        <is>
          <t>Y1_M11</t>
        </is>
      </c>
      <c r="Q4" s="118" t="inlineStr">
        <is>
          <t>Y1_M12</t>
        </is>
      </c>
      <c r="R4" s="118" t="inlineStr">
        <is>
          <t>Y2_M1</t>
        </is>
      </c>
      <c r="S4" s="118" t="inlineStr">
        <is>
          <t>Y2_M2</t>
        </is>
      </c>
      <c r="T4" s="118" t="inlineStr">
        <is>
          <t>Y2_M3</t>
        </is>
      </c>
      <c r="U4" s="118" t="inlineStr">
        <is>
          <t>Y2_M4</t>
        </is>
      </c>
      <c r="V4" s="118" t="inlineStr">
        <is>
          <t>Y2_M5</t>
        </is>
      </c>
      <c r="W4" s="118" t="inlineStr">
        <is>
          <t>Y2_M6</t>
        </is>
      </c>
      <c r="X4" s="118" t="inlineStr">
        <is>
          <t>Y2_M7</t>
        </is>
      </c>
      <c r="Y4" s="118" t="inlineStr">
        <is>
          <t>Y2_M8</t>
        </is>
      </c>
      <c r="Z4" s="118" t="inlineStr">
        <is>
          <t>Y2_M9</t>
        </is>
      </c>
      <c r="AA4" s="118" t="inlineStr">
        <is>
          <t>Y2_M10</t>
        </is>
      </c>
      <c r="AB4" s="118" t="inlineStr">
        <is>
          <t>Y2_M11</t>
        </is>
      </c>
      <c r="AC4" s="118" t="inlineStr">
        <is>
          <t>Y2_M12</t>
        </is>
      </c>
      <c r="AD4" s="118" t="inlineStr">
        <is>
          <t>Y3_M1</t>
        </is>
      </c>
      <c r="AE4" s="118" t="inlineStr">
        <is>
          <t>Y3_M2</t>
        </is>
      </c>
      <c r="AF4" s="118" t="inlineStr">
        <is>
          <t>Y3_M3</t>
        </is>
      </c>
      <c r="AG4" s="118" t="inlineStr">
        <is>
          <t>Y3_M4</t>
        </is>
      </c>
      <c r="AH4" s="118" t="inlineStr">
        <is>
          <t>Y3_M5</t>
        </is>
      </c>
      <c r="AI4" s="118" t="inlineStr">
        <is>
          <t>Y3_M6</t>
        </is>
      </c>
      <c r="AJ4" s="118" t="inlineStr">
        <is>
          <t>Y3_M7</t>
        </is>
      </c>
      <c r="AK4" s="118" t="inlineStr">
        <is>
          <t>Y3_M8</t>
        </is>
      </c>
      <c r="AL4" s="118" t="inlineStr">
        <is>
          <t>Y3_M9</t>
        </is>
      </c>
      <c r="AM4" s="118" t="inlineStr">
        <is>
          <t>Y3_M10</t>
        </is>
      </c>
      <c r="AN4" s="118" t="inlineStr">
        <is>
          <t>Y3_M11</t>
        </is>
      </c>
      <c r="AO4" s="118" t="inlineStr">
        <is>
          <t>Y3_M12</t>
        </is>
      </c>
      <c r="AP4" s="118" t="inlineStr">
        <is>
          <t>Y4_M1</t>
        </is>
      </c>
      <c r="AQ4" s="118" t="inlineStr">
        <is>
          <t>Y4_M2</t>
        </is>
      </c>
      <c r="AR4" s="118" t="inlineStr">
        <is>
          <t>Y4_M3</t>
        </is>
      </c>
      <c r="AS4" s="118" t="inlineStr">
        <is>
          <t>Y4_M4</t>
        </is>
      </c>
      <c r="AT4" s="118" t="inlineStr">
        <is>
          <t>Y4_M5</t>
        </is>
      </c>
      <c r="AU4" s="118" t="inlineStr">
        <is>
          <t>Y4_M6</t>
        </is>
      </c>
      <c r="AV4" s="118" t="inlineStr">
        <is>
          <t>Y4_M7</t>
        </is>
      </c>
      <c r="AW4" s="118" t="inlineStr">
        <is>
          <t>Y4_M8</t>
        </is>
      </c>
      <c r="AX4" s="118" t="inlineStr">
        <is>
          <t>Y4_M9</t>
        </is>
      </c>
      <c r="AY4" s="118" t="inlineStr">
        <is>
          <t>Y4_M10</t>
        </is>
      </c>
      <c r="AZ4" s="118" t="inlineStr">
        <is>
          <t>Y4_M11</t>
        </is>
      </c>
      <c r="BA4" s="118" t="inlineStr">
        <is>
          <t>Y4_M12</t>
        </is>
      </c>
      <c r="BB4" s="118" t="inlineStr">
        <is>
          <t>Y5_M1</t>
        </is>
      </c>
      <c r="BC4" s="118" t="inlineStr">
        <is>
          <t>Y5_M2</t>
        </is>
      </c>
      <c r="BD4" s="118" t="inlineStr">
        <is>
          <t>Y5_M3</t>
        </is>
      </c>
      <c r="BE4" s="118" t="inlineStr">
        <is>
          <t>Y5_M4</t>
        </is>
      </c>
      <c r="BF4" s="118" t="inlineStr">
        <is>
          <t>Y5_M5</t>
        </is>
      </c>
      <c r="BG4" s="118" t="inlineStr">
        <is>
          <t>Y5_M6</t>
        </is>
      </c>
      <c r="BH4" s="118" t="inlineStr">
        <is>
          <t>Y5_M7</t>
        </is>
      </c>
      <c r="BI4" s="118" t="inlineStr">
        <is>
          <t>Y5_M8</t>
        </is>
      </c>
      <c r="BJ4" s="118" t="inlineStr">
        <is>
          <t>Y5_M9</t>
        </is>
      </c>
      <c r="BK4" s="118" t="inlineStr">
        <is>
          <t>Y5_M10</t>
        </is>
      </c>
      <c r="BL4" s="118" t="inlineStr">
        <is>
          <t>Y5_M11</t>
        </is>
      </c>
      <c r="BM4" s="118" t="inlineStr">
        <is>
          <t>Y5_M12</t>
        </is>
      </c>
      <c r="BN4" s="10" t="inlineStr">
        <is>
          <t>Y1</t>
        </is>
      </c>
      <c r="BO4" s="10" t="inlineStr">
        <is>
          <t>Y2</t>
        </is>
      </c>
      <c r="BP4" s="10" t="inlineStr">
        <is>
          <t>Y3</t>
        </is>
      </c>
      <c r="BQ4" s="10" t="inlineStr">
        <is>
          <t>Y4</t>
        </is>
      </c>
      <c r="BR4" s="10" t="inlineStr">
        <is>
          <t>Y5</t>
        </is>
      </c>
    </row>
    <row r="5">
      <c r="C5" s="62" t="inlineStr">
        <is>
          <t>売上</t>
        </is>
      </c>
      <c r="D5" s="63" t="n"/>
      <c r="E5" s="63" t="n"/>
      <c r="F5" s="180">
        <f>F10*F11</f>
        <v>0.0</v>
      </c>
      <c r="G5" s="180">
        <f>G11*G10</f>
        <v>1778.112</v>
      </c>
      <c r="H5" s="180">
        <f>H11*H10</f>
        <v>9779.616</v>
      </c>
      <c r="I5" s="180">
        <f>I11*I10</f>
        <v>17781.12</v>
      </c>
      <c r="J5" s="180">
        <f>J11*J10</f>
        <v>24893.568</v>
      </c>
      <c r="K5" s="180">
        <f>K11*K10</f>
        <v>33784.128</v>
      </c>
      <c r="L5" s="180">
        <f>L11*L10</f>
        <v>42674.688</v>
      </c>
      <c r="M5" s="180">
        <f>M11*M10</f>
        <v>51565.248</v>
      </c>
      <c r="N5" s="180">
        <f>N11*N10</f>
        <v>62233.92</v>
      </c>
      <c r="O5" s="180">
        <f>O11*O10</f>
        <v>72013.536</v>
      </c>
      <c r="P5" s="180">
        <f>P11*P10</f>
        <v>81793.152</v>
      </c>
      <c r="Q5" s="180">
        <f>Q11*Q10</f>
        <v>93350.88</v>
      </c>
      <c r="R5" s="180">
        <f>R11*R10</f>
        <v>104019.552</v>
      </c>
      <c r="S5" s="180">
        <f>S11*S10</f>
        <v>114688.224</v>
      </c>
      <c r="T5" s="180">
        <f>T11*T10</f>
        <v>127135.008</v>
      </c>
      <c r="U5" s="180">
        <f>U11*U10</f>
        <v>138692.736</v>
      </c>
      <c r="V5" s="180">
        <f>V11*V10</f>
        <v>150250.464</v>
      </c>
      <c r="W5" s="180">
        <f>W11*W10</f>
        <v>163586.304</v>
      </c>
      <c r="X5" s="180">
        <f>X11*X10</f>
        <v>176033.088</v>
      </c>
      <c r="Y5" s="180">
        <f>Y11*Y10</f>
        <v>188479.872</v>
      </c>
      <c r="Z5" s="180">
        <f>Z11*Z10</f>
        <v>202704.768</v>
      </c>
      <c r="AA5" s="180">
        <f>AA11*AA10</f>
        <v>216040.608</v>
      </c>
      <c r="AB5" s="180">
        <f>AB11*AB10</f>
        <v>229376.448</v>
      </c>
      <c r="AC5" s="180">
        <f>AC11*AC10</f>
        <v>243601.344</v>
      </c>
      <c r="AD5" s="180">
        <f>AD11*AD10</f>
        <v>260928.864</v>
      </c>
      <c r="AE5" s="180">
        <f>AE11*AE10</f>
        <v>276119.928</v>
      </c>
      <c r="AF5" s="180">
        <f>AF11*AF10</f>
        <v>293098.176</v>
      </c>
      <c r="AG5" s="180">
        <f>AG11*AG10</f>
        <v>309182.832</v>
      </c>
      <c r="AH5" s="180">
        <f>AH11*AH10</f>
        <v>326161.08</v>
      </c>
      <c r="AI5" s="180">
        <f>AI11*AI10</f>
        <v>343139.328</v>
      </c>
      <c r="AJ5" s="180">
        <f>AJ11*AJ10</f>
        <v>361011.168</v>
      </c>
      <c r="AK5" s="180">
        <f>AK11*AK10</f>
        <v>377989.416</v>
      </c>
      <c r="AL5" s="180">
        <f>AL11*AL10</f>
        <v>396754.848</v>
      </c>
      <c r="AM5" s="180">
        <f>AM11*AM10</f>
        <v>414626.688</v>
      </c>
      <c r="AN5" s="180">
        <f>AN11*AN10</f>
        <v>432498.528</v>
      </c>
      <c r="AO5" s="180">
        <f>AO11*AO10</f>
        <v>452157.552</v>
      </c>
      <c r="AP5" s="180">
        <f>AP11*AP10</f>
        <v>470922.984</v>
      </c>
      <c r="AQ5" s="180">
        <f>AQ11*AQ10</f>
        <v>489688.416</v>
      </c>
      <c r="AR5" s="180">
        <f>AR11*AR10</f>
        <v>509347.44</v>
      </c>
      <c r="AS5" s="180">
        <f>AS11*AS10</f>
        <v>529006.464</v>
      </c>
      <c r="AT5" s="180">
        <f>AT11*AT10</f>
        <v>548665.488</v>
      </c>
      <c r="AU5" s="180">
        <f>AU11*AU10</f>
        <v>569218.104</v>
      </c>
      <c r="AV5" s="180">
        <f>AV11*AV10</f>
        <v>589770.72</v>
      </c>
      <c r="AW5" s="180">
        <f>AW11*AW10</f>
        <v>610323.336</v>
      </c>
      <c r="AX5" s="180">
        <f>AX11*AX10</f>
        <v>631769.544</v>
      </c>
      <c r="AY5" s="180">
        <f>AY11*AY10</f>
        <v>652322.16</v>
      </c>
      <c r="AZ5" s="180">
        <f>AZ11*AZ10</f>
        <v>673768.368</v>
      </c>
      <c r="BA5" s="180">
        <f>BA11*BA10</f>
        <v>695214.576</v>
      </c>
      <c r="BB5" s="180">
        <f>BB11*BB10</f>
        <v>724789.296</v>
      </c>
      <c r="BC5" s="180">
        <f>BC11*BC10</f>
        <v>749936.88</v>
      </c>
      <c r="BD5" s="180">
        <f>BD11*BD10</f>
        <v>775982.592</v>
      </c>
      <c r="BE5" s="180">
        <f>BE11*BE10</f>
        <v>802028.304</v>
      </c>
      <c r="BF5" s="180">
        <f>BF11*BF10</f>
        <v>828074.016</v>
      </c>
      <c r="BG5" s="180">
        <f>BG11*BG10</f>
        <v>855915.984</v>
      </c>
      <c r="BH5" s="180">
        <f>BH11*BH10</f>
        <v>882859.824</v>
      </c>
      <c r="BI5" s="180">
        <f>BI11*BI10</f>
        <v>909803.664</v>
      </c>
      <c r="BJ5" s="180">
        <f>BJ11*BJ10</f>
        <v>937645.632</v>
      </c>
      <c r="BK5" s="180">
        <f>BK11*BK10</f>
        <v>965487.6</v>
      </c>
      <c r="BL5" s="180">
        <f>BL11*BL10</f>
        <v>993329.568</v>
      </c>
      <c r="BM5" s="180">
        <f>BM11*BM10</f>
        <v>1022069.664</v>
      </c>
      <c r="BN5" s="181">
        <f>BN10*BN11</f>
        <v>85222.368</v>
      </c>
      <c r="BO5" s="180">
        <f>BO10*BO11</f>
        <v>206642.016</v>
      </c>
      <c r="BP5" s="180">
        <f>BP10*BP11</f>
        <v>394418.808</v>
      </c>
      <c r="BQ5" s="180">
        <f>BQ10*BQ11</f>
        <v>599659.2</v>
      </c>
      <c r="BR5" s="180">
        <f>BR10*BR11</f>
        <v>926859.024</v>
      </c>
    </row>
    <row r="6">
      <c r="C6" s="66" t="inlineStr">
        <is>
          <t>顧問先</t>
        </is>
      </c>
      <c r="D6" s="67" t="n"/>
      <c r="E6" s="67" t="n"/>
      <c r="F6" s="68">
        <f>35*F15</f>
        <v>0.0</v>
      </c>
      <c r="G6" s="68">
        <f>35*G15</f>
        <v>70.0</v>
      </c>
      <c r="H6" s="68">
        <f>35*H15</f>
        <v>385.0</v>
      </c>
      <c r="I6" s="68">
        <f>35*I15</f>
        <v>700.0</v>
      </c>
      <c r="J6" s="68">
        <f>35*J15</f>
        <v>980.0</v>
      </c>
      <c r="K6" s="68">
        <f>35*K15</f>
        <v>1330.0</v>
      </c>
      <c r="L6" s="68">
        <f>35*L15</f>
        <v>1680.0</v>
      </c>
      <c r="M6" s="68">
        <f>35*M15</f>
        <v>2030.0</v>
      </c>
      <c r="N6" s="68">
        <f>35*N15</f>
        <v>2450.0</v>
      </c>
      <c r="O6" s="68">
        <f>35*O15</f>
        <v>2835.0</v>
      </c>
      <c r="P6" s="68">
        <f>35*P15</f>
        <v>3220.0</v>
      </c>
      <c r="Q6" s="68">
        <f>35*Q15</f>
        <v>3675.0</v>
      </c>
      <c r="R6" s="68">
        <f>35*R15</f>
        <v>4095.0</v>
      </c>
      <c r="S6" s="68">
        <f>35*S15</f>
        <v>4515.0</v>
      </c>
      <c r="T6" s="68">
        <f>35*T15</f>
        <v>5005.0</v>
      </c>
      <c r="U6" s="68">
        <f>35*U15</f>
        <v>5460.0</v>
      </c>
      <c r="V6" s="68">
        <f>35*V15</f>
        <v>5915.0</v>
      </c>
      <c r="W6" s="68">
        <f>35*W15</f>
        <v>6440.0</v>
      </c>
      <c r="X6" s="68">
        <f>35*X15</f>
        <v>6930.0</v>
      </c>
      <c r="Y6" s="68">
        <f>35*Y15</f>
        <v>7420.0</v>
      </c>
      <c r="Z6" s="68">
        <f>35*Z15</f>
        <v>7980.0</v>
      </c>
      <c r="AA6" s="68">
        <f>35*AA15</f>
        <v>8505.0</v>
      </c>
      <c r="AB6" s="68">
        <f>35*AB15</f>
        <v>9030.0</v>
      </c>
      <c r="AC6" s="68">
        <f>35*AC15</f>
        <v>9590.0</v>
      </c>
      <c r="AD6" s="68">
        <f>35*AD15</f>
        <v>10220.0</v>
      </c>
      <c r="AE6" s="68">
        <f>35*AE15</f>
        <v>10815.0</v>
      </c>
      <c r="AF6" s="68">
        <f>35*AF15</f>
        <v>11480.0</v>
      </c>
      <c r="AG6" s="68">
        <f>35*AG15</f>
        <v>12110.0</v>
      </c>
      <c r="AH6" s="68">
        <f>35*AH15</f>
        <v>12775.0</v>
      </c>
      <c r="AI6" s="68">
        <f>35*AI15</f>
        <v>13440.0</v>
      </c>
      <c r="AJ6" s="68">
        <f>35*AJ15</f>
        <v>14140.0</v>
      </c>
      <c r="AK6" s="68">
        <f>35*AK15</f>
        <v>14805.0</v>
      </c>
      <c r="AL6" s="68">
        <f>35*AL15</f>
        <v>15540.0</v>
      </c>
      <c r="AM6" s="68">
        <f>35*AM15</f>
        <v>16240.0</v>
      </c>
      <c r="AN6" s="68">
        <f>35*AN15</f>
        <v>16940.0</v>
      </c>
      <c r="AO6" s="68">
        <f>35*AO15</f>
        <v>17710.0</v>
      </c>
      <c r="AP6" s="68">
        <f>35*AP15</f>
        <v>18445.0</v>
      </c>
      <c r="AQ6" s="68">
        <f>35*AQ15</f>
        <v>19180.0</v>
      </c>
      <c r="AR6" s="68">
        <f>35*AR15</f>
        <v>19950.0</v>
      </c>
      <c r="AS6" s="68">
        <f>35*AS15</f>
        <v>20720.0</v>
      </c>
      <c r="AT6" s="68">
        <f>35*AT15</f>
        <v>21490.0</v>
      </c>
      <c r="AU6" s="68">
        <f>35*AU15</f>
        <v>22295.0</v>
      </c>
      <c r="AV6" s="68">
        <f>35*AV15</f>
        <v>23100.0</v>
      </c>
      <c r="AW6" s="68">
        <f>35*AW15</f>
        <v>23905.0</v>
      </c>
      <c r="AX6" s="68">
        <f>35*AX15</f>
        <v>24745.0</v>
      </c>
      <c r="AY6" s="68">
        <f>35*AY15</f>
        <v>25550.0</v>
      </c>
      <c r="AZ6" s="68">
        <f>35*AZ15</f>
        <v>26390.0</v>
      </c>
      <c r="BA6" s="68">
        <f>35*BA15</f>
        <v>27230.0</v>
      </c>
      <c r="BB6" s="68">
        <f>35*BB15</f>
        <v>28245.0</v>
      </c>
      <c r="BC6" s="68">
        <f>35*BC15</f>
        <v>29225.0</v>
      </c>
      <c r="BD6" s="68">
        <f>35*BD15</f>
        <v>30240.0</v>
      </c>
      <c r="BE6" s="68">
        <f>35*BE15</f>
        <v>31255.0</v>
      </c>
      <c r="BF6" s="68">
        <f>35*BF15</f>
        <v>32270.0</v>
      </c>
      <c r="BG6" s="68">
        <f>35*BG15</f>
        <v>33355.0</v>
      </c>
      <c r="BH6" s="68">
        <f>35*BH15</f>
        <v>34405.0</v>
      </c>
      <c r="BI6" s="68">
        <f>35*BI15</f>
        <v>35455.0</v>
      </c>
      <c r="BJ6" s="68">
        <f>35*BJ15</f>
        <v>36540.0</v>
      </c>
      <c r="BK6" s="68">
        <f>35*BK15</f>
        <v>37625.0</v>
      </c>
      <c r="BL6" s="68">
        <f>35*BL15</f>
        <v>38710.0</v>
      </c>
      <c r="BM6" s="68">
        <f>35*BM15</f>
        <v>39830.0</v>
      </c>
      <c r="BN6" s="69">
        <f>35*BN15</f>
        <v>3675.0</v>
      </c>
      <c r="BO6" s="68">
        <f>35*BO15</f>
        <v>9590.0</v>
      </c>
      <c r="BP6" s="68">
        <f>35*BP15</f>
        <v>17710.0</v>
      </c>
      <c r="BQ6" s="68">
        <f>35*BQ15</f>
        <v>27230.0</v>
      </c>
      <c r="BR6" s="68">
        <f>35*BR15</f>
        <v>39830.0</v>
      </c>
    </row>
    <row r="7">
      <c r="C7" s="70" t="inlineStr">
        <is>
          <t>月20万円積立可能（役員報酬1,500万円以上）</t>
        </is>
      </c>
      <c r="D7" s="67" t="n"/>
      <c r="E7" s="67" t="n"/>
      <c r="F7" s="182" t="n">
        <v>0.2</v>
      </c>
      <c r="G7" s="182" t="n">
        <v>0.2</v>
      </c>
      <c r="H7" s="182" t="n">
        <v>0.2</v>
      </c>
      <c r="I7" s="182" t="n">
        <v>0.2</v>
      </c>
      <c r="J7" s="182" t="n">
        <v>0.2</v>
      </c>
      <c r="K7" s="182" t="n">
        <v>0.2</v>
      </c>
      <c r="L7" s="182" t="n">
        <v>0.2</v>
      </c>
      <c r="M7" s="182" t="n">
        <v>0.2</v>
      </c>
      <c r="N7" s="182" t="n">
        <v>0.2</v>
      </c>
      <c r="O7" s="182" t="n">
        <v>0.2</v>
      </c>
      <c r="P7" s="182" t="n">
        <v>0.2</v>
      </c>
      <c r="Q7" s="182" t="n">
        <v>0.2</v>
      </c>
      <c r="R7" s="182" t="n">
        <v>0.2</v>
      </c>
      <c r="S7" s="182" t="n">
        <v>0.2</v>
      </c>
      <c r="T7" s="182" t="n">
        <v>0.2</v>
      </c>
      <c r="U7" s="182" t="n">
        <v>0.2</v>
      </c>
      <c r="V7" s="182" t="n">
        <v>0.2</v>
      </c>
      <c r="W7" s="182" t="n">
        <v>0.2</v>
      </c>
      <c r="X7" s="182" t="n">
        <v>0.2</v>
      </c>
      <c r="Y7" s="182" t="n">
        <v>0.2</v>
      </c>
      <c r="Z7" s="182" t="n">
        <v>0.2</v>
      </c>
      <c r="AA7" s="182" t="n">
        <v>0.2</v>
      </c>
      <c r="AB7" s="182" t="n">
        <v>0.2</v>
      </c>
      <c r="AC7" s="182" t="n">
        <v>0.2</v>
      </c>
      <c r="AD7" s="182" t="n">
        <v>0.2</v>
      </c>
      <c r="AE7" s="182" t="n">
        <v>0.2</v>
      </c>
      <c r="AF7" s="182" t="n">
        <v>0.2</v>
      </c>
      <c r="AG7" s="182" t="n">
        <v>0.2</v>
      </c>
      <c r="AH7" s="182" t="n">
        <v>0.2</v>
      </c>
      <c r="AI7" s="182" t="n">
        <v>0.2</v>
      </c>
      <c r="AJ7" s="182" t="n">
        <v>0.2</v>
      </c>
      <c r="AK7" s="182" t="n">
        <v>0.2</v>
      </c>
      <c r="AL7" s="182" t="n">
        <v>0.2</v>
      </c>
      <c r="AM7" s="182" t="n">
        <v>0.2</v>
      </c>
      <c r="AN7" s="182" t="n">
        <v>0.2</v>
      </c>
      <c r="AO7" s="182" t="n">
        <v>0.2</v>
      </c>
      <c r="AP7" s="182" t="n">
        <v>0.2</v>
      </c>
      <c r="AQ7" s="182" t="n">
        <v>0.2</v>
      </c>
      <c r="AR7" s="182" t="n">
        <v>0.2</v>
      </c>
      <c r="AS7" s="182" t="n">
        <v>0.2</v>
      </c>
      <c r="AT7" s="182" t="n">
        <v>0.2</v>
      </c>
      <c r="AU7" s="182" t="n">
        <v>0.2</v>
      </c>
      <c r="AV7" s="182" t="n">
        <v>0.2</v>
      </c>
      <c r="AW7" s="182" t="n">
        <v>0.2</v>
      </c>
      <c r="AX7" s="182" t="n">
        <v>0.2</v>
      </c>
      <c r="AY7" s="182" t="n">
        <v>0.2</v>
      </c>
      <c r="AZ7" s="182" t="n">
        <v>0.2</v>
      </c>
      <c r="BA7" s="182" t="n">
        <v>0.2</v>
      </c>
      <c r="BB7" s="182" t="n">
        <v>0.2</v>
      </c>
      <c r="BC7" s="182" t="n">
        <v>0.2</v>
      </c>
      <c r="BD7" s="182" t="n">
        <v>0.2</v>
      </c>
      <c r="BE7" s="182" t="n">
        <v>0.2</v>
      </c>
      <c r="BF7" s="182" t="n">
        <v>0.2</v>
      </c>
      <c r="BG7" s="182" t="n">
        <v>0.2</v>
      </c>
      <c r="BH7" s="182" t="n">
        <v>0.2</v>
      </c>
      <c r="BI7" s="182" t="n">
        <v>0.2</v>
      </c>
      <c r="BJ7" s="182" t="n">
        <v>0.2</v>
      </c>
      <c r="BK7" s="182" t="n">
        <v>0.2</v>
      </c>
      <c r="BL7" s="182" t="n">
        <v>0.2</v>
      </c>
      <c r="BM7" s="182" t="n">
        <v>0.2</v>
      </c>
      <c r="BN7" s="183" t="n">
        <v>0.2</v>
      </c>
      <c r="BO7" s="182" t="n">
        <v>0.2</v>
      </c>
      <c r="BP7" s="182" t="n">
        <v>0.2</v>
      </c>
      <c r="BQ7" s="182" t="n">
        <v>0.2</v>
      </c>
      <c r="BR7" s="182" t="n">
        <v>0.2</v>
      </c>
    </row>
    <row r="8">
      <c r="C8" s="70" t="inlineStr">
        <is>
          <t>税理士 ➡ 企業提案</t>
        </is>
      </c>
      <c r="D8" s="67" t="n"/>
      <c r="E8" s="67" t="n"/>
      <c r="F8" s="182" t="n">
        <v>0.3</v>
      </c>
      <c r="G8" s="182" t="n">
        <v>0.3</v>
      </c>
      <c r="H8" s="182" t="n">
        <v>0.3</v>
      </c>
      <c r="I8" s="182" t="n">
        <v>0.3</v>
      </c>
      <c r="J8" s="182" t="n">
        <v>0.3</v>
      </c>
      <c r="K8" s="182" t="n">
        <v>0.3</v>
      </c>
      <c r="L8" s="182" t="n">
        <v>0.3</v>
      </c>
      <c r="M8" s="182" t="n">
        <v>0.3</v>
      </c>
      <c r="N8" s="182" t="n">
        <v>0.3</v>
      </c>
      <c r="O8" s="182" t="n">
        <v>0.3</v>
      </c>
      <c r="P8" s="182" t="n">
        <v>0.3</v>
      </c>
      <c r="Q8" s="182" t="n">
        <v>0.3</v>
      </c>
      <c r="R8" s="182" t="n">
        <v>0.3</v>
      </c>
      <c r="S8" s="182" t="n">
        <v>0.3</v>
      </c>
      <c r="T8" s="182" t="n">
        <v>0.3</v>
      </c>
      <c r="U8" s="182" t="n">
        <v>0.3</v>
      </c>
      <c r="V8" s="182" t="n">
        <v>0.3</v>
      </c>
      <c r="W8" s="182" t="n">
        <v>0.3</v>
      </c>
      <c r="X8" s="182" t="n">
        <v>0.3</v>
      </c>
      <c r="Y8" s="182" t="n">
        <v>0.3</v>
      </c>
      <c r="Z8" s="182" t="n">
        <v>0.3</v>
      </c>
      <c r="AA8" s="182" t="n">
        <v>0.3</v>
      </c>
      <c r="AB8" s="182" t="n">
        <v>0.3</v>
      </c>
      <c r="AC8" s="182" t="n">
        <v>0.3</v>
      </c>
      <c r="AD8" s="182" t="n">
        <v>0.3</v>
      </c>
      <c r="AE8" s="182" t="n">
        <v>0.3</v>
      </c>
      <c r="AF8" s="182" t="n">
        <v>0.3</v>
      </c>
      <c r="AG8" s="182" t="n">
        <v>0.3</v>
      </c>
      <c r="AH8" s="182" t="n">
        <v>0.3</v>
      </c>
      <c r="AI8" s="182" t="n">
        <v>0.3</v>
      </c>
      <c r="AJ8" s="182" t="n">
        <v>0.3</v>
      </c>
      <c r="AK8" s="182" t="n">
        <v>0.3</v>
      </c>
      <c r="AL8" s="182" t="n">
        <v>0.3</v>
      </c>
      <c r="AM8" s="182" t="n">
        <v>0.3</v>
      </c>
      <c r="AN8" s="182" t="n">
        <v>0.3</v>
      </c>
      <c r="AO8" s="182" t="n">
        <v>0.3</v>
      </c>
      <c r="AP8" s="182" t="n">
        <v>0.3</v>
      </c>
      <c r="AQ8" s="182" t="n">
        <v>0.3</v>
      </c>
      <c r="AR8" s="182" t="n">
        <v>0.3</v>
      </c>
      <c r="AS8" s="182" t="n">
        <v>0.3</v>
      </c>
      <c r="AT8" s="182" t="n">
        <v>0.3</v>
      </c>
      <c r="AU8" s="182" t="n">
        <v>0.3</v>
      </c>
      <c r="AV8" s="182" t="n">
        <v>0.3</v>
      </c>
      <c r="AW8" s="182" t="n">
        <v>0.3</v>
      </c>
      <c r="AX8" s="182" t="n">
        <v>0.3</v>
      </c>
      <c r="AY8" s="182" t="n">
        <v>0.3</v>
      </c>
      <c r="AZ8" s="182" t="n">
        <v>0.3</v>
      </c>
      <c r="BA8" s="182" t="n">
        <v>0.3</v>
      </c>
      <c r="BB8" s="182" t="n">
        <v>0.3</v>
      </c>
      <c r="BC8" s="182" t="n">
        <v>0.3</v>
      </c>
      <c r="BD8" s="182" t="n">
        <v>0.3</v>
      </c>
      <c r="BE8" s="182" t="n">
        <v>0.3</v>
      </c>
      <c r="BF8" s="182" t="n">
        <v>0.3</v>
      </c>
      <c r="BG8" s="182" t="n">
        <v>0.3</v>
      </c>
      <c r="BH8" s="182" t="n">
        <v>0.3</v>
      </c>
      <c r="BI8" s="182" t="n">
        <v>0.3</v>
      </c>
      <c r="BJ8" s="182" t="n">
        <v>0.3</v>
      </c>
      <c r="BK8" s="182" t="n">
        <v>0.3</v>
      </c>
      <c r="BL8" s="182" t="n">
        <v>0.3</v>
      </c>
      <c r="BM8" s="182" t="n">
        <v>0.3</v>
      </c>
      <c r="BN8" s="183" t="n">
        <v>0.3</v>
      </c>
      <c r="BO8" s="182" t="n">
        <v>0.3</v>
      </c>
      <c r="BP8" s="182" t="n">
        <v>0.3</v>
      </c>
      <c r="BQ8" s="182" t="n">
        <v>0.3</v>
      </c>
      <c r="BR8" s="182" t="n">
        <v>0.3</v>
      </c>
    </row>
    <row r="9">
      <c r="C9" s="70" t="inlineStr">
        <is>
          <t>受注率</t>
        </is>
      </c>
      <c r="D9" s="67" t="n"/>
      <c r="E9" s="67" t="n"/>
      <c r="F9" s="184" t="n">
        <v>0.2</v>
      </c>
      <c r="G9" s="184" t="n">
        <v>0.2</v>
      </c>
      <c r="H9" s="184" t="n">
        <v>0.2</v>
      </c>
      <c r="I9" s="184" t="n">
        <v>0.2</v>
      </c>
      <c r="J9" s="184" t="n">
        <v>0.2</v>
      </c>
      <c r="K9" s="184" t="n">
        <v>0.2</v>
      </c>
      <c r="L9" s="184" t="n">
        <v>0.2</v>
      </c>
      <c r="M9" s="184" t="n">
        <v>0.2</v>
      </c>
      <c r="N9" s="184" t="n">
        <v>0.2</v>
      </c>
      <c r="O9" s="184" t="n">
        <v>0.2</v>
      </c>
      <c r="P9" s="184" t="n">
        <v>0.2</v>
      </c>
      <c r="Q9" s="184" t="n">
        <v>0.2</v>
      </c>
      <c r="R9" s="184" t="n">
        <v>0.2</v>
      </c>
      <c r="S9" s="184" t="n">
        <v>0.2</v>
      </c>
      <c r="T9" s="184" t="n">
        <v>0.2</v>
      </c>
      <c r="U9" s="184" t="n">
        <v>0.2</v>
      </c>
      <c r="V9" s="184" t="n">
        <v>0.2</v>
      </c>
      <c r="W9" s="184" t="n">
        <v>0.2</v>
      </c>
      <c r="X9" s="184" t="n">
        <v>0.2</v>
      </c>
      <c r="Y9" s="184" t="n">
        <v>0.2</v>
      </c>
      <c r="Z9" s="184" t="n">
        <v>0.2</v>
      </c>
      <c r="AA9" s="184" t="n">
        <v>0.2</v>
      </c>
      <c r="AB9" s="184" t="n">
        <v>0.2</v>
      </c>
      <c r="AC9" s="184" t="n">
        <v>0.2</v>
      </c>
      <c r="AD9" s="184" t="n">
        <v>0.2</v>
      </c>
      <c r="AE9" s="184" t="n">
        <v>0.2</v>
      </c>
      <c r="AF9" s="184" t="n">
        <v>0.2</v>
      </c>
      <c r="AG9" s="184" t="n">
        <v>0.2</v>
      </c>
      <c r="AH9" s="184" t="n">
        <v>0.2</v>
      </c>
      <c r="AI9" s="184" t="n">
        <v>0.2</v>
      </c>
      <c r="AJ9" s="184" t="n">
        <v>0.2</v>
      </c>
      <c r="AK9" s="184" t="n">
        <v>0.2</v>
      </c>
      <c r="AL9" s="184" t="n">
        <v>0.2</v>
      </c>
      <c r="AM9" s="184" t="n">
        <v>0.2</v>
      </c>
      <c r="AN9" s="184" t="n">
        <v>0.2</v>
      </c>
      <c r="AO9" s="184" t="n">
        <v>0.2</v>
      </c>
      <c r="AP9" s="184" t="n">
        <v>0.2</v>
      </c>
      <c r="AQ9" s="184" t="n">
        <v>0.2</v>
      </c>
      <c r="AR9" s="184" t="n">
        <v>0.2</v>
      </c>
      <c r="AS9" s="184" t="n">
        <v>0.2</v>
      </c>
      <c r="AT9" s="184" t="n">
        <v>0.2</v>
      </c>
      <c r="AU9" s="184" t="n">
        <v>0.2</v>
      </c>
      <c r="AV9" s="184" t="n">
        <v>0.2</v>
      </c>
      <c r="AW9" s="184" t="n">
        <v>0.2</v>
      </c>
      <c r="AX9" s="184" t="n">
        <v>0.2</v>
      </c>
      <c r="AY9" s="184" t="n">
        <v>0.2</v>
      </c>
      <c r="AZ9" s="184" t="n">
        <v>0.2</v>
      </c>
      <c r="BA9" s="184" t="n">
        <v>0.2</v>
      </c>
      <c r="BB9" s="184" t="n">
        <v>0.2</v>
      </c>
      <c r="BC9" s="184" t="n">
        <v>0.2</v>
      </c>
      <c r="BD9" s="184" t="n">
        <v>0.2</v>
      </c>
      <c r="BE9" s="184" t="n">
        <v>0.2</v>
      </c>
      <c r="BF9" s="184" t="n">
        <v>0.2</v>
      </c>
      <c r="BG9" s="184" t="n">
        <v>0.2</v>
      </c>
      <c r="BH9" s="184" t="n">
        <v>0.2</v>
      </c>
      <c r="BI9" s="184" t="n">
        <v>0.2</v>
      </c>
      <c r="BJ9" s="184" t="n">
        <v>0.2</v>
      </c>
      <c r="BK9" s="184" t="n">
        <v>0.2</v>
      </c>
      <c r="BL9" s="184" t="n">
        <v>0.2</v>
      </c>
      <c r="BM9" s="184" t="n">
        <v>0.2</v>
      </c>
      <c r="BN9" s="185" t="n">
        <v>0.2</v>
      </c>
      <c r="BO9" s="184" t="n">
        <v>0.2</v>
      </c>
      <c r="BP9" s="184" t="n">
        <v>0.2</v>
      </c>
      <c r="BQ9" s="184" t="n">
        <v>0.2</v>
      </c>
      <c r="BR9" s="184" t="n">
        <v>0.2</v>
      </c>
    </row>
    <row r="10">
      <c r="C10" s="70" t="inlineStr">
        <is>
          <t>１税理士 / 受注数</t>
        </is>
      </c>
      <c r="D10" s="67" t="n"/>
      <c r="E10" s="67" t="n"/>
      <c r="F10" s="186">
        <f>PRODUCT(F6:F9) - F17</f>
        <v>0.0</v>
      </c>
      <c r="G10" s="186">
        <f>PRODUCT(G6:G9) - G17</f>
        <v>0.8232</v>
      </c>
      <c r="H10" s="186">
        <f>PRODUCT(H6:H9) - H17</f>
        <v>4.5276</v>
      </c>
      <c r="I10" s="186">
        <f>PRODUCT(I6:I9) - I17</f>
        <v>8.232</v>
      </c>
      <c r="J10" s="186">
        <f>PRODUCT(J6:J9) - J17</f>
        <v>11.5248</v>
      </c>
      <c r="K10" s="186">
        <f>PRODUCT(K6:K9) - K17</f>
        <v>15.6408</v>
      </c>
      <c r="L10" s="186">
        <f>PRODUCT(L6:L9) - L17</f>
        <v>19.7568</v>
      </c>
      <c r="M10" s="186">
        <f>PRODUCT(M6:M9) - M17</f>
        <v>23.8728</v>
      </c>
      <c r="N10" s="186">
        <f>PRODUCT(N6:N9) - N17</f>
        <v>28.812</v>
      </c>
      <c r="O10" s="186">
        <f>PRODUCT(O6:O9) - O17</f>
        <v>33.3396</v>
      </c>
      <c r="P10" s="186">
        <f>PRODUCT(P6:P9) - P17</f>
        <v>37.8672</v>
      </c>
      <c r="Q10" s="186">
        <f>PRODUCT(Q6:Q9) - Q17</f>
        <v>43.218</v>
      </c>
      <c r="R10" s="186">
        <f>PRODUCT(R6:R9) - R17</f>
        <v>48.1572</v>
      </c>
      <c r="S10" s="186">
        <f>PRODUCT(S6:S9) - S17</f>
        <v>53.0964</v>
      </c>
      <c r="T10" s="186">
        <f>PRODUCT(T6:T9) - T17</f>
        <v>58.8588</v>
      </c>
      <c r="U10" s="186">
        <f>PRODUCT(U6:U9) - U17</f>
        <v>64.2096</v>
      </c>
      <c r="V10" s="186">
        <f>PRODUCT(V6:V9) - V17</f>
        <v>69.5604</v>
      </c>
      <c r="W10" s="186">
        <f>PRODUCT(W6:W9) - W17</f>
        <v>75.7344</v>
      </c>
      <c r="X10" s="186">
        <f>PRODUCT(X6:X9) - X17</f>
        <v>81.4968</v>
      </c>
      <c r="Y10" s="186">
        <f>PRODUCT(Y6:Y9) - Y17</f>
        <v>87.2592</v>
      </c>
      <c r="Z10" s="186">
        <f>PRODUCT(Z6:Z9) - Z17</f>
        <v>93.8448</v>
      </c>
      <c r="AA10" s="186">
        <f>PRODUCT(AA6:AA9) - AA17</f>
        <v>100.0188</v>
      </c>
      <c r="AB10" s="186">
        <f>PRODUCT(AB6:AB9) - AB17</f>
        <v>106.1928</v>
      </c>
      <c r="AC10" s="186">
        <f>PRODUCT(AC6:AC9) - AC17</f>
        <v>112.7784</v>
      </c>
      <c r="AD10" s="186">
        <f>PRODUCT(AD6:AD9) - AD17</f>
        <v>120.8004</v>
      </c>
      <c r="AE10" s="186">
        <f>PRODUCT(AE6:AE9) - AE17</f>
        <v>127.8333</v>
      </c>
      <c r="AF10" s="186">
        <f>PRODUCT(AF6:AF9) - AF17</f>
        <v>135.6936</v>
      </c>
      <c r="AG10" s="186">
        <f>PRODUCT(AG6:AG9) - AG17</f>
        <v>143.1402</v>
      </c>
      <c r="AH10" s="186">
        <f>PRODUCT(AH6:AH9) - AH17</f>
        <v>151.0005</v>
      </c>
      <c r="AI10" s="186">
        <f>PRODUCT(AI6:AI9) - AI17</f>
        <v>158.8608</v>
      </c>
      <c r="AJ10" s="186">
        <f>PRODUCT(AJ6:AJ9) - AJ17</f>
        <v>167.1348</v>
      </c>
      <c r="AK10" s="186">
        <f>PRODUCT(AK6:AK9) - AK17</f>
        <v>174.9951</v>
      </c>
      <c r="AL10" s="186">
        <f>PRODUCT(AL6:AL9) - AL17</f>
        <v>183.6828</v>
      </c>
      <c r="AM10" s="186">
        <f>PRODUCT(AM6:AM9) - AM17</f>
        <v>191.9568</v>
      </c>
      <c r="AN10" s="186">
        <f>PRODUCT(AN6:AN9) - AN17</f>
        <v>200.2308</v>
      </c>
      <c r="AO10" s="186">
        <f>PRODUCT(AO6:AO9) - AO17</f>
        <v>209.3322</v>
      </c>
      <c r="AP10" s="186">
        <f>PRODUCT(AP6:AP9) - AP17</f>
        <v>218.0199</v>
      </c>
      <c r="AQ10" s="186">
        <f>PRODUCT(AQ6:AQ9) - AQ17</f>
        <v>226.7076</v>
      </c>
      <c r="AR10" s="186">
        <f>PRODUCT(AR6:AR9) - AR17</f>
        <v>235.809</v>
      </c>
      <c r="AS10" s="186">
        <f>PRODUCT(AS6:AS9) - AS17</f>
        <v>244.9104</v>
      </c>
      <c r="AT10" s="186">
        <f>PRODUCT(AT6:AT9) - AT17</f>
        <v>254.0118</v>
      </c>
      <c r="AU10" s="186">
        <f>PRODUCT(AU6:AU9) - AU17</f>
        <v>263.5269</v>
      </c>
      <c r="AV10" s="186">
        <f>PRODUCT(AV6:AV9) - AV17</f>
        <v>273.042</v>
      </c>
      <c r="AW10" s="186">
        <f>PRODUCT(AW6:AW9) - AW17</f>
        <v>282.5571</v>
      </c>
      <c r="AX10" s="186">
        <f>PRODUCT(AX6:AX9) - AX17</f>
        <v>292.4859</v>
      </c>
      <c r="AY10" s="186">
        <f>PRODUCT(AY6:AY9) - AY17</f>
        <v>302.001</v>
      </c>
      <c r="AZ10" s="186">
        <f>PRODUCT(AZ6:AZ9) - AZ17</f>
        <v>311.9298</v>
      </c>
      <c r="BA10" s="186">
        <f>PRODUCT(BA6:BA9) - BA17</f>
        <v>321.8586</v>
      </c>
      <c r="BB10" s="186">
        <f>PRODUCT(BB6:BB9) - BB17</f>
        <v>335.5506</v>
      </c>
      <c r="BC10" s="186">
        <f>PRODUCT(BC6:BC9) - BC17</f>
        <v>347.193</v>
      </c>
      <c r="BD10" s="186">
        <f>PRODUCT(BD6:BD9) - BD17</f>
        <v>359.2512</v>
      </c>
      <c r="BE10" s="186">
        <f>PRODUCT(BE6:BE9) - BE17</f>
        <v>371.3094</v>
      </c>
      <c r="BF10" s="186">
        <f>PRODUCT(BF6:BF9) - BF17</f>
        <v>383.3676</v>
      </c>
      <c r="BG10" s="186">
        <f>PRODUCT(BG6:BG9) - BG17</f>
        <v>396.2574</v>
      </c>
      <c r="BH10" s="186">
        <f>PRODUCT(BH6:BH9) - BH17</f>
        <v>408.7314</v>
      </c>
      <c r="BI10" s="186">
        <f>PRODUCT(BI6:BI9) - BI17</f>
        <v>421.2054</v>
      </c>
      <c r="BJ10" s="186">
        <f>PRODUCT(BJ6:BJ9) - BJ17</f>
        <v>434.0952</v>
      </c>
      <c r="BK10" s="186">
        <f>PRODUCT(BK6:BK9) - BK17</f>
        <v>446.985</v>
      </c>
      <c r="BL10" s="186">
        <f>PRODUCT(BL6:BL9) - BL17</f>
        <v>459.8748</v>
      </c>
      <c r="BM10" s="186">
        <f>PRODUCT(BM6:BM9) - BM17</f>
        <v>473.1804</v>
      </c>
      <c r="BN10" s="187">
        <f>PRODUCT(BN6:BN9) - BN17</f>
        <v>39.4548</v>
      </c>
      <c r="BO10" s="186">
        <f>PRODUCT(BO6:BO9) - BO17</f>
        <v>95.6676</v>
      </c>
      <c r="BP10" s="186">
        <f>PRODUCT(BP6:BP9) - BP17</f>
        <v>182.6013</v>
      </c>
      <c r="BQ10" s="188">
        <f>PRODUCT(BQ6:BQ9) - BQ17</f>
        <v>277.62</v>
      </c>
      <c r="BR10" s="188">
        <f>PRODUCT(BR6:BR9) - BR17</f>
        <v>429.1014</v>
      </c>
    </row>
    <row r="11">
      <c r="C11" s="66" t="inlineStr">
        <is>
          <t>単価</t>
        </is>
      </c>
      <c r="D11" s="67" t="n"/>
      <c r="E11" s="67" t="inlineStr">
        <is>
          <t>average</t>
        </is>
      </c>
      <c r="F11" s="189">
        <f>F12*12*F13</f>
        <v>2160.0</v>
      </c>
      <c r="G11" s="189">
        <f>G12*12*G13</f>
        <v>2160.0</v>
      </c>
      <c r="H11" s="189">
        <f>H12*12*H13</f>
        <v>2160.0</v>
      </c>
      <c r="I11" s="189">
        <f>I12*12*I13</f>
        <v>2160.0</v>
      </c>
      <c r="J11" s="189">
        <f>J12*12*J13</f>
        <v>2160.0</v>
      </c>
      <c r="K11" s="189">
        <f>K12*12*K13</f>
        <v>2160.0</v>
      </c>
      <c r="L11" s="189">
        <f>L12*12*L13</f>
        <v>2160.0</v>
      </c>
      <c r="M11" s="189">
        <f>M12*12*M13</f>
        <v>2160.0</v>
      </c>
      <c r="N11" s="189">
        <f>N12*12*N13</f>
        <v>2160.0</v>
      </c>
      <c r="O11" s="189">
        <f>O12*12*O13</f>
        <v>2160.0</v>
      </c>
      <c r="P11" s="189">
        <f>P12*12*P13</f>
        <v>2160.0</v>
      </c>
      <c r="Q11" s="189">
        <f>Q12*12*Q13</f>
        <v>2160.0</v>
      </c>
      <c r="R11" s="189">
        <f>R12*12*R13</f>
        <v>2160.0</v>
      </c>
      <c r="S11" s="189">
        <f>S12*12*S13</f>
        <v>2160.0</v>
      </c>
      <c r="T11" s="189">
        <f>T12*12*T13</f>
        <v>2160.0</v>
      </c>
      <c r="U11" s="189">
        <f>U12*12*U13</f>
        <v>2160.0</v>
      </c>
      <c r="V11" s="189">
        <f>V12*12*V13</f>
        <v>2160.0</v>
      </c>
      <c r="W11" s="189">
        <f>W12*12*W13</f>
        <v>2160.0</v>
      </c>
      <c r="X11" s="189">
        <f>X12*12*X13</f>
        <v>2160.0</v>
      </c>
      <c r="Y11" s="189">
        <f>Y12*12*Y13</f>
        <v>2160.0</v>
      </c>
      <c r="Z11" s="189">
        <f>Z12*12*Z13</f>
        <v>2160.0</v>
      </c>
      <c r="AA11" s="189">
        <f>AA12*12*AA13</f>
        <v>2160.0</v>
      </c>
      <c r="AB11" s="189">
        <f>AB12*12*AB13</f>
        <v>2160.0</v>
      </c>
      <c r="AC11" s="189">
        <f>AC12*12*AC13</f>
        <v>2160.0</v>
      </c>
      <c r="AD11" s="189">
        <f>AD12*12*AD13</f>
        <v>2160.0</v>
      </c>
      <c r="AE11" s="189">
        <f>AE12*12*AE13</f>
        <v>2160.0</v>
      </c>
      <c r="AF11" s="189">
        <f>AF12*12*AF13</f>
        <v>2160.0</v>
      </c>
      <c r="AG11" s="189">
        <f>AG12*12*AG13</f>
        <v>2160.0</v>
      </c>
      <c r="AH11" s="189">
        <f>AH12*12*AH13</f>
        <v>2160.0</v>
      </c>
      <c r="AI11" s="189">
        <f>AI12*12*AI13</f>
        <v>2160.0</v>
      </c>
      <c r="AJ11" s="189">
        <f>AJ12*12*AJ13</f>
        <v>2160.0</v>
      </c>
      <c r="AK11" s="189">
        <f>AK12*12*AK13</f>
        <v>2160.0</v>
      </c>
      <c r="AL11" s="189">
        <f>AL12*12*AL13</f>
        <v>2160.0</v>
      </c>
      <c r="AM11" s="189">
        <f>AM12*12*AM13</f>
        <v>2160.0</v>
      </c>
      <c r="AN11" s="189">
        <f>AN12*12*AN13</f>
        <v>2160.0</v>
      </c>
      <c r="AO11" s="189">
        <f>AO12*12*AO13</f>
        <v>2160.0</v>
      </c>
      <c r="AP11" s="189">
        <f>AP12*12*AP13</f>
        <v>2160.0</v>
      </c>
      <c r="AQ11" s="189">
        <f>AQ12*12*AQ13</f>
        <v>2160.0</v>
      </c>
      <c r="AR11" s="189">
        <f>AR12*12*AR13</f>
        <v>2160.0</v>
      </c>
      <c r="AS11" s="189">
        <f>AS12*12*AS13</f>
        <v>2160.0</v>
      </c>
      <c r="AT11" s="189">
        <f>AT12*12*AT13</f>
        <v>2160.0</v>
      </c>
      <c r="AU11" s="189">
        <f>AU12*12*AU13</f>
        <v>2160.0</v>
      </c>
      <c r="AV11" s="189">
        <f>AV12*12*AV13</f>
        <v>2160.0</v>
      </c>
      <c r="AW11" s="189">
        <f>AW12*12*AW13</f>
        <v>2160.0</v>
      </c>
      <c r="AX11" s="189">
        <f>AX12*12*AX13</f>
        <v>2160.0</v>
      </c>
      <c r="AY11" s="189">
        <f>AY12*12*AY13</f>
        <v>2160.0</v>
      </c>
      <c r="AZ11" s="189">
        <f>AZ12*12*AZ13</f>
        <v>2160.0</v>
      </c>
      <c r="BA11" s="189">
        <f>BA12*12*BA13</f>
        <v>2160.0</v>
      </c>
      <c r="BB11" s="189">
        <f>BB12*12*BB13</f>
        <v>2160.0</v>
      </c>
      <c r="BC11" s="189">
        <f>BC12*12*BC13</f>
        <v>2160.0</v>
      </c>
      <c r="BD11" s="189">
        <f>BD12*12*BD13</f>
        <v>2160.0</v>
      </c>
      <c r="BE11" s="189">
        <f>BE12*12*BE13</f>
        <v>2160.0</v>
      </c>
      <c r="BF11" s="189">
        <f>BF12*12*BF13</f>
        <v>2160.0</v>
      </c>
      <c r="BG11" s="189">
        <f>BG12*12*BG13</f>
        <v>2160.0</v>
      </c>
      <c r="BH11" s="189">
        <f>BH12*12*BH13</f>
        <v>2160.0</v>
      </c>
      <c r="BI11" s="189">
        <f>BI12*12*BI13</f>
        <v>2160.0</v>
      </c>
      <c r="BJ11" s="189">
        <f>BJ12*12*BJ13</f>
        <v>2160.0</v>
      </c>
      <c r="BK11" s="189">
        <f>BK12*12*BK13</f>
        <v>2160.0</v>
      </c>
      <c r="BL11" s="189">
        <f>BL12*12*BL13</f>
        <v>2160.0</v>
      </c>
      <c r="BM11" s="189">
        <f>BM12*12*BM13</f>
        <v>2160.0</v>
      </c>
      <c r="BN11" s="190">
        <f>BN12*BN13</f>
        <v>2160.0</v>
      </c>
      <c r="BO11" s="191">
        <f>BO12*BO13</f>
        <v>2160.0</v>
      </c>
      <c r="BP11" s="191">
        <f>BP12*BP13</f>
        <v>2160.0</v>
      </c>
      <c r="BQ11" s="191">
        <f>BQ12*BQ13</f>
        <v>2160.0</v>
      </c>
      <c r="BR11" s="191">
        <f>BR12*BR13</f>
        <v>2160.0</v>
      </c>
    </row>
    <row r="12">
      <c r="C12" s="70" t="inlineStr">
        <is>
          <t>毎月の積立金額</t>
        </is>
      </c>
      <c r="D12" s="67" t="n"/>
      <c r="E12" s="67" t="n"/>
      <c r="F12" s="191" t="n">
        <v>300000</v>
      </c>
      <c r="G12" s="191" t="n">
        <v>300000</v>
      </c>
      <c r="H12" s="191" t="n">
        <v>300000</v>
      </c>
      <c r="I12" s="191" t="n">
        <v>300000</v>
      </c>
      <c r="J12" s="191" t="n">
        <v>300000</v>
      </c>
      <c r="K12" s="191" t="n">
        <v>300000</v>
      </c>
      <c r="L12" s="191" t="n">
        <v>300000</v>
      </c>
      <c r="M12" s="191" t="n">
        <v>300000</v>
      </c>
      <c r="N12" s="191" t="n">
        <v>300000</v>
      </c>
      <c r="O12" s="191" t="n">
        <v>300000</v>
      </c>
      <c r="P12" s="191" t="n">
        <v>300000</v>
      </c>
      <c r="Q12" s="191" t="n">
        <v>300000</v>
      </c>
      <c r="R12" s="191" t="n">
        <v>300000</v>
      </c>
      <c r="S12" s="191" t="n">
        <v>300000</v>
      </c>
      <c r="T12" s="191" t="n">
        <v>300000</v>
      </c>
      <c r="U12" s="191" t="n">
        <v>300000</v>
      </c>
      <c r="V12" s="191" t="n">
        <v>300000</v>
      </c>
      <c r="W12" s="191" t="n">
        <v>300000</v>
      </c>
      <c r="X12" s="191" t="n">
        <v>300000</v>
      </c>
      <c r="Y12" s="191" t="n">
        <v>300000</v>
      </c>
      <c r="Z12" s="191" t="n">
        <v>300000</v>
      </c>
      <c r="AA12" s="191" t="n">
        <v>300000</v>
      </c>
      <c r="AB12" s="191" t="n">
        <v>300000</v>
      </c>
      <c r="AC12" s="191" t="n">
        <v>300000</v>
      </c>
      <c r="AD12" s="191" t="n">
        <v>300000</v>
      </c>
      <c r="AE12" s="191" t="n">
        <v>300000</v>
      </c>
      <c r="AF12" s="191" t="n">
        <v>300000</v>
      </c>
      <c r="AG12" s="191" t="n">
        <v>300000</v>
      </c>
      <c r="AH12" s="191" t="n">
        <v>300000</v>
      </c>
      <c r="AI12" s="191" t="n">
        <v>300000</v>
      </c>
      <c r="AJ12" s="191" t="n">
        <v>300000</v>
      </c>
      <c r="AK12" s="191" t="n">
        <v>300000</v>
      </c>
      <c r="AL12" s="191" t="n">
        <v>300000</v>
      </c>
      <c r="AM12" s="191" t="n">
        <v>300000</v>
      </c>
      <c r="AN12" s="191" t="n">
        <v>300000</v>
      </c>
      <c r="AO12" s="191" t="n">
        <v>300000</v>
      </c>
      <c r="AP12" s="191" t="n">
        <v>300000</v>
      </c>
      <c r="AQ12" s="191" t="n">
        <v>300000</v>
      </c>
      <c r="AR12" s="191" t="n">
        <v>300000</v>
      </c>
      <c r="AS12" s="191" t="n">
        <v>300000</v>
      </c>
      <c r="AT12" s="191" t="n">
        <v>300000</v>
      </c>
      <c r="AU12" s="191" t="n">
        <v>300000</v>
      </c>
      <c r="AV12" s="191" t="n">
        <v>300000</v>
      </c>
      <c r="AW12" s="191" t="n">
        <v>300000</v>
      </c>
      <c r="AX12" s="191" t="n">
        <v>300000</v>
      </c>
      <c r="AY12" s="191" t="n">
        <v>300000</v>
      </c>
      <c r="AZ12" s="191" t="n">
        <v>300000</v>
      </c>
      <c r="BA12" s="191" t="n">
        <v>300000</v>
      </c>
      <c r="BB12" s="191" t="n">
        <v>300000</v>
      </c>
      <c r="BC12" s="191" t="n">
        <v>300000</v>
      </c>
      <c r="BD12" s="191" t="n">
        <v>300000</v>
      </c>
      <c r="BE12" s="191" t="n">
        <v>300000</v>
      </c>
      <c r="BF12" s="191" t="n">
        <v>300000</v>
      </c>
      <c r="BG12" s="191" t="n">
        <v>300000</v>
      </c>
      <c r="BH12" s="191" t="n">
        <v>300000</v>
      </c>
      <c r="BI12" s="191" t="n">
        <v>300000</v>
      </c>
      <c r="BJ12" s="191" t="n">
        <v>300000</v>
      </c>
      <c r="BK12" s="191" t="n">
        <v>300000</v>
      </c>
      <c r="BL12" s="191" t="n">
        <v>300000</v>
      </c>
      <c r="BM12" s="191" t="n">
        <v>300000</v>
      </c>
      <c r="BN12" s="190">
        <f>300000*12</f>
        <v>3600000.0</v>
      </c>
      <c r="BO12" s="191">
        <f>300000*12</f>
        <v>3600000.0</v>
      </c>
      <c r="BP12" s="191">
        <f>300000*12</f>
        <v>3600000.0</v>
      </c>
      <c r="BQ12" s="191">
        <f>300000*12</f>
        <v>3600000.0</v>
      </c>
      <c r="BR12" s="191">
        <f>300000*12</f>
        <v>3600000.0</v>
      </c>
    </row>
    <row r="13">
      <c r="C13" s="70" t="inlineStr">
        <is>
          <t>Taxel 紹介費用率</t>
        </is>
      </c>
      <c r="D13" s="67" t="n"/>
      <c r="E13" s="67" t="n"/>
      <c r="F13" s="182">
        <f>0.2%*30%</f>
        <v>0.0006</v>
      </c>
      <c r="G13" s="182">
        <f>0.2%*30%</f>
        <v>0.0006</v>
      </c>
      <c r="H13" s="182">
        <f>0.2%*30%</f>
        <v>0.0006</v>
      </c>
      <c r="I13" s="182">
        <f>0.2%*30%</f>
        <v>0.0006</v>
      </c>
      <c r="J13" s="182">
        <f>0.2%*30%</f>
        <v>0.0006</v>
      </c>
      <c r="K13" s="182">
        <f>0.2%*30%</f>
        <v>0.0006</v>
      </c>
      <c r="L13" s="182">
        <f>0.2%*30%</f>
        <v>0.0006</v>
      </c>
      <c r="M13" s="182">
        <f>0.2%*30%</f>
        <v>0.0006</v>
      </c>
      <c r="N13" s="182">
        <f>0.2%*30%</f>
        <v>0.0006</v>
      </c>
      <c r="O13" s="182">
        <f>0.2%*30%</f>
        <v>0.0006</v>
      </c>
      <c r="P13" s="182">
        <f>0.2%*30%</f>
        <v>0.0006</v>
      </c>
      <c r="Q13" s="182">
        <f>0.2%*30%</f>
        <v>0.0006</v>
      </c>
      <c r="R13" s="182">
        <f>0.2%*30%</f>
        <v>0.0006</v>
      </c>
      <c r="S13" s="182">
        <f>0.2%*30%</f>
        <v>0.0006</v>
      </c>
      <c r="T13" s="182">
        <f>0.2%*30%</f>
        <v>0.0006</v>
      </c>
      <c r="U13" s="182">
        <f>0.2%*30%</f>
        <v>0.0006</v>
      </c>
      <c r="V13" s="182">
        <f>0.2%*30%</f>
        <v>0.0006</v>
      </c>
      <c r="W13" s="182">
        <f>0.2%*30%</f>
        <v>0.0006</v>
      </c>
      <c r="X13" s="182">
        <f>0.2%*30%</f>
        <v>0.0006</v>
      </c>
      <c r="Y13" s="182">
        <f>0.2%*30%</f>
        <v>0.0006</v>
      </c>
      <c r="Z13" s="182">
        <f>0.2%*30%</f>
        <v>0.0006</v>
      </c>
      <c r="AA13" s="182">
        <f>0.2%*30%</f>
        <v>0.0006</v>
      </c>
      <c r="AB13" s="182">
        <f>0.2%*30%</f>
        <v>0.0006</v>
      </c>
      <c r="AC13" s="182">
        <f>0.2%*30%</f>
        <v>0.0006</v>
      </c>
      <c r="AD13" s="182">
        <f>0.2%*30%</f>
        <v>0.0006</v>
      </c>
      <c r="AE13" s="182">
        <f>0.2%*30%</f>
        <v>0.0006</v>
      </c>
      <c r="AF13" s="182">
        <f>0.2%*30%</f>
        <v>0.0006</v>
      </c>
      <c r="AG13" s="182">
        <f>0.2%*30%</f>
        <v>0.0006</v>
      </c>
      <c r="AH13" s="182">
        <f>0.2%*30%</f>
        <v>0.0006</v>
      </c>
      <c r="AI13" s="182">
        <f>0.2%*30%</f>
        <v>0.0006</v>
      </c>
      <c r="AJ13" s="182">
        <f>0.2%*30%</f>
        <v>0.0006</v>
      </c>
      <c r="AK13" s="182">
        <f>0.2%*30%</f>
        <v>0.0006</v>
      </c>
      <c r="AL13" s="182">
        <f>0.2%*30%</f>
        <v>0.0006</v>
      </c>
      <c r="AM13" s="182">
        <f>0.2%*30%</f>
        <v>0.0006</v>
      </c>
      <c r="AN13" s="182">
        <f>0.2%*30%</f>
        <v>0.0006</v>
      </c>
      <c r="AO13" s="182">
        <f>0.2%*30%</f>
        <v>0.0006</v>
      </c>
      <c r="AP13" s="182">
        <f>0.2%*30%</f>
        <v>0.0006</v>
      </c>
      <c r="AQ13" s="182">
        <f>0.2%*30%</f>
        <v>0.0006</v>
      </c>
      <c r="AR13" s="182">
        <f>0.2%*30%</f>
        <v>0.0006</v>
      </c>
      <c r="AS13" s="182">
        <f>0.2%*30%</f>
        <v>0.0006</v>
      </c>
      <c r="AT13" s="182">
        <f>0.2%*30%</f>
        <v>0.0006</v>
      </c>
      <c r="AU13" s="182">
        <f>0.2%*30%</f>
        <v>0.0006</v>
      </c>
      <c r="AV13" s="182">
        <f>0.2%*30%</f>
        <v>0.0006</v>
      </c>
      <c r="AW13" s="182">
        <f>0.2%*30%</f>
        <v>0.0006</v>
      </c>
      <c r="AX13" s="182">
        <f>0.2%*30%</f>
        <v>0.0006</v>
      </c>
      <c r="AY13" s="182">
        <f>0.2%*30%</f>
        <v>0.0006</v>
      </c>
      <c r="AZ13" s="182">
        <f>0.2%*30%</f>
        <v>0.0006</v>
      </c>
      <c r="BA13" s="182">
        <f>0.2%*30%</f>
        <v>0.0006</v>
      </c>
      <c r="BB13" s="182">
        <f>0.2%*30%</f>
        <v>0.0006</v>
      </c>
      <c r="BC13" s="182">
        <f>0.2%*30%</f>
        <v>0.0006</v>
      </c>
      <c r="BD13" s="182">
        <f>0.2%*30%</f>
        <v>0.0006</v>
      </c>
      <c r="BE13" s="182">
        <f>0.2%*30%</f>
        <v>0.0006</v>
      </c>
      <c r="BF13" s="182">
        <f>0.2%*30%</f>
        <v>0.0006</v>
      </c>
      <c r="BG13" s="182">
        <f>0.2%*30%</f>
        <v>0.0006</v>
      </c>
      <c r="BH13" s="182">
        <f>0.2%*30%</f>
        <v>0.0006</v>
      </c>
      <c r="BI13" s="182">
        <f>0.2%*30%</f>
        <v>0.0006</v>
      </c>
      <c r="BJ13" s="182">
        <f>0.2%*30%</f>
        <v>0.0006</v>
      </c>
      <c r="BK13" s="182">
        <f>0.2%*30%</f>
        <v>0.0006</v>
      </c>
      <c r="BL13" s="182">
        <f>0.2%*30%</f>
        <v>0.0006</v>
      </c>
      <c r="BM13" s="182">
        <f>0.2%*30%</f>
        <v>0.0006</v>
      </c>
      <c r="BN13" s="183">
        <f>0.2%*30%</f>
        <v>0.0006</v>
      </c>
      <c r="BO13" s="182">
        <f>0.2%*30%</f>
        <v>0.0006</v>
      </c>
      <c r="BP13" s="182">
        <f>0.2%*30%</f>
        <v>0.0006</v>
      </c>
      <c r="BQ13" s="182">
        <f>0.2%*30%</f>
        <v>0.0006</v>
      </c>
      <c r="BR13" s="182">
        <f>0.2%*30%</f>
        <v>0.0006</v>
      </c>
    </row>
    <row r="14">
      <c r="C14" s="70" t="inlineStr">
        <is>
          <t>１税理士 / 紹介費用</t>
        </is>
      </c>
      <c r="D14" s="67" t="n"/>
      <c r="E14" s="67" t="n"/>
      <c r="F14" s="77">
        <f>F11*F10</f>
        <v>0.0</v>
      </c>
      <c r="G14" s="77">
        <f>G11*G10</f>
        <v>1778.112</v>
      </c>
      <c r="H14" s="77">
        <f>H11*H10</f>
        <v>9779.616</v>
      </c>
      <c r="I14" s="77">
        <f>I11*I10</f>
        <v>17781.12</v>
      </c>
      <c r="J14" s="77">
        <f>J11*J10</f>
        <v>24893.568</v>
      </c>
      <c r="K14" s="77">
        <f>K11*K10</f>
        <v>33784.128</v>
      </c>
      <c r="L14" s="77">
        <f>L11*L10</f>
        <v>42674.688</v>
      </c>
      <c r="M14" s="77">
        <f>M11*M10</f>
        <v>51565.248</v>
      </c>
      <c r="N14" s="77">
        <f>N11*N10</f>
        <v>62233.92</v>
      </c>
      <c r="O14" s="77">
        <f>O11*O10</f>
        <v>72013.536</v>
      </c>
      <c r="P14" s="77">
        <f>P11*P10</f>
        <v>81793.152</v>
      </c>
      <c r="Q14" s="77">
        <f>Q11*Q10</f>
        <v>93350.88</v>
      </c>
      <c r="R14" s="77">
        <f>R11*R10</f>
        <v>104019.552</v>
      </c>
      <c r="S14" s="77">
        <f>S11*S10</f>
        <v>114688.224</v>
      </c>
      <c r="T14" s="77">
        <f>T11*T10</f>
        <v>127135.008</v>
      </c>
      <c r="U14" s="77">
        <f>U11*U10</f>
        <v>138692.736</v>
      </c>
      <c r="V14" s="77">
        <f>V11*V10</f>
        <v>150250.464</v>
      </c>
      <c r="W14" s="77">
        <f>W11*W10</f>
        <v>163586.304</v>
      </c>
      <c r="X14" s="77">
        <f>X11*X10</f>
        <v>176033.088</v>
      </c>
      <c r="Y14" s="77">
        <f>Y11*Y10</f>
        <v>188479.872</v>
      </c>
      <c r="Z14" s="77">
        <f>Z11*Z10</f>
        <v>202704.768</v>
      </c>
      <c r="AA14" s="77">
        <f>AA11*AA10</f>
        <v>216040.608</v>
      </c>
      <c r="AB14" s="77">
        <f>AB11*AB10</f>
        <v>229376.448</v>
      </c>
      <c r="AC14" s="77">
        <f>AC11*AC10</f>
        <v>243601.344</v>
      </c>
      <c r="AD14" s="77">
        <f>AD11*AD10</f>
        <v>260928.864</v>
      </c>
      <c r="AE14" s="77">
        <f>AE11*AE10</f>
        <v>276119.928</v>
      </c>
      <c r="AF14" s="77">
        <f>AF11*AF10</f>
        <v>293098.176</v>
      </c>
      <c r="AG14" s="77">
        <f>AG11*AG10</f>
        <v>309182.832</v>
      </c>
      <c r="AH14" s="77">
        <f>AH11*AH10</f>
        <v>326161.08</v>
      </c>
      <c r="AI14" s="77">
        <f>AI11*AI10</f>
        <v>343139.328</v>
      </c>
      <c r="AJ14" s="77">
        <f>AJ11*AJ10</f>
        <v>361011.168</v>
      </c>
      <c r="AK14" s="77">
        <f>AK11*AK10</f>
        <v>377989.416</v>
      </c>
      <c r="AL14" s="77">
        <f>AL11*AL10</f>
        <v>396754.848</v>
      </c>
      <c r="AM14" s="77">
        <f>AM11*AM10</f>
        <v>414626.688</v>
      </c>
      <c r="AN14" s="77">
        <f>AN11*AN10</f>
        <v>432498.528</v>
      </c>
      <c r="AO14" s="77">
        <f>AO11*AO10</f>
        <v>452157.552</v>
      </c>
      <c r="AP14" s="77">
        <f>AP11*AP10</f>
        <v>470922.984</v>
      </c>
      <c r="AQ14" s="77">
        <f>AQ11*AQ10</f>
        <v>489688.416</v>
      </c>
      <c r="AR14" s="77">
        <f>AR11*AR10</f>
        <v>509347.44</v>
      </c>
      <c r="AS14" s="77">
        <f>AS11*AS10</f>
        <v>529006.464</v>
      </c>
      <c r="AT14" s="77">
        <f>AT11*AT10</f>
        <v>548665.488</v>
      </c>
      <c r="AU14" s="77">
        <f>AU11*AU10</f>
        <v>569218.104</v>
      </c>
      <c r="AV14" s="77">
        <f>AV11*AV10</f>
        <v>589770.72</v>
      </c>
      <c r="AW14" s="77">
        <f>AW11*AW10</f>
        <v>610323.336</v>
      </c>
      <c r="AX14" s="77">
        <f>AX11*AX10</f>
        <v>631769.544</v>
      </c>
      <c r="AY14" s="77">
        <f>AY11*AY10</f>
        <v>652322.16</v>
      </c>
      <c r="AZ14" s="77">
        <f>AZ11*AZ10</f>
        <v>673768.368</v>
      </c>
      <c r="BA14" s="77">
        <f>BA11*BA10</f>
        <v>695214.576</v>
      </c>
      <c r="BB14" s="77">
        <f>BB11*BB10</f>
        <v>724789.296</v>
      </c>
      <c r="BC14" s="77">
        <f>BC11*BC10</f>
        <v>749936.88</v>
      </c>
      <c r="BD14" s="77">
        <f>BD11*BD10</f>
        <v>775982.592</v>
      </c>
      <c r="BE14" s="77">
        <f>BE11*BE10</f>
        <v>802028.304</v>
      </c>
      <c r="BF14" s="77">
        <f>BF11*BF10</f>
        <v>828074.016</v>
      </c>
      <c r="BG14" s="77">
        <f>BG11*BG10</f>
        <v>855915.984</v>
      </c>
      <c r="BH14" s="77">
        <f>BH11*BH10</f>
        <v>882859.824</v>
      </c>
      <c r="BI14" s="77">
        <f>BI11*BI10</f>
        <v>909803.664</v>
      </c>
      <c r="BJ14" s="77">
        <f>BJ11*BJ10</f>
        <v>937645.632</v>
      </c>
      <c r="BK14" s="77">
        <f>BK11*BK10</f>
        <v>965487.6</v>
      </c>
      <c r="BL14" s="77">
        <f>BL11*BL10</f>
        <v>993329.568</v>
      </c>
      <c r="BM14" s="77">
        <f>BM11*BM10</f>
        <v>1022069.664</v>
      </c>
      <c r="BN14" s="192">
        <f>BN11*BN10</f>
        <v>85222.368</v>
      </c>
      <c r="BO14" s="193">
        <f>BO11*BO10</f>
        <v>206642.016</v>
      </c>
      <c r="BP14" s="193">
        <f>BP11*BP10</f>
        <v>394418.808</v>
      </c>
      <c r="BQ14" s="193">
        <f>BQ11*BQ10</f>
        <v>599659.2</v>
      </c>
      <c r="BR14" s="193">
        <f>BR11*BR10</f>
        <v>926859.024</v>
      </c>
    </row>
    <row r="15">
      <c r="C15" s="17" t="inlineStr">
        <is>
          <t>税理士数＝アカウト数</t>
        </is>
      </c>
      <c r="D15" s="12" t="n"/>
      <c r="E15" s="12" t="n"/>
      <c r="F15" s="20" t="n">
        <v>0</v>
      </c>
      <c r="G15" s="20" t="n">
        <v>2</v>
      </c>
      <c r="H15" s="20" t="n">
        <v>11</v>
      </c>
      <c r="I15" s="20" t="n">
        <v>20</v>
      </c>
      <c r="J15" s="20" t="n">
        <v>28</v>
      </c>
      <c r="K15" s="20" t="n">
        <v>38</v>
      </c>
      <c r="L15" s="20" t="n">
        <v>48</v>
      </c>
      <c r="M15" s="20" t="n">
        <v>58</v>
      </c>
      <c r="N15" s="20" t="n">
        <v>70</v>
      </c>
      <c r="O15" s="20" t="n">
        <v>81</v>
      </c>
      <c r="P15" s="20" t="n">
        <v>92</v>
      </c>
      <c r="Q15" s="20" t="n">
        <v>105</v>
      </c>
      <c r="R15" s="20" t="n">
        <v>117</v>
      </c>
      <c r="S15" s="20" t="n">
        <v>129</v>
      </c>
      <c r="T15" s="20" t="n">
        <v>143</v>
      </c>
      <c r="U15" s="20" t="n">
        <v>156</v>
      </c>
      <c r="V15" s="20" t="n">
        <v>169</v>
      </c>
      <c r="W15" s="20" t="n">
        <v>184</v>
      </c>
      <c r="X15" s="20" t="n">
        <v>198</v>
      </c>
      <c r="Y15" s="20" t="n">
        <v>212</v>
      </c>
      <c r="Z15" s="20" t="n">
        <v>228</v>
      </c>
      <c r="AA15" s="20" t="n">
        <v>243</v>
      </c>
      <c r="AB15" s="20" t="n">
        <v>258</v>
      </c>
      <c r="AC15" s="20" t="n">
        <v>274</v>
      </c>
      <c r="AD15" s="20" t="n">
        <v>292</v>
      </c>
      <c r="AE15" s="20" t="n">
        <v>309</v>
      </c>
      <c r="AF15" s="20" t="n">
        <v>328</v>
      </c>
      <c r="AG15" s="20" t="n">
        <v>346</v>
      </c>
      <c r="AH15" s="20" t="n">
        <v>365</v>
      </c>
      <c r="AI15" s="20" t="n">
        <v>384</v>
      </c>
      <c r="AJ15" s="20" t="n">
        <v>404</v>
      </c>
      <c r="AK15" s="20" t="n">
        <v>423</v>
      </c>
      <c r="AL15" s="20" t="n">
        <v>444</v>
      </c>
      <c r="AM15" s="20" t="n">
        <v>464</v>
      </c>
      <c r="AN15" s="20" t="n">
        <v>484</v>
      </c>
      <c r="AO15" s="20" t="n">
        <v>506</v>
      </c>
      <c r="AP15" s="20" t="n">
        <v>527</v>
      </c>
      <c r="AQ15" s="20" t="n">
        <v>548</v>
      </c>
      <c r="AR15" s="20" t="n">
        <v>570</v>
      </c>
      <c r="AS15" s="20" t="n">
        <v>592</v>
      </c>
      <c r="AT15" s="20" t="n">
        <v>614</v>
      </c>
      <c r="AU15" s="20" t="n">
        <v>637</v>
      </c>
      <c r="AV15" s="20" t="n">
        <v>660</v>
      </c>
      <c r="AW15" s="20" t="n">
        <v>683</v>
      </c>
      <c r="AX15" s="20" t="n">
        <v>707</v>
      </c>
      <c r="AY15" s="20" t="n">
        <v>730</v>
      </c>
      <c r="AZ15" s="20" t="n">
        <v>754</v>
      </c>
      <c r="BA15" s="20" t="n">
        <v>778</v>
      </c>
      <c r="BB15" s="20" t="n">
        <v>807</v>
      </c>
      <c r="BC15" s="20" t="n">
        <v>835</v>
      </c>
      <c r="BD15" s="20" t="n">
        <v>864</v>
      </c>
      <c r="BE15" s="20" t="n">
        <v>893</v>
      </c>
      <c r="BF15" s="20" t="n">
        <v>922</v>
      </c>
      <c r="BG15" s="20" t="n">
        <v>953</v>
      </c>
      <c r="BH15" s="20" t="n">
        <v>983</v>
      </c>
      <c r="BI15" s="20" t="n">
        <v>1013</v>
      </c>
      <c r="BJ15" s="20" t="n">
        <v>1044</v>
      </c>
      <c r="BK15" s="20" t="n">
        <v>1075</v>
      </c>
      <c r="BL15" s="20" t="n">
        <v>1106</v>
      </c>
      <c r="BM15" s="20" t="n">
        <v>1138</v>
      </c>
      <c r="BN15" s="39" t="n">
        <v>105</v>
      </c>
      <c r="BO15" s="20" t="n">
        <v>274</v>
      </c>
      <c r="BP15" s="20" t="n">
        <v>506</v>
      </c>
      <c r="BQ15" s="20" t="n">
        <v>778</v>
      </c>
      <c r="BR15" s="20" t="n">
        <v>1138</v>
      </c>
    </row>
    <row r="16">
      <c r="C16" s="160" t="inlineStr">
        <is>
          <t>新規</t>
        </is>
      </c>
      <c r="D16" s="12" t="n"/>
      <c r="E16" s="160" t="n"/>
      <c r="F16" s="8" t="n">
        <v>0</v>
      </c>
      <c r="G16" s="26" t="n">
        <v>1</v>
      </c>
      <c r="H16" s="26" t="n">
        <v>5</v>
      </c>
      <c r="I16" s="26" t="n">
        <v>5</v>
      </c>
      <c r="J16" s="26" t="n">
        <v>5</v>
      </c>
      <c r="K16" s="26">
        <f>H16+1</f>
        <v>6.0</v>
      </c>
      <c r="L16" s="26">
        <f>I16+1</f>
        <v>6.0</v>
      </c>
      <c r="M16" s="26">
        <f>J16+1</f>
        <v>6.0</v>
      </c>
      <c r="N16" s="26">
        <f>K16+1</f>
        <v>7.0</v>
      </c>
      <c r="O16" s="26">
        <f>L16+1</f>
        <v>7.0</v>
      </c>
      <c r="P16" s="26">
        <f>M16+1</f>
        <v>7.0</v>
      </c>
      <c r="Q16" s="26">
        <f>N16+1</f>
        <v>8.0</v>
      </c>
      <c r="R16" s="26">
        <f>O16+1</f>
        <v>8.0</v>
      </c>
      <c r="S16" s="26">
        <f>P16+1</f>
        <v>8.0</v>
      </c>
      <c r="T16" s="26">
        <f>Q16+1</f>
        <v>9.0</v>
      </c>
      <c r="U16" s="26">
        <f>R16+1</f>
        <v>9.0</v>
      </c>
      <c r="V16" s="26">
        <f>S16+1</f>
        <v>9.0</v>
      </c>
      <c r="W16" s="26">
        <f>T16+1</f>
        <v>10.0</v>
      </c>
      <c r="X16" s="26">
        <f>U16+1</f>
        <v>10.0</v>
      </c>
      <c r="Y16" s="26">
        <f>V16+1</f>
        <v>10.0</v>
      </c>
      <c r="Z16" s="26">
        <f>W16+1</f>
        <v>11.0</v>
      </c>
      <c r="AA16" s="26">
        <f>X16+1</f>
        <v>11.0</v>
      </c>
      <c r="AB16" s="26">
        <f>Y16+1</f>
        <v>11.0</v>
      </c>
      <c r="AC16" s="26">
        <f>Z16+1</f>
        <v>12.0</v>
      </c>
      <c r="AD16" s="26">
        <f>AA16+1</f>
        <v>12.0</v>
      </c>
      <c r="AE16" s="26">
        <f>AB16+1</f>
        <v>12.0</v>
      </c>
      <c r="AF16" s="26">
        <f>AC16+1</f>
        <v>13.0</v>
      </c>
      <c r="AG16" s="26">
        <f>AD16+1</f>
        <v>13.0</v>
      </c>
      <c r="AH16" s="26">
        <f>AE16+1</f>
        <v>13.0</v>
      </c>
      <c r="AI16" s="26">
        <f>AF16+1</f>
        <v>14.0</v>
      </c>
      <c r="AJ16" s="26">
        <f>AG16+1</f>
        <v>14.0</v>
      </c>
      <c r="AK16" s="26">
        <f>AH16+1</f>
        <v>14.0</v>
      </c>
      <c r="AL16" s="26">
        <f>AI16+1</f>
        <v>15.0</v>
      </c>
      <c r="AM16" s="26">
        <f>AJ16+1</f>
        <v>15.0</v>
      </c>
      <c r="AN16" s="26">
        <f>AK16+1</f>
        <v>15.0</v>
      </c>
      <c r="AO16" s="26">
        <f>AL16+1</f>
        <v>16.0</v>
      </c>
      <c r="AP16" s="26">
        <f>AM16+1</f>
        <v>16.0</v>
      </c>
      <c r="AQ16" s="26">
        <f>AN16+1</f>
        <v>16.0</v>
      </c>
      <c r="AR16" s="26">
        <f>AO16+1</f>
        <v>17.0</v>
      </c>
      <c r="AS16" s="26">
        <f>AP16+1</f>
        <v>17.0</v>
      </c>
      <c r="AT16" s="26">
        <f>AQ16+1</f>
        <v>17.0</v>
      </c>
      <c r="AU16" s="26">
        <f>AR16+1</f>
        <v>18.0</v>
      </c>
      <c r="AV16" s="26">
        <f>AS16+1</f>
        <v>18.0</v>
      </c>
      <c r="AW16" s="26">
        <f>AT16+1</f>
        <v>18.0</v>
      </c>
      <c r="AX16" s="26">
        <f>AU16+1</f>
        <v>19.0</v>
      </c>
      <c r="AY16" s="26">
        <f>AV16+1</f>
        <v>19.0</v>
      </c>
      <c r="AZ16" s="26">
        <f>AW16+1</f>
        <v>19.0</v>
      </c>
      <c r="BA16" s="26">
        <f>AX16+1</f>
        <v>20.0</v>
      </c>
      <c r="BB16" s="26">
        <f>AY16+1</f>
        <v>20.0</v>
      </c>
      <c r="BC16" s="26">
        <f>AZ16+1</f>
        <v>20.0</v>
      </c>
      <c r="BD16" s="26">
        <f>BA16+1</f>
        <v>21.0</v>
      </c>
      <c r="BE16" s="26">
        <f>BB16+1</f>
        <v>21.0</v>
      </c>
      <c r="BF16" s="26">
        <f>BC16+1</f>
        <v>21.0</v>
      </c>
      <c r="BG16" s="26">
        <f>BD16+1</f>
        <v>22.0</v>
      </c>
      <c r="BH16" s="26">
        <f>BE16+1</f>
        <v>22.0</v>
      </c>
      <c r="BI16" s="26">
        <f>BF16+1</f>
        <v>22.0</v>
      </c>
      <c r="BJ16" s="26">
        <f>BG16+1</f>
        <v>23.0</v>
      </c>
      <c r="BK16" s="26">
        <f>BH16+1</f>
        <v>23.0</v>
      </c>
      <c r="BL16" s="26">
        <f>BI16+1</f>
        <v>23.0</v>
      </c>
      <c r="BM16" s="26">
        <f>BJ16+1</f>
        <v>24.0</v>
      </c>
      <c r="BN16" s="40">
        <f>SUM(F16:Q16)</f>
        <v>63.0</v>
      </c>
      <c r="BO16" s="26">
        <f>SUM(R16:AC16)</f>
        <v>118.0</v>
      </c>
      <c r="BP16" s="26">
        <f>SUM(AD16:AO16)</f>
        <v>166.0</v>
      </c>
      <c r="BQ16" s="26">
        <f>SUM(AP16:BA16)</f>
        <v>214.0</v>
      </c>
      <c r="BR16" s="26">
        <f>SUM(BB16:BM16)</f>
        <v>262.0</v>
      </c>
    </row>
    <row r="17">
      <c r="C17" s="160" t="inlineStr">
        <is>
          <t>解約予想数</t>
        </is>
      </c>
      <c r="D17" s="12" t="n"/>
      <c r="E17" s="160" t="n"/>
      <c r="F17" s="28">
        <f>F18*PRODUCT(F6:F9)</f>
        <v>0.0</v>
      </c>
      <c r="G17" s="28">
        <f>G18*PRODUCT(G6:G9)</f>
        <v>0.0168</v>
      </c>
      <c r="H17" s="28">
        <f>H18*PRODUCT(H6:H9)</f>
        <v>0.0924</v>
      </c>
      <c r="I17" s="28">
        <f>I18*PRODUCT(I6:I9)</f>
        <v>0.168</v>
      </c>
      <c r="J17" s="28">
        <f>J18*PRODUCT(J6:J9)</f>
        <v>0.2352</v>
      </c>
      <c r="K17" s="28">
        <f>K18*PRODUCT(K6:K9)</f>
        <v>0.3192</v>
      </c>
      <c r="L17" s="28">
        <f>L18*PRODUCT(L6:L9)</f>
        <v>0.4032</v>
      </c>
      <c r="M17" s="28">
        <f>M18*PRODUCT(M6:M9)</f>
        <v>0.4872</v>
      </c>
      <c r="N17" s="28">
        <f>N18*PRODUCT(N6:N9)</f>
        <v>0.588</v>
      </c>
      <c r="O17" s="28">
        <f>O18*PRODUCT(O6:O9)</f>
        <v>0.6804</v>
      </c>
      <c r="P17" s="28">
        <f>P18*PRODUCT(P6:P9)</f>
        <v>0.7728</v>
      </c>
      <c r="Q17" s="28">
        <f>Q18*PRODUCT(Q6:Q9)</f>
        <v>0.882</v>
      </c>
      <c r="R17" s="28">
        <f>R18*PRODUCT(R6:R9)</f>
        <v>0.9828</v>
      </c>
      <c r="S17" s="28">
        <f>S18*PRODUCT(S6:S9)</f>
        <v>1.0836</v>
      </c>
      <c r="T17" s="28">
        <f>T18*PRODUCT(T6:T9)</f>
        <v>1.2012</v>
      </c>
      <c r="U17" s="28">
        <f>U18*PRODUCT(U6:U9)</f>
        <v>1.3104</v>
      </c>
      <c r="V17" s="28">
        <f>V18*PRODUCT(V6:V9)</f>
        <v>1.4196</v>
      </c>
      <c r="W17" s="28">
        <f>W18*PRODUCT(W6:W9)</f>
        <v>1.5456</v>
      </c>
      <c r="X17" s="28">
        <f>X18*PRODUCT(X6:X9)</f>
        <v>1.6632</v>
      </c>
      <c r="Y17" s="28">
        <f>Y18*PRODUCT(Y6:Y9)</f>
        <v>1.7808</v>
      </c>
      <c r="Z17" s="28">
        <f>Z18*PRODUCT(Z6:Z9)</f>
        <v>1.9152</v>
      </c>
      <c r="AA17" s="28">
        <f>AA18*PRODUCT(AA6:AA9)</f>
        <v>2.0412</v>
      </c>
      <c r="AB17" s="28">
        <f>AB18*PRODUCT(AB6:AB9)</f>
        <v>2.1672</v>
      </c>
      <c r="AC17" s="28">
        <f>AC18*PRODUCT(AC6:AC9)</f>
        <v>2.3016</v>
      </c>
      <c r="AD17" s="28">
        <f>AD18*PRODUCT(AD6:AD9)</f>
        <v>1.8396</v>
      </c>
      <c r="AE17" s="28">
        <f>AE18*PRODUCT(AE6:AE9)</f>
        <v>1.9467</v>
      </c>
      <c r="AF17" s="28">
        <f>AF18*PRODUCT(AF6:AF9)</f>
        <v>2.0664</v>
      </c>
      <c r="AG17" s="28">
        <f>AG18*PRODUCT(AG6:AG9)</f>
        <v>2.1798</v>
      </c>
      <c r="AH17" s="28">
        <f>AH18*PRODUCT(AH6:AH9)</f>
        <v>2.2995</v>
      </c>
      <c r="AI17" s="28">
        <f>AI18*PRODUCT(AI6:AI9)</f>
        <v>2.4192</v>
      </c>
      <c r="AJ17" s="28">
        <f>AJ18*PRODUCT(AJ6:AJ9)</f>
        <v>2.5452</v>
      </c>
      <c r="AK17" s="28">
        <f>AK18*PRODUCT(AK6:AK9)</f>
        <v>2.6649</v>
      </c>
      <c r="AL17" s="28">
        <f>AL18*PRODUCT(AL6:AL9)</f>
        <v>2.7972</v>
      </c>
      <c r="AM17" s="28">
        <f>AM18*PRODUCT(AM6:AM9)</f>
        <v>2.9232</v>
      </c>
      <c r="AN17" s="28">
        <f>AN18*PRODUCT(AN6:AN9)</f>
        <v>3.0492</v>
      </c>
      <c r="AO17" s="28">
        <f>AO18*PRODUCT(AO6:AO9)</f>
        <v>3.1878</v>
      </c>
      <c r="AP17" s="28">
        <f>AP18*PRODUCT(AP6:AP9)</f>
        <v>3.3201</v>
      </c>
      <c r="AQ17" s="28">
        <f>AQ18*PRODUCT(AQ6:AQ9)</f>
        <v>3.4524</v>
      </c>
      <c r="AR17" s="28">
        <f>AR18*PRODUCT(AR6:AR9)</f>
        <v>3.591</v>
      </c>
      <c r="AS17" s="28">
        <f>AS18*PRODUCT(AS6:AS9)</f>
        <v>3.7296</v>
      </c>
      <c r="AT17" s="28">
        <f>AT18*PRODUCT(AT6:AT9)</f>
        <v>3.8682</v>
      </c>
      <c r="AU17" s="28">
        <f>AU18*PRODUCT(AU6:AU9)</f>
        <v>4.0131</v>
      </c>
      <c r="AV17" s="28">
        <f>AV18*PRODUCT(AV6:AV9)</f>
        <v>4.158</v>
      </c>
      <c r="AW17" s="28">
        <f>AW18*PRODUCT(AW6:AW9)</f>
        <v>4.3029</v>
      </c>
      <c r="AX17" s="28">
        <f>AX18*PRODUCT(AX6:AX9)</f>
        <v>4.4541</v>
      </c>
      <c r="AY17" s="28">
        <f>AY18*PRODUCT(AY6:AY9)</f>
        <v>4.599</v>
      </c>
      <c r="AZ17" s="28">
        <f>AZ18*PRODUCT(AZ6:AZ9)</f>
        <v>4.7502</v>
      </c>
      <c r="BA17" s="28">
        <f>BA18*PRODUCT(BA6:BA9)</f>
        <v>4.9014</v>
      </c>
      <c r="BB17" s="28">
        <f>BB18*PRODUCT(BB6:BB9)</f>
        <v>3.3894</v>
      </c>
      <c r="BC17" s="28">
        <f>BC18*PRODUCT(BC6:BC9)</f>
        <v>3.507</v>
      </c>
      <c r="BD17" s="28">
        <f>BD18*PRODUCT(BD6:BD9)</f>
        <v>3.6288</v>
      </c>
      <c r="BE17" s="28">
        <f>BE18*PRODUCT(BE6:BE9)</f>
        <v>3.7506</v>
      </c>
      <c r="BF17" s="28">
        <f>BF18*PRODUCT(BF6:BF9)</f>
        <v>3.8724</v>
      </c>
      <c r="BG17" s="28">
        <f>BG18*PRODUCT(BG6:BG9)</f>
        <v>4.0026</v>
      </c>
      <c r="BH17" s="28">
        <f>BH18*PRODUCT(BH6:BH9)</f>
        <v>4.1286</v>
      </c>
      <c r="BI17" s="28">
        <f>BI18*PRODUCT(BI6:BI9)</f>
        <v>4.2546</v>
      </c>
      <c r="BJ17" s="28">
        <f>BJ18*PRODUCT(BJ6:BJ9)</f>
        <v>4.3848</v>
      </c>
      <c r="BK17" s="28">
        <f>BK18*PRODUCT(BK6:BK9)</f>
        <v>4.515</v>
      </c>
      <c r="BL17" s="28">
        <f>BL18*PRODUCT(BL6:BL9)</f>
        <v>4.6452</v>
      </c>
      <c r="BM17" s="28">
        <f>BM18*PRODUCT(BM6:BM9)</f>
        <v>4.7796</v>
      </c>
      <c r="BN17" s="40">
        <f>SUM(F17:Q17)</f>
        <v>4.6452</v>
      </c>
      <c r="BO17" s="28">
        <f>SUM(R17:AC17)</f>
        <v>19.4124</v>
      </c>
      <c r="BP17" s="28">
        <f>SUM(AD17:AO17)</f>
        <v>29.9187</v>
      </c>
      <c r="BQ17" s="28">
        <f>SUM(AP17:BA17)</f>
        <v>49.14</v>
      </c>
      <c r="BR17" s="28">
        <f>SUM(BB17:BM17)</f>
        <v>48.8586</v>
      </c>
    </row>
    <row r="18">
      <c r="C18" s="160" t="inlineStr">
        <is>
          <t>解約率</t>
        </is>
      </c>
      <c r="D18" s="12" t="inlineStr">
        <is>
          <t>F&amp;M オフィスステーション1.01%</t>
        </is>
      </c>
      <c r="E18" s="160" t="n"/>
      <c r="F18" s="29" t="n">
        <v>0.02</v>
      </c>
      <c r="G18" s="29" t="n">
        <v>0.02</v>
      </c>
      <c r="H18" s="29" t="n">
        <v>0.02</v>
      </c>
      <c r="I18" s="29" t="n">
        <v>0.02</v>
      </c>
      <c r="J18" s="29" t="n">
        <v>0.02</v>
      </c>
      <c r="K18" s="29" t="n">
        <v>0.02</v>
      </c>
      <c r="L18" s="29" t="n">
        <v>0.02</v>
      </c>
      <c r="M18" s="29" t="n">
        <v>0.02</v>
      </c>
      <c r="N18" s="29" t="n">
        <v>0.02</v>
      </c>
      <c r="O18" s="29" t="n">
        <v>0.02</v>
      </c>
      <c r="P18" s="29" t="n">
        <v>0.02</v>
      </c>
      <c r="Q18" s="29" t="n">
        <v>0.02</v>
      </c>
      <c r="R18" s="29" t="n">
        <v>0.02</v>
      </c>
      <c r="S18" s="29" t="n">
        <v>0.02</v>
      </c>
      <c r="T18" s="29" t="n">
        <v>0.02</v>
      </c>
      <c r="U18" s="29" t="n">
        <v>0.02</v>
      </c>
      <c r="V18" s="29" t="n">
        <v>0.02</v>
      </c>
      <c r="W18" s="29" t="n">
        <v>0.02</v>
      </c>
      <c r="X18" s="29" t="n">
        <v>0.02</v>
      </c>
      <c r="Y18" s="29" t="n">
        <v>0.02</v>
      </c>
      <c r="Z18" s="29" t="n">
        <v>0.02</v>
      </c>
      <c r="AA18" s="29" t="n">
        <v>0.02</v>
      </c>
      <c r="AB18" s="29" t="n">
        <v>0.02</v>
      </c>
      <c r="AC18" s="29" t="n">
        <v>0.02</v>
      </c>
      <c r="AD18" s="162" t="n">
        <v>0.015</v>
      </c>
      <c r="AE18" s="162" t="n">
        <v>0.015</v>
      </c>
      <c r="AF18" s="162" t="n">
        <v>0.015</v>
      </c>
      <c r="AG18" s="162" t="n">
        <v>0.015</v>
      </c>
      <c r="AH18" s="162" t="n">
        <v>0.015</v>
      </c>
      <c r="AI18" s="162" t="n">
        <v>0.015</v>
      </c>
      <c r="AJ18" s="162" t="n">
        <v>0.015</v>
      </c>
      <c r="AK18" s="162" t="n">
        <v>0.015</v>
      </c>
      <c r="AL18" s="162" t="n">
        <v>0.015</v>
      </c>
      <c r="AM18" s="162" t="n">
        <v>0.015</v>
      </c>
      <c r="AN18" s="162" t="n">
        <v>0.015</v>
      </c>
      <c r="AO18" s="162" t="n">
        <v>0.015</v>
      </c>
      <c r="AP18" s="162" t="n">
        <v>0.015</v>
      </c>
      <c r="AQ18" s="162" t="n">
        <v>0.015</v>
      </c>
      <c r="AR18" s="162" t="n">
        <v>0.015</v>
      </c>
      <c r="AS18" s="162" t="n">
        <v>0.015</v>
      </c>
      <c r="AT18" s="162" t="n">
        <v>0.015</v>
      </c>
      <c r="AU18" s="162" t="n">
        <v>0.015</v>
      </c>
      <c r="AV18" s="162" t="n">
        <v>0.015</v>
      </c>
      <c r="AW18" s="162" t="n">
        <v>0.015</v>
      </c>
      <c r="AX18" s="162" t="n">
        <v>0.015</v>
      </c>
      <c r="AY18" s="162" t="n">
        <v>0.015</v>
      </c>
      <c r="AZ18" s="162" t="n">
        <v>0.015</v>
      </c>
      <c r="BA18" s="162" t="n">
        <v>0.015</v>
      </c>
      <c r="BB18" s="29" t="n">
        <v>0.01</v>
      </c>
      <c r="BC18" s="29" t="n">
        <v>0.01</v>
      </c>
      <c r="BD18" s="29" t="n">
        <v>0.01</v>
      </c>
      <c r="BE18" s="29" t="n">
        <v>0.01</v>
      </c>
      <c r="BF18" s="29" t="n">
        <v>0.01</v>
      </c>
      <c r="BG18" s="29" t="n">
        <v>0.01</v>
      </c>
      <c r="BH18" s="29" t="n">
        <v>0.01</v>
      </c>
      <c r="BI18" s="29" t="n">
        <v>0.01</v>
      </c>
      <c r="BJ18" s="29" t="n">
        <v>0.01</v>
      </c>
      <c r="BK18" s="29" t="n">
        <v>0.01</v>
      </c>
      <c r="BL18" s="29" t="n">
        <v>0.01</v>
      </c>
      <c r="BM18" s="29" t="n">
        <v>0.01</v>
      </c>
      <c r="BN18" s="78" t="n">
        <v>0.01</v>
      </c>
      <c r="BO18" s="29" t="n">
        <v>0.01</v>
      </c>
      <c r="BP18" s="29" t="n">
        <v>0.01</v>
      </c>
      <c r="BQ18" s="29" t="n">
        <v>0.01</v>
      </c>
      <c r="BR18" s="29" t="n">
        <v>0.01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BR21"/>
  <sheetViews>
    <sheetView topLeftCell="BK1" zoomScale="125" workbookViewId="0">
      <selection activeCell="D4" sqref="D4"/>
    </sheetView>
  </sheetViews>
  <sheetFormatPr baseColWidth="10" defaultRowHeight="20"/>
  <cols>
    <col width="15.28515625" customWidth="1" style="159" min="66" max="70"/>
  </cols>
  <sheetData>
    <row r="3">
      <c r="R3" s="89" t="inlineStr">
        <is>
          <t>Y2</t>
        </is>
      </c>
    </row>
    <row r="4">
      <c r="C4" s="0" t="inlineStr">
        <is>
          <t>■ ④ コスト削減（電力切替）※Y2から開拓</t>
        </is>
      </c>
      <c r="D4" s="0" t="inlineStr">
        <is>
          <t>丸紅新電力等の大手系の取次。継続報酬型（契約が続く限り毎月）。市場連動プランは扱わない（21-22年高騰の教訓）</t>
        </is>
      </c>
      <c r="E4" s="79" t="n"/>
      <c r="F4" s="118" t="inlineStr">
        <is>
          <t>Y1_M1</t>
        </is>
      </c>
      <c r="G4" s="118" t="inlineStr">
        <is>
          <t>Y1_M2</t>
        </is>
      </c>
      <c r="H4" s="118" t="inlineStr">
        <is>
          <t>Y1_M3</t>
        </is>
      </c>
      <c r="I4" s="118" t="inlineStr">
        <is>
          <t>Y1_M4</t>
        </is>
      </c>
      <c r="J4" s="118" t="inlineStr">
        <is>
          <t>Y1_M5</t>
        </is>
      </c>
      <c r="K4" s="118" t="inlineStr">
        <is>
          <t>Y1_M6</t>
        </is>
      </c>
      <c r="L4" s="118" t="inlineStr">
        <is>
          <t>Y1_M7</t>
        </is>
      </c>
      <c r="M4" s="118" t="inlineStr">
        <is>
          <t>Y1_M8</t>
        </is>
      </c>
      <c r="N4" s="118" t="inlineStr">
        <is>
          <t>Y1_M9</t>
        </is>
      </c>
      <c r="O4" s="118" t="inlineStr">
        <is>
          <t>Y1_M10</t>
        </is>
      </c>
      <c r="P4" s="118" t="inlineStr">
        <is>
          <t>Y1_M11</t>
        </is>
      </c>
      <c r="Q4" s="118" t="inlineStr">
        <is>
          <t>Y1_M12</t>
        </is>
      </c>
      <c r="R4" s="118" t="inlineStr">
        <is>
          <t>Y2_M1</t>
        </is>
      </c>
      <c r="S4" s="118" t="inlineStr">
        <is>
          <t>Y2_M2</t>
        </is>
      </c>
      <c r="T4" s="118" t="inlineStr">
        <is>
          <t>Y2_M3</t>
        </is>
      </c>
      <c r="U4" s="118" t="inlineStr">
        <is>
          <t>Y2_M4</t>
        </is>
      </c>
      <c r="V4" s="118" t="inlineStr">
        <is>
          <t>Y2_M5</t>
        </is>
      </c>
      <c r="W4" s="118" t="inlineStr">
        <is>
          <t>Y2_M6</t>
        </is>
      </c>
      <c r="X4" s="118" t="inlineStr">
        <is>
          <t>Y2_M7</t>
        </is>
      </c>
      <c r="Y4" s="118" t="inlineStr">
        <is>
          <t>Y2_M8</t>
        </is>
      </c>
      <c r="Z4" s="118" t="inlineStr">
        <is>
          <t>Y2_M9</t>
        </is>
      </c>
      <c r="AA4" s="118" t="inlineStr">
        <is>
          <t>Y2_M10</t>
        </is>
      </c>
      <c r="AB4" s="118" t="inlineStr">
        <is>
          <t>Y2_M11</t>
        </is>
      </c>
      <c r="AC4" s="118" t="inlineStr">
        <is>
          <t>Y2_M12</t>
        </is>
      </c>
      <c r="AD4" s="118" t="inlineStr">
        <is>
          <t>Y3_M1</t>
        </is>
      </c>
      <c r="AE4" s="118" t="inlineStr">
        <is>
          <t>Y3_M2</t>
        </is>
      </c>
      <c r="AF4" s="118" t="inlineStr">
        <is>
          <t>Y3_M3</t>
        </is>
      </c>
      <c r="AG4" s="118" t="inlineStr">
        <is>
          <t>Y3_M4</t>
        </is>
      </c>
      <c r="AH4" s="118" t="inlineStr">
        <is>
          <t>Y3_M5</t>
        </is>
      </c>
      <c r="AI4" s="118" t="inlineStr">
        <is>
          <t>Y3_M6</t>
        </is>
      </c>
      <c r="AJ4" s="118" t="inlineStr">
        <is>
          <t>Y3_M7</t>
        </is>
      </c>
      <c r="AK4" s="118" t="inlineStr">
        <is>
          <t>Y3_M8</t>
        </is>
      </c>
      <c r="AL4" s="118" t="inlineStr">
        <is>
          <t>Y3_M9</t>
        </is>
      </c>
      <c r="AM4" s="118" t="inlineStr">
        <is>
          <t>Y3_M10</t>
        </is>
      </c>
      <c r="AN4" s="118" t="inlineStr">
        <is>
          <t>Y3_M11</t>
        </is>
      </c>
      <c r="AO4" s="118" t="inlineStr">
        <is>
          <t>Y3_M12</t>
        </is>
      </c>
      <c r="AP4" s="118" t="inlineStr">
        <is>
          <t>Y4_M1</t>
        </is>
      </c>
      <c r="AQ4" s="118" t="inlineStr">
        <is>
          <t>Y4_M2</t>
        </is>
      </c>
      <c r="AR4" s="118" t="inlineStr">
        <is>
          <t>Y4_M3</t>
        </is>
      </c>
      <c r="AS4" s="118" t="inlineStr">
        <is>
          <t>Y4_M4</t>
        </is>
      </c>
      <c r="AT4" s="118" t="inlineStr">
        <is>
          <t>Y4_M5</t>
        </is>
      </c>
      <c r="AU4" s="118" t="inlineStr">
        <is>
          <t>Y4_M6</t>
        </is>
      </c>
      <c r="AV4" s="118" t="inlineStr">
        <is>
          <t>Y4_M7</t>
        </is>
      </c>
      <c r="AW4" s="118" t="inlineStr">
        <is>
          <t>Y4_M8</t>
        </is>
      </c>
      <c r="AX4" s="118" t="inlineStr">
        <is>
          <t>Y4_M9</t>
        </is>
      </c>
      <c r="AY4" s="118" t="inlineStr">
        <is>
          <t>Y4_M10</t>
        </is>
      </c>
      <c r="AZ4" s="118" t="inlineStr">
        <is>
          <t>Y4_M11</t>
        </is>
      </c>
      <c r="BA4" s="118" t="inlineStr">
        <is>
          <t>Y4_M12</t>
        </is>
      </c>
      <c r="BB4" s="118" t="inlineStr">
        <is>
          <t>Y5_M1</t>
        </is>
      </c>
      <c r="BC4" s="118" t="inlineStr">
        <is>
          <t>Y5_M2</t>
        </is>
      </c>
      <c r="BD4" s="118" t="inlineStr">
        <is>
          <t>Y5_M3</t>
        </is>
      </c>
      <c r="BE4" s="118" t="inlineStr">
        <is>
          <t>Y5_M4</t>
        </is>
      </c>
      <c r="BF4" s="118" t="inlineStr">
        <is>
          <t>Y5_M5</t>
        </is>
      </c>
      <c r="BG4" s="118" t="inlineStr">
        <is>
          <t>Y5_M6</t>
        </is>
      </c>
      <c r="BH4" s="118" t="inlineStr">
        <is>
          <t>Y5_M7</t>
        </is>
      </c>
      <c r="BI4" s="118" t="inlineStr">
        <is>
          <t>Y5_M8</t>
        </is>
      </c>
      <c r="BJ4" s="118" t="inlineStr">
        <is>
          <t>Y5_M9</t>
        </is>
      </c>
      <c r="BK4" s="118" t="inlineStr">
        <is>
          <t>Y5_M10</t>
        </is>
      </c>
      <c r="BL4" s="118" t="inlineStr">
        <is>
          <t>Y5_M11</t>
        </is>
      </c>
      <c r="BM4" s="118" t="inlineStr">
        <is>
          <t>Y5_M12</t>
        </is>
      </c>
      <c r="BN4" s="9" t="inlineStr">
        <is>
          <t>Y1</t>
        </is>
      </c>
      <c r="BO4" s="10" t="inlineStr">
        <is>
          <t>Y2</t>
        </is>
      </c>
      <c r="BP4" s="10" t="inlineStr">
        <is>
          <t>Y3</t>
        </is>
      </c>
      <c r="BQ4" s="10" t="inlineStr">
        <is>
          <t>Y4</t>
        </is>
      </c>
      <c r="BR4" s="10" t="inlineStr">
        <is>
          <t>Y5</t>
        </is>
      </c>
    </row>
    <row r="5">
      <c r="C5" s="80" t="inlineStr">
        <is>
          <t>売上</t>
        </is>
      </c>
      <c r="E5" s="79" t="n"/>
      <c r="F5" s="194">
        <f>(F11-F20)*F16*12</f>
        <v>0.0</v>
      </c>
      <c r="G5" s="194">
        <f>(G11-G20)*G16*12</f>
        <v>28812.0</v>
      </c>
      <c r="H5" s="194">
        <f>(H11-H20)*H16*12</f>
        <v>158466.0</v>
      </c>
      <c r="I5" s="194">
        <f>(I11-I20)*I16*12</f>
        <v>288120.0</v>
      </c>
      <c r="J5" s="194">
        <f>(J11-J20)*J16*12</f>
        <v>403368.0</v>
      </c>
      <c r="K5" s="194">
        <f>(K11-K20)*K16*12</f>
        <v>547428.0</v>
      </c>
      <c r="L5" s="194">
        <f>(L11-L20)*L16*12</f>
        <v>691488.0</v>
      </c>
      <c r="M5" s="194">
        <f>(M11-M20)*M16*12</f>
        <v>835548.0</v>
      </c>
      <c r="N5" s="194">
        <f>(N11-N20)*N16*12</f>
        <v>1008420.0</v>
      </c>
      <c r="O5" s="194">
        <f>(O11-O20)*O16*12</f>
        <v>1166886.0</v>
      </c>
      <c r="P5" s="194">
        <f>(P11-P20)*P16*12</f>
        <v>1325352.0</v>
      </c>
      <c r="Q5" s="194">
        <f>(Q11-Q20)*Q16*12</f>
        <v>1512630.0</v>
      </c>
      <c r="R5" s="195">
        <f>(R11-R20)*R16*12</f>
        <v>1685502.0</v>
      </c>
      <c r="S5" s="194">
        <f>(S11-S20)*S16*12</f>
        <v>1858374.0</v>
      </c>
      <c r="T5" s="194">
        <f>(T11-T20)*T16*12</f>
        <v>2060058.0</v>
      </c>
      <c r="U5" s="194">
        <f>(U11-U20)*U16*12</f>
        <v>2247336.0</v>
      </c>
      <c r="V5" s="194">
        <f>(V11-V20)*V16*12</f>
        <v>2434614.0</v>
      </c>
      <c r="W5" s="194">
        <f>(W11-W20)*W16*12</f>
        <v>2650704.0</v>
      </c>
      <c r="X5" s="194">
        <f>(X11-X20)*X16*12</f>
        <v>2852388.0</v>
      </c>
      <c r="Y5" s="194">
        <f>(Y11-Y20)*Y16*12</f>
        <v>3054072.0</v>
      </c>
      <c r="Z5" s="194">
        <f>(Z11-Z20)*Z16*12</f>
        <v>3284568.0</v>
      </c>
      <c r="AA5" s="194">
        <f>(AA11-AA20)*AA16*12</f>
        <v>3500658.0</v>
      </c>
      <c r="AB5" s="194">
        <f>(AB11-AB20)*AB16*12</f>
        <v>3716748.0</v>
      </c>
      <c r="AC5" s="194">
        <f>(AC11-AC20)*AC16*12</f>
        <v>3947244.0</v>
      </c>
      <c r="AD5" s="194">
        <f>(AD11-AD20)*AD16*12</f>
        <v>4228014.0</v>
      </c>
      <c r="AE5" s="194">
        <f>(AE11-AE20)*AE16*12</f>
        <v>4474165.5</v>
      </c>
      <c r="AF5" s="194">
        <f>(AF11-AF20)*AF16*12</f>
        <v>4749276.0</v>
      </c>
      <c r="AG5" s="194">
        <f>(AG11-AG20)*AG16*12</f>
        <v>5009907.0</v>
      </c>
      <c r="AH5" s="194">
        <f>(AH11-AH20)*AH16*12</f>
        <v>5285017.5</v>
      </c>
      <c r="AI5" s="194">
        <f>(AI11-AI20)*AI16*12</f>
        <v>5560128.0</v>
      </c>
      <c r="AJ5" s="194">
        <f>(AJ11-AJ20)*AJ16*12</f>
        <v>5849718.0</v>
      </c>
      <c r="AK5" s="194">
        <f>(AK11-AK20)*AK16*12</f>
        <v>6124828.5</v>
      </c>
      <c r="AL5" s="194">
        <f>(AL11-AL20)*AL16*12</f>
        <v>6428898.0</v>
      </c>
      <c r="AM5" s="194">
        <f>(AM11-AM20)*AM16*12</f>
        <v>6718488.0</v>
      </c>
      <c r="AN5" s="194">
        <f>(AN11-AN20)*AN16*12</f>
        <v>7008078.0</v>
      </c>
      <c r="AO5" s="194">
        <f>(AO11-AO20)*AO16*12</f>
        <v>7326627.0</v>
      </c>
      <c r="AP5" s="194">
        <f>(AP11-AP20)*AP16*12</f>
        <v>7630696.5</v>
      </c>
      <c r="AQ5" s="194">
        <f>(AQ11-AQ20)*AQ16*12</f>
        <v>7934766.0</v>
      </c>
      <c r="AR5" s="194">
        <f>(AR11-AR20)*AR16*12</f>
        <v>8253315.0</v>
      </c>
      <c r="AS5" s="194">
        <f>(AS11-AS20)*AS16*12</f>
        <v>8571864.0</v>
      </c>
      <c r="AT5" s="194">
        <f>(AT11-AT20)*AT16*12</f>
        <v>8890413.0</v>
      </c>
      <c r="AU5" s="194">
        <f>(AU11-AU20)*AU16*12</f>
        <v>9223441.5</v>
      </c>
      <c r="AV5" s="194">
        <f>(AV11-AV20)*AV16*12</f>
        <v>9556470.0</v>
      </c>
      <c r="AW5" s="194">
        <f>(AW11-AW20)*AW16*12</f>
        <v>9889498.5</v>
      </c>
      <c r="AX5" s="194">
        <f>(AX11-AX20)*AX16*12</f>
        <v>10237006.5</v>
      </c>
      <c r="AY5" s="194">
        <f>(AY11-AY20)*AY16*12</f>
        <v>10570035.0</v>
      </c>
      <c r="AZ5" s="194">
        <f>(AZ11-AZ20)*AZ16*12</f>
        <v>10917543.0</v>
      </c>
      <c r="BA5" s="194">
        <f>(BA11-BA20)*BA16*12</f>
        <v>11265051.0</v>
      </c>
      <c r="BB5" s="194">
        <f>(BB11-BB20)*BB16*12</f>
        <v>11744271.0</v>
      </c>
      <c r="BC5" s="194">
        <f>(BC11-BC20)*BC16*12</f>
        <v>12151755.0</v>
      </c>
      <c r="BD5" s="194">
        <f>(BD11-BD20)*BD16*12</f>
        <v>12573792.0</v>
      </c>
      <c r="BE5" s="194">
        <f>(BE11-BE20)*BE16*12</f>
        <v>12995829.0</v>
      </c>
      <c r="BF5" s="194">
        <f>(BF11-BF20)*BF16*12</f>
        <v>13417866.0</v>
      </c>
      <c r="BG5" s="194">
        <f>(BG11-BG20)*BG16*12</f>
        <v>13869009.0</v>
      </c>
      <c r="BH5" s="194">
        <f>(BH11-BH20)*BH16*12</f>
        <v>14305599.0</v>
      </c>
      <c r="BI5" s="194">
        <f>(BI11-BI20)*BI16*12</f>
        <v>14742189.0</v>
      </c>
      <c r="BJ5" s="194">
        <f>(BJ11-BJ20)*BJ16*12</f>
        <v>15193332.0</v>
      </c>
      <c r="BK5" s="194">
        <f>(BK11-BK20)*BK16*12</f>
        <v>15644475.0</v>
      </c>
      <c r="BL5" s="194">
        <f>(BL11-BL20)*BL16*12</f>
        <v>16095618.0</v>
      </c>
      <c r="BM5" s="194">
        <f>(BM11-BM20)*BM16*12</f>
        <v>16561314.0</v>
      </c>
      <c r="BN5" s="196">
        <f>(BN11-BN20)*BN16*12</f>
        <v>1380918.0</v>
      </c>
      <c r="BO5" s="197">
        <f>(BO11-BO20)*BO16*12</f>
        <v>3348366.0</v>
      </c>
      <c r="BP5" s="197">
        <f>(BP11-BP20)*BP16*12</f>
        <v>6391045.5</v>
      </c>
      <c r="BQ5" s="197">
        <f>(BQ11-BQ20)*BQ16*12</f>
        <v>9716700.0</v>
      </c>
      <c r="BR5" s="197">
        <f>(BR11-BR20)*BR16*12</f>
        <v>15018549.0</v>
      </c>
    </row>
    <row r="6">
      <c r="C6" s="0" t="inlineStr">
        <is>
          <t>顧問先</t>
        </is>
      </c>
      <c r="D6" s="79" t="n"/>
      <c r="E6" s="79" t="n"/>
      <c r="F6" s="81">
        <f>35*F18</f>
        <v>0.0</v>
      </c>
      <c r="G6" s="81">
        <f>35*G18</f>
        <v>70.0</v>
      </c>
      <c r="H6" s="81">
        <f>35*H18</f>
        <v>385.0</v>
      </c>
      <c r="I6" s="81">
        <f>35*I18</f>
        <v>700.0</v>
      </c>
      <c r="J6" s="81">
        <f>35*J18</f>
        <v>980.0</v>
      </c>
      <c r="K6" s="81">
        <f>35*K18</f>
        <v>1330.0</v>
      </c>
      <c r="L6" s="81">
        <f>35*L18</f>
        <v>1680.0</v>
      </c>
      <c r="M6" s="81">
        <f>35*M18</f>
        <v>2030.0</v>
      </c>
      <c r="N6" s="81">
        <f>35*N18</f>
        <v>2450.0</v>
      </c>
      <c r="O6" s="81">
        <f>35*O18</f>
        <v>2835.0</v>
      </c>
      <c r="P6" s="81">
        <f>35*P18</f>
        <v>3220.0</v>
      </c>
      <c r="Q6" s="81">
        <f>35*Q18</f>
        <v>3675.0</v>
      </c>
      <c r="R6" s="82">
        <f>35*R18</f>
        <v>4095.0</v>
      </c>
      <c r="S6" s="81">
        <f>35*S18</f>
        <v>4515.0</v>
      </c>
      <c r="T6" s="81">
        <f>35*T18</f>
        <v>5005.0</v>
      </c>
      <c r="U6" s="81">
        <f>35*U18</f>
        <v>5460.0</v>
      </c>
      <c r="V6" s="81">
        <f>35*V18</f>
        <v>5915.0</v>
      </c>
      <c r="W6" s="81">
        <f>35*W18</f>
        <v>6440.0</v>
      </c>
      <c r="X6" s="81">
        <f>35*X18</f>
        <v>6930.0</v>
      </c>
      <c r="Y6" s="81">
        <f>35*Y18</f>
        <v>7420.0</v>
      </c>
      <c r="Z6" s="81">
        <f>35*Z18</f>
        <v>7980.0</v>
      </c>
      <c r="AA6" s="81">
        <f>35*AA18</f>
        <v>8505.0</v>
      </c>
      <c r="AB6" s="81">
        <f>35*AB18</f>
        <v>9030.0</v>
      </c>
      <c r="AC6" s="81">
        <f>35*AC18</f>
        <v>9590.0</v>
      </c>
      <c r="AD6" s="81">
        <f>35*AD18</f>
        <v>10220.0</v>
      </c>
      <c r="AE6" s="81">
        <f>35*AE18</f>
        <v>10815.0</v>
      </c>
      <c r="AF6" s="81">
        <f>35*AF18</f>
        <v>11480.0</v>
      </c>
      <c r="AG6" s="81">
        <f>35*AG18</f>
        <v>12110.0</v>
      </c>
      <c r="AH6" s="81">
        <f>35*AH18</f>
        <v>12775.0</v>
      </c>
      <c r="AI6" s="81">
        <f>35*AI18</f>
        <v>13440.0</v>
      </c>
      <c r="AJ6" s="81">
        <f>35*AJ18</f>
        <v>14140.0</v>
      </c>
      <c r="AK6" s="81">
        <f>35*AK18</f>
        <v>14805.0</v>
      </c>
      <c r="AL6" s="81">
        <f>35*AL18</f>
        <v>15540.0</v>
      </c>
      <c r="AM6" s="81">
        <f>35*AM18</f>
        <v>16240.0</v>
      </c>
      <c r="AN6" s="81">
        <f>35*AN18</f>
        <v>16940.0</v>
      </c>
      <c r="AO6" s="81">
        <f>35*AO18</f>
        <v>17710.0</v>
      </c>
      <c r="AP6" s="81">
        <f>35*AP18</f>
        <v>18445.0</v>
      </c>
      <c r="AQ6" s="81">
        <f>35*AQ18</f>
        <v>19180.0</v>
      </c>
      <c r="AR6" s="81">
        <f>35*AR18</f>
        <v>19950.0</v>
      </c>
      <c r="AS6" s="81">
        <f>35*AS18</f>
        <v>20720.0</v>
      </c>
      <c r="AT6" s="81">
        <f>35*AT18</f>
        <v>21490.0</v>
      </c>
      <c r="AU6" s="81">
        <f>35*AU18</f>
        <v>22295.0</v>
      </c>
      <c r="AV6" s="81">
        <f>35*AV18</f>
        <v>23100.0</v>
      </c>
      <c r="AW6" s="81">
        <f>35*AW18</f>
        <v>23905.0</v>
      </c>
      <c r="AX6" s="81">
        <f>35*AX18</f>
        <v>24745.0</v>
      </c>
      <c r="AY6" s="81">
        <f>35*AY18</f>
        <v>25550.0</v>
      </c>
      <c r="AZ6" s="81">
        <f>35*AZ18</f>
        <v>26390.0</v>
      </c>
      <c r="BA6" s="81">
        <f>35*BA18</f>
        <v>27230.0</v>
      </c>
      <c r="BB6" s="81">
        <f>35*BB18</f>
        <v>28245.0</v>
      </c>
      <c r="BC6" s="81">
        <f>35*BC18</f>
        <v>29225.0</v>
      </c>
      <c r="BD6" s="81">
        <f>35*BD18</f>
        <v>30240.0</v>
      </c>
      <c r="BE6" s="81">
        <f>35*BE18</f>
        <v>31255.0</v>
      </c>
      <c r="BF6" s="81">
        <f>35*BF18</f>
        <v>32270.0</v>
      </c>
      <c r="BG6" s="81">
        <f>35*BG18</f>
        <v>33355.0</v>
      </c>
      <c r="BH6" s="81">
        <f>35*BH18</f>
        <v>34405.0</v>
      </c>
      <c r="BI6" s="81">
        <f>35*BI18</f>
        <v>35455.0</v>
      </c>
      <c r="BJ6" s="81">
        <f>35*BJ18</f>
        <v>36540.0</v>
      </c>
      <c r="BK6" s="81">
        <f>35*BK18</f>
        <v>37625.0</v>
      </c>
      <c r="BL6" s="81">
        <f>35*BL18</f>
        <v>38710.0</v>
      </c>
      <c r="BM6" s="81">
        <f>35*BM18</f>
        <v>39830.0</v>
      </c>
      <c r="BN6" s="96">
        <f>35*BN18</f>
        <v>3675.0</v>
      </c>
      <c r="BO6" s="81">
        <f>35*BO18</f>
        <v>9590.0</v>
      </c>
      <c r="BP6" s="81">
        <f>35*BP18</f>
        <v>17710.0</v>
      </c>
      <c r="BQ6" s="81">
        <f>35*BQ18</f>
        <v>27230.0</v>
      </c>
      <c r="BR6" s="81">
        <f>35*BR18</f>
        <v>39830.0</v>
      </c>
    </row>
    <row r="7">
      <c r="C7" s="0" t="inlineStr">
        <is>
          <t>電力コスト大・切替メリットあり割合</t>
        </is>
      </c>
      <c r="D7" s="0" t="inlineStr">
        <is>
          <t>検出＝決算書の水道光熱費が売上比大（製造・飲食・介護等）。推定</t>
        </is>
      </c>
      <c r="E7" s="79" t="n"/>
      <c r="F7" s="0" t="n">
        <v>0.4</v>
      </c>
      <c r="G7" s="0" t="n">
        <v>0.4</v>
      </c>
      <c r="H7" s="0" t="n">
        <v>0.4</v>
      </c>
      <c r="I7" s="0" t="n">
        <v>0.4</v>
      </c>
      <c r="J7" s="0" t="n">
        <v>0.4</v>
      </c>
      <c r="K7" s="0" t="n">
        <v>0.4</v>
      </c>
      <c r="L7" s="0" t="n">
        <v>0.4</v>
      </c>
      <c r="M7" s="0" t="n">
        <v>0.4</v>
      </c>
      <c r="N7" s="0" t="n">
        <v>0.4</v>
      </c>
      <c r="O7" s="0" t="n">
        <v>0.4</v>
      </c>
      <c r="P7" s="0" t="n">
        <v>0.4</v>
      </c>
      <c r="Q7" s="0" t="n">
        <v>0.4</v>
      </c>
      <c r="R7" s="83" t="n">
        <v>0.4</v>
      </c>
      <c r="S7" s="0" t="n">
        <v>0.4</v>
      </c>
      <c r="T7" s="0" t="n">
        <v>0.4</v>
      </c>
      <c r="U7" s="0" t="n">
        <v>0.4</v>
      </c>
      <c r="V7" s="0" t="n">
        <v>0.4</v>
      </c>
      <c r="W7" s="0" t="n">
        <v>0.4</v>
      </c>
      <c r="X7" s="0" t="n">
        <v>0.4</v>
      </c>
      <c r="Y7" s="0" t="n">
        <v>0.4</v>
      </c>
      <c r="Z7" s="0" t="n">
        <v>0.4</v>
      </c>
      <c r="AA7" s="0" t="n">
        <v>0.4</v>
      </c>
      <c r="AB7" s="0" t="n">
        <v>0.4</v>
      </c>
      <c r="AC7" s="0" t="n">
        <v>0.4</v>
      </c>
      <c r="AD7" s="0" t="n">
        <v>0.4</v>
      </c>
      <c r="AE7" s="0" t="n">
        <v>0.4</v>
      </c>
      <c r="AF7" s="0" t="n">
        <v>0.4</v>
      </c>
      <c r="AG7" s="0" t="n">
        <v>0.4</v>
      </c>
      <c r="AH7" s="0" t="n">
        <v>0.4</v>
      </c>
      <c r="AI7" s="0" t="n">
        <v>0.4</v>
      </c>
      <c r="AJ7" s="0" t="n">
        <v>0.4</v>
      </c>
      <c r="AK7" s="0" t="n">
        <v>0.4</v>
      </c>
      <c r="AL7" s="0" t="n">
        <v>0.4</v>
      </c>
      <c r="AM7" s="0" t="n">
        <v>0.4</v>
      </c>
      <c r="AN7" s="0" t="n">
        <v>0.4</v>
      </c>
      <c r="AO7" s="0" t="n">
        <v>0.4</v>
      </c>
      <c r="AP7" s="0" t="n">
        <v>0.4</v>
      </c>
      <c r="AQ7" s="0" t="n">
        <v>0.4</v>
      </c>
      <c r="AR7" s="0" t="n">
        <v>0.4</v>
      </c>
      <c r="AS7" s="0" t="n">
        <v>0.4</v>
      </c>
      <c r="AT7" s="0" t="n">
        <v>0.4</v>
      </c>
      <c r="AU7" s="0" t="n">
        <v>0.4</v>
      </c>
      <c r="AV7" s="0" t="n">
        <v>0.4</v>
      </c>
      <c r="AW7" s="0" t="n">
        <v>0.4</v>
      </c>
      <c r="AX7" s="0" t="n">
        <v>0.4</v>
      </c>
      <c r="AY7" s="0" t="n">
        <v>0.4</v>
      </c>
      <c r="AZ7" s="0" t="n">
        <v>0.4</v>
      </c>
      <c r="BA7" s="0" t="n">
        <v>0.4</v>
      </c>
      <c r="BB7" s="0" t="n">
        <v>0.4</v>
      </c>
      <c r="BC7" s="0" t="n">
        <v>0.4</v>
      </c>
      <c r="BD7" s="0" t="n">
        <v>0.4</v>
      </c>
      <c r="BE7" s="0" t="n">
        <v>0.4</v>
      </c>
      <c r="BF7" s="0" t="n">
        <v>0.4</v>
      </c>
      <c r="BG7" s="0" t="n">
        <v>0.4</v>
      </c>
      <c r="BH7" s="0" t="n">
        <v>0.4</v>
      </c>
      <c r="BI7" s="0" t="n">
        <v>0.4</v>
      </c>
      <c r="BJ7" s="0" t="n">
        <v>0.4</v>
      </c>
      <c r="BK7" s="0" t="n">
        <v>0.4</v>
      </c>
      <c r="BL7" s="0" t="n">
        <v>0.4</v>
      </c>
      <c r="BM7" s="0" t="n">
        <v>0.4</v>
      </c>
      <c r="BN7" s="96" t="n">
        <v>0.4</v>
      </c>
      <c r="BO7" s="0" t="n">
        <v>0.4</v>
      </c>
      <c r="BP7" s="0" t="n">
        <v>0.4</v>
      </c>
      <c r="BQ7" s="0" t="n">
        <v>0.4</v>
      </c>
      <c r="BR7" s="0" t="n">
        <v>0.4</v>
      </c>
    </row>
    <row r="8">
      <c r="C8" s="0" t="inlineStr">
        <is>
          <t>税理士 ➡ 企業提案</t>
        </is>
      </c>
      <c r="D8" s="0" t="inlineStr">
        <is>
          <t>工事なし・書類1枚・削減額は請求書で確定＝提案しやすい。推定</t>
        </is>
      </c>
      <c r="E8" s="79" t="n"/>
      <c r="F8" s="0" t="n">
        <v>0.5</v>
      </c>
      <c r="G8" s="0" t="n">
        <v>0.5</v>
      </c>
      <c r="H8" s="0" t="n">
        <v>0.5</v>
      </c>
      <c r="I8" s="0" t="n">
        <v>0.5</v>
      </c>
      <c r="J8" s="0" t="n">
        <v>0.5</v>
      </c>
      <c r="K8" s="0" t="n">
        <v>0.5</v>
      </c>
      <c r="L8" s="0" t="n">
        <v>0.5</v>
      </c>
      <c r="M8" s="0" t="n">
        <v>0.5</v>
      </c>
      <c r="N8" s="0" t="n">
        <v>0.5</v>
      </c>
      <c r="O8" s="0" t="n">
        <v>0.5</v>
      </c>
      <c r="P8" s="0" t="n">
        <v>0.5</v>
      </c>
      <c r="Q8" s="0" t="n">
        <v>0.5</v>
      </c>
      <c r="R8" s="83" t="n">
        <v>0.5</v>
      </c>
      <c r="S8" s="0" t="n">
        <v>0.5</v>
      </c>
      <c r="T8" s="0" t="n">
        <v>0.5</v>
      </c>
      <c r="U8" s="0" t="n">
        <v>0.5</v>
      </c>
      <c r="V8" s="0" t="n">
        <v>0.5</v>
      </c>
      <c r="W8" s="0" t="n">
        <v>0.5</v>
      </c>
      <c r="X8" s="0" t="n">
        <v>0.5</v>
      </c>
      <c r="Y8" s="0" t="n">
        <v>0.5</v>
      </c>
      <c r="Z8" s="0" t="n">
        <v>0.5</v>
      </c>
      <c r="AA8" s="0" t="n">
        <v>0.5</v>
      </c>
      <c r="AB8" s="0" t="n">
        <v>0.5</v>
      </c>
      <c r="AC8" s="0" t="n">
        <v>0.5</v>
      </c>
      <c r="AD8" s="0" t="n">
        <v>0.5</v>
      </c>
      <c r="AE8" s="0" t="n">
        <v>0.5</v>
      </c>
      <c r="AF8" s="0" t="n">
        <v>0.5</v>
      </c>
      <c r="AG8" s="0" t="n">
        <v>0.5</v>
      </c>
      <c r="AH8" s="0" t="n">
        <v>0.5</v>
      </c>
      <c r="AI8" s="0" t="n">
        <v>0.5</v>
      </c>
      <c r="AJ8" s="0" t="n">
        <v>0.5</v>
      </c>
      <c r="AK8" s="0" t="n">
        <v>0.5</v>
      </c>
      <c r="AL8" s="0" t="n">
        <v>0.5</v>
      </c>
      <c r="AM8" s="0" t="n">
        <v>0.5</v>
      </c>
      <c r="AN8" s="0" t="n">
        <v>0.5</v>
      </c>
      <c r="AO8" s="0" t="n">
        <v>0.5</v>
      </c>
      <c r="AP8" s="0" t="n">
        <v>0.5</v>
      </c>
      <c r="AQ8" s="0" t="n">
        <v>0.5</v>
      </c>
      <c r="AR8" s="0" t="n">
        <v>0.5</v>
      </c>
      <c r="AS8" s="0" t="n">
        <v>0.5</v>
      </c>
      <c r="AT8" s="0" t="n">
        <v>0.5</v>
      </c>
      <c r="AU8" s="0" t="n">
        <v>0.5</v>
      </c>
      <c r="AV8" s="0" t="n">
        <v>0.5</v>
      </c>
      <c r="AW8" s="0" t="n">
        <v>0.5</v>
      </c>
      <c r="AX8" s="0" t="n">
        <v>0.5</v>
      </c>
      <c r="AY8" s="0" t="n">
        <v>0.5</v>
      </c>
      <c r="AZ8" s="0" t="n">
        <v>0.5</v>
      </c>
      <c r="BA8" s="0" t="n">
        <v>0.5</v>
      </c>
      <c r="BB8" s="0" t="n">
        <v>0.5</v>
      </c>
      <c r="BC8" s="0" t="n">
        <v>0.5</v>
      </c>
      <c r="BD8" s="0" t="n">
        <v>0.5</v>
      </c>
      <c r="BE8" s="0" t="n">
        <v>0.5</v>
      </c>
      <c r="BF8" s="0" t="n">
        <v>0.5</v>
      </c>
      <c r="BG8" s="0" t="n">
        <v>0.5</v>
      </c>
      <c r="BH8" s="0" t="n">
        <v>0.5</v>
      </c>
      <c r="BI8" s="0" t="n">
        <v>0.5</v>
      </c>
      <c r="BJ8" s="0" t="n">
        <v>0.5</v>
      </c>
      <c r="BK8" s="0" t="n">
        <v>0.5</v>
      </c>
      <c r="BL8" s="0" t="n">
        <v>0.5</v>
      </c>
      <c r="BM8" s="0" t="n">
        <v>0.5</v>
      </c>
      <c r="BN8" s="96" t="n">
        <v>0.5</v>
      </c>
      <c r="BO8" s="0" t="n">
        <v>0.5</v>
      </c>
      <c r="BP8" s="0" t="n">
        <v>0.5</v>
      </c>
      <c r="BQ8" s="0" t="n">
        <v>0.5</v>
      </c>
      <c r="BR8" s="0" t="n">
        <v>0.5</v>
      </c>
    </row>
    <row r="9">
      <c r="C9" s="0" t="inlineStr">
        <is>
          <t>受注率</t>
        </is>
      </c>
      <c r="D9" s="0" t="inlineStr">
        <is>
          <t>推定</t>
        </is>
      </c>
      <c r="E9" s="79" t="n"/>
      <c r="F9" s="81" t="n">
        <v>0.5</v>
      </c>
      <c r="G9" s="81" t="n">
        <v>0.5</v>
      </c>
      <c r="H9" s="81" t="n">
        <v>0.5</v>
      </c>
      <c r="I9" s="81" t="n">
        <v>0.5</v>
      </c>
      <c r="J9" s="81" t="n">
        <v>0.5</v>
      </c>
      <c r="K9" s="81" t="n">
        <v>0.5</v>
      </c>
      <c r="L9" s="81" t="n">
        <v>0.5</v>
      </c>
      <c r="M9" s="81" t="n">
        <v>0.5</v>
      </c>
      <c r="N9" s="81" t="n">
        <v>0.5</v>
      </c>
      <c r="O9" s="81" t="n">
        <v>0.5</v>
      </c>
      <c r="P9" s="81" t="n">
        <v>0.5</v>
      </c>
      <c r="Q9" s="81" t="n">
        <v>0.5</v>
      </c>
      <c r="R9" s="82" t="n">
        <v>0.5</v>
      </c>
      <c r="S9" s="81" t="n">
        <v>0.5</v>
      </c>
      <c r="T9" s="81" t="n">
        <v>0.5</v>
      </c>
      <c r="U9" s="81" t="n">
        <v>0.5</v>
      </c>
      <c r="V9" s="81" t="n">
        <v>0.5</v>
      </c>
      <c r="W9" s="81" t="n">
        <v>0.5</v>
      </c>
      <c r="X9" s="81" t="n">
        <v>0.5</v>
      </c>
      <c r="Y9" s="81" t="n">
        <v>0.5</v>
      </c>
      <c r="Z9" s="81" t="n">
        <v>0.5</v>
      </c>
      <c r="AA9" s="81" t="n">
        <v>0.5</v>
      </c>
      <c r="AB9" s="81" t="n">
        <v>0.5</v>
      </c>
      <c r="AC9" s="81" t="n">
        <v>0.5</v>
      </c>
      <c r="AD9" s="81" t="n">
        <v>0.5</v>
      </c>
      <c r="AE9" s="81" t="n">
        <v>0.5</v>
      </c>
      <c r="AF9" s="81" t="n">
        <v>0.5</v>
      </c>
      <c r="AG9" s="81" t="n">
        <v>0.5</v>
      </c>
      <c r="AH9" s="81" t="n">
        <v>0.5</v>
      </c>
      <c r="AI9" s="81" t="n">
        <v>0.5</v>
      </c>
      <c r="AJ9" s="81" t="n">
        <v>0.5</v>
      </c>
      <c r="AK9" s="81" t="n">
        <v>0.5</v>
      </c>
      <c r="AL9" s="81" t="n">
        <v>0.5</v>
      </c>
      <c r="AM9" s="81" t="n">
        <v>0.5</v>
      </c>
      <c r="AN9" s="81" t="n">
        <v>0.5</v>
      </c>
      <c r="AO9" s="81" t="n">
        <v>0.5</v>
      </c>
      <c r="AP9" s="81" t="n">
        <v>0.5</v>
      </c>
      <c r="AQ9" s="81" t="n">
        <v>0.5</v>
      </c>
      <c r="AR9" s="81" t="n">
        <v>0.5</v>
      </c>
      <c r="AS9" s="81" t="n">
        <v>0.5</v>
      </c>
      <c r="AT9" s="81" t="n">
        <v>0.5</v>
      </c>
      <c r="AU9" s="81" t="n">
        <v>0.5</v>
      </c>
      <c r="AV9" s="81" t="n">
        <v>0.5</v>
      </c>
      <c r="AW9" s="81" t="n">
        <v>0.5</v>
      </c>
      <c r="AX9" s="81" t="n">
        <v>0.5</v>
      </c>
      <c r="AY9" s="81" t="n">
        <v>0.5</v>
      </c>
      <c r="AZ9" s="81" t="n">
        <v>0.5</v>
      </c>
      <c r="BA9" s="81" t="n">
        <v>0.5</v>
      </c>
      <c r="BB9" s="81" t="n">
        <v>0.5</v>
      </c>
      <c r="BC9" s="81" t="n">
        <v>0.5</v>
      </c>
      <c r="BD9" s="81" t="n">
        <v>0.5</v>
      </c>
      <c r="BE9" s="81" t="n">
        <v>0.5</v>
      </c>
      <c r="BF9" s="81" t="n">
        <v>0.5</v>
      </c>
      <c r="BG9" s="81" t="n">
        <v>0.5</v>
      </c>
      <c r="BH9" s="81" t="n">
        <v>0.5</v>
      </c>
      <c r="BI9" s="81" t="n">
        <v>0.5</v>
      </c>
      <c r="BJ9" s="81" t="n">
        <v>0.5</v>
      </c>
      <c r="BK9" s="81" t="n">
        <v>0.5</v>
      </c>
      <c r="BL9" s="81" t="n">
        <v>0.5</v>
      </c>
      <c r="BM9" s="81" t="n">
        <v>0.5</v>
      </c>
      <c r="BN9" s="96" t="n">
        <v>0.5</v>
      </c>
      <c r="BO9" s="81" t="n">
        <v>0.5</v>
      </c>
      <c r="BP9" s="81" t="n">
        <v>0.5</v>
      </c>
      <c r="BQ9" s="81" t="n">
        <v>0.5</v>
      </c>
      <c r="BR9" s="81" t="n">
        <v>0.5</v>
      </c>
    </row>
    <row r="10">
      <c r="C10" s="0" t="inlineStr">
        <is>
          <t>定常浸透率</t>
        </is>
      </c>
      <c r="D10" s="0" t="inlineStr">
        <is>
          <t>導入後の継続利用率。推定</t>
        </is>
      </c>
      <c r="E10" s="79" t="n"/>
      <c r="F10" s="0" t="n">
        <v>0.7</v>
      </c>
      <c r="G10" s="0" t="n">
        <v>0.7</v>
      </c>
      <c r="H10" s="0" t="n">
        <v>0.7</v>
      </c>
      <c r="I10" s="0" t="n">
        <v>0.7</v>
      </c>
      <c r="J10" s="0" t="n">
        <v>0.7</v>
      </c>
      <c r="K10" s="0" t="n">
        <v>0.7</v>
      </c>
      <c r="L10" s="0" t="n">
        <v>0.7</v>
      </c>
      <c r="M10" s="0" t="n">
        <v>0.7</v>
      </c>
      <c r="N10" s="0" t="n">
        <v>0.7</v>
      </c>
      <c r="O10" s="0" t="n">
        <v>0.7</v>
      </c>
      <c r="P10" s="0" t="n">
        <v>0.7</v>
      </c>
      <c r="Q10" s="0" t="n">
        <v>0.7</v>
      </c>
      <c r="R10" s="83" t="n">
        <v>0.7</v>
      </c>
      <c r="S10" s="0" t="n">
        <v>0.7</v>
      </c>
      <c r="T10" s="0" t="n">
        <v>0.7</v>
      </c>
      <c r="U10" s="0" t="n">
        <v>0.7</v>
      </c>
      <c r="V10" s="0" t="n">
        <v>0.7</v>
      </c>
      <c r="W10" s="0" t="n">
        <v>0.7</v>
      </c>
      <c r="X10" s="0" t="n">
        <v>0.7</v>
      </c>
      <c r="Y10" s="0" t="n">
        <v>0.7</v>
      </c>
      <c r="Z10" s="0" t="n">
        <v>0.7</v>
      </c>
      <c r="AA10" s="0" t="n">
        <v>0.7</v>
      </c>
      <c r="AB10" s="0" t="n">
        <v>0.7</v>
      </c>
      <c r="AC10" s="0" t="n">
        <v>0.7</v>
      </c>
      <c r="AD10" s="0" t="n">
        <v>0.7</v>
      </c>
      <c r="AE10" s="0" t="n">
        <v>0.7</v>
      </c>
      <c r="AF10" s="0" t="n">
        <v>0.7</v>
      </c>
      <c r="AG10" s="0" t="n">
        <v>0.7</v>
      </c>
      <c r="AH10" s="0" t="n">
        <v>0.7</v>
      </c>
      <c r="AI10" s="0" t="n">
        <v>0.7</v>
      </c>
      <c r="AJ10" s="0" t="n">
        <v>0.7</v>
      </c>
      <c r="AK10" s="0" t="n">
        <v>0.7</v>
      </c>
      <c r="AL10" s="0" t="n">
        <v>0.7</v>
      </c>
      <c r="AM10" s="0" t="n">
        <v>0.7</v>
      </c>
      <c r="AN10" s="0" t="n">
        <v>0.7</v>
      </c>
      <c r="AO10" s="0" t="n">
        <v>0.7</v>
      </c>
      <c r="AP10" s="0" t="n">
        <v>0.7</v>
      </c>
      <c r="AQ10" s="0" t="n">
        <v>0.7</v>
      </c>
      <c r="AR10" s="0" t="n">
        <v>0.7</v>
      </c>
      <c r="AS10" s="0" t="n">
        <v>0.7</v>
      </c>
      <c r="AT10" s="0" t="n">
        <v>0.7</v>
      </c>
      <c r="AU10" s="0" t="n">
        <v>0.7</v>
      </c>
      <c r="AV10" s="0" t="n">
        <v>0.7</v>
      </c>
      <c r="AW10" s="0" t="n">
        <v>0.7</v>
      </c>
      <c r="AX10" s="0" t="n">
        <v>0.7</v>
      </c>
      <c r="AY10" s="0" t="n">
        <v>0.7</v>
      </c>
      <c r="AZ10" s="0" t="n">
        <v>0.7</v>
      </c>
      <c r="BA10" s="0" t="n">
        <v>0.7</v>
      </c>
      <c r="BB10" s="0" t="n">
        <v>0.7</v>
      </c>
      <c r="BC10" s="0" t="n">
        <v>0.7</v>
      </c>
      <c r="BD10" s="0" t="n">
        <v>0.7</v>
      </c>
      <c r="BE10" s="0" t="n">
        <v>0.7</v>
      </c>
      <c r="BF10" s="0" t="n">
        <v>0.7</v>
      </c>
      <c r="BG10" s="0" t="n">
        <v>0.7</v>
      </c>
      <c r="BH10" s="0" t="n">
        <v>0.7</v>
      </c>
      <c r="BI10" s="0" t="n">
        <v>0.7</v>
      </c>
      <c r="BJ10" s="0" t="n">
        <v>0.7</v>
      </c>
      <c r="BK10" s="0" t="n">
        <v>0.7</v>
      </c>
      <c r="BL10" s="0" t="n">
        <v>0.7</v>
      </c>
      <c r="BM10" s="0" t="n">
        <v>0.7</v>
      </c>
      <c r="BN10" s="96" t="n">
        <v>0.7</v>
      </c>
      <c r="BO10" s="0" t="n">
        <v>0.7</v>
      </c>
      <c r="BP10" s="0" t="n">
        <v>0.7</v>
      </c>
      <c r="BQ10" s="0" t="n">
        <v>0.7</v>
      </c>
      <c r="BR10" s="0" t="n">
        <v>0.7</v>
      </c>
    </row>
    <row r="11">
      <c r="C11" s="0" t="inlineStr">
        <is>
          <t>１税理士 / 受注数（定常）</t>
        </is>
      </c>
      <c r="D11" s="79" t="n"/>
      <c r="E11" s="79" t="n"/>
      <c r="F11" s="0">
        <f>F6*F7*F8*F9*F10</f>
        <v>0.0</v>
      </c>
      <c r="G11" s="0">
        <f>G6*G7*G8*G9*G10</f>
        <v>4.9</v>
      </c>
      <c r="H11" s="0">
        <f>H6*H7*H8*H9*H10</f>
        <v>26.95</v>
      </c>
      <c r="I11" s="0">
        <f>I6*I7*I8*I9*I10</f>
        <v>49.0</v>
      </c>
      <c r="J11" s="0">
        <f>J6*J7*J8*J9*J10</f>
        <v>68.6</v>
      </c>
      <c r="K11" s="0">
        <f>K6*K7*K8*K9*K10</f>
        <v>93.1</v>
      </c>
      <c r="L11" s="0">
        <f>L6*L7*L8*L9*L10</f>
        <v>117.6</v>
      </c>
      <c r="M11" s="0">
        <f>M6*M7*M8*M9*M10</f>
        <v>142.1</v>
      </c>
      <c r="N11" s="0">
        <f>N6*N7*N8*N9*N10</f>
        <v>171.5</v>
      </c>
      <c r="O11" s="0">
        <f>O6*O7*O8*O9*O10</f>
        <v>198.45</v>
      </c>
      <c r="P11" s="0">
        <f>P6*P7*P8*P9*P10</f>
        <v>225.4</v>
      </c>
      <c r="Q11" s="0">
        <f>Q6*Q7*Q8*Q9*Q10</f>
        <v>257.25</v>
      </c>
      <c r="R11" s="83">
        <f>R6*R7*R8*R9*R10</f>
        <v>286.65</v>
      </c>
      <c r="S11" s="0">
        <f>S6*S7*S8*S9*S10</f>
        <v>316.05</v>
      </c>
      <c r="T11" s="0">
        <f>T6*T7*T8*T9*T10</f>
        <v>350.35</v>
      </c>
      <c r="U11" s="0">
        <f>U6*U7*U8*U9*U10</f>
        <v>382.2</v>
      </c>
      <c r="V11" s="0">
        <f>V6*V7*V8*V9*V10</f>
        <v>414.05</v>
      </c>
      <c r="W11" s="0">
        <f>W6*W7*W8*W9*W10</f>
        <v>450.8</v>
      </c>
      <c r="X11" s="0">
        <f>X6*X7*X8*X9*X10</f>
        <v>485.1</v>
      </c>
      <c r="Y11" s="0">
        <f>Y6*Y7*Y8*Y9*Y10</f>
        <v>519.4</v>
      </c>
      <c r="Z11" s="0">
        <f>Z6*Z7*Z8*Z9*Z10</f>
        <v>558.6</v>
      </c>
      <c r="AA11" s="0">
        <f>AA6*AA7*AA8*AA9*AA10</f>
        <v>595.35</v>
      </c>
      <c r="AB11" s="0">
        <f>AB6*AB7*AB8*AB9*AB10</f>
        <v>632.1</v>
      </c>
      <c r="AC11" s="0">
        <f>AC6*AC7*AC8*AC9*AC10</f>
        <v>671.3</v>
      </c>
      <c r="AD11" s="0">
        <f>AD6*AD7*AD8*AD9*AD10</f>
        <v>715.4</v>
      </c>
      <c r="AE11" s="0">
        <f>AE6*AE7*AE8*AE9*AE10</f>
        <v>757.05</v>
      </c>
      <c r="AF11" s="0">
        <f>AF6*AF7*AF8*AF9*AF10</f>
        <v>803.6</v>
      </c>
      <c r="AG11" s="0">
        <f>AG6*AG7*AG8*AG9*AG10</f>
        <v>847.7</v>
      </c>
      <c r="AH11" s="0">
        <f>AH6*AH7*AH8*AH9*AH10</f>
        <v>894.25</v>
      </c>
      <c r="AI11" s="0">
        <f>AI6*AI7*AI8*AI9*AI10</f>
        <v>940.8</v>
      </c>
      <c r="AJ11" s="0">
        <f>AJ6*AJ7*AJ8*AJ9*AJ10</f>
        <v>989.8</v>
      </c>
      <c r="AK11" s="0">
        <f>AK6*AK7*AK8*AK9*AK10</f>
        <v>1036.35</v>
      </c>
      <c r="AL11" s="0">
        <f>AL6*AL7*AL8*AL9*AL10</f>
        <v>1087.8</v>
      </c>
      <c r="AM11" s="0">
        <f>AM6*AM7*AM8*AM9*AM10</f>
        <v>1136.8</v>
      </c>
      <c r="AN11" s="0">
        <f>AN6*AN7*AN8*AN9*AN10</f>
        <v>1185.8</v>
      </c>
      <c r="AO11" s="0">
        <f>AO6*AO7*AO8*AO9*AO10</f>
        <v>1239.7</v>
      </c>
      <c r="AP11" s="0">
        <f>AP6*AP7*AP8*AP9*AP10</f>
        <v>1291.15</v>
      </c>
      <c r="AQ11" s="0">
        <f>AQ6*AQ7*AQ8*AQ9*AQ10</f>
        <v>1342.6</v>
      </c>
      <c r="AR11" s="0">
        <f>AR6*AR7*AR8*AR9*AR10</f>
        <v>1396.5</v>
      </c>
      <c r="AS11" s="0">
        <f>AS6*AS7*AS8*AS9*AS10</f>
        <v>1450.4</v>
      </c>
      <c r="AT11" s="0">
        <f>AT6*AT7*AT8*AT9*AT10</f>
        <v>1504.3</v>
      </c>
      <c r="AU11" s="0">
        <f>AU6*AU7*AU8*AU9*AU10</f>
        <v>1560.65</v>
      </c>
      <c r="AV11" s="0">
        <f>AV6*AV7*AV8*AV9*AV10</f>
        <v>1617.0</v>
      </c>
      <c r="AW11" s="0">
        <f>AW6*AW7*AW8*AW9*AW10</f>
        <v>1673.35</v>
      </c>
      <c r="AX11" s="0">
        <f>AX6*AX7*AX8*AX9*AX10</f>
        <v>1732.15</v>
      </c>
      <c r="AY11" s="0">
        <f>AY6*AY7*AY8*AY9*AY10</f>
        <v>1788.5</v>
      </c>
      <c r="AZ11" s="0">
        <f>AZ6*AZ7*AZ8*AZ9*AZ10</f>
        <v>1847.3</v>
      </c>
      <c r="BA11" s="0">
        <f>BA6*BA7*BA8*BA9*BA10</f>
        <v>1906.1</v>
      </c>
      <c r="BB11" s="0">
        <f>BB6*BB7*BB8*BB9*BB10</f>
        <v>1977.15</v>
      </c>
      <c r="BC11" s="0">
        <f>BC6*BC7*BC8*BC9*BC10</f>
        <v>2045.75</v>
      </c>
      <c r="BD11" s="0">
        <f>BD6*BD7*BD8*BD9*BD10</f>
        <v>2116.8</v>
      </c>
      <c r="BE11" s="0">
        <f>BE6*BE7*BE8*BE9*BE10</f>
        <v>2187.85</v>
      </c>
      <c r="BF11" s="0">
        <f>BF6*BF7*BF8*BF9*BF10</f>
        <v>2258.9</v>
      </c>
      <c r="BG11" s="0">
        <f>BG6*BG7*BG8*BG9*BG10</f>
        <v>2334.85</v>
      </c>
      <c r="BH11" s="0">
        <f>BH6*BH7*BH8*BH9*BH10</f>
        <v>2408.35</v>
      </c>
      <c r="BI11" s="0">
        <f>BI6*BI7*BI8*BI9*BI10</f>
        <v>2481.85</v>
      </c>
      <c r="BJ11" s="0">
        <f>BJ6*BJ7*BJ8*BJ9*BJ10</f>
        <v>2557.8</v>
      </c>
      <c r="BK11" s="0">
        <f>BK6*BK7*BK8*BK9*BK10</f>
        <v>2633.75</v>
      </c>
      <c r="BL11" s="0">
        <f>BL6*BL7*BL8*BL9*BL10</f>
        <v>2709.7</v>
      </c>
      <c r="BM11" s="0">
        <f>BM6*BM7*BM8*BM9*BM10</f>
        <v>2788.1</v>
      </c>
      <c r="BN11" s="96">
        <f>BN6*BN7*BN8*BN9*BN10</f>
        <v>257.25</v>
      </c>
      <c r="BO11" s="0">
        <f>BO6*BO7*BO8*BO9*BO10</f>
        <v>671.3</v>
      </c>
      <c r="BP11" s="0">
        <f>BP6*BP7*BP8*BP9*BP10</f>
        <v>1239.7</v>
      </c>
      <c r="BQ11" s="0">
        <f>BQ6*BQ7*BQ8*BQ9*BQ10</f>
        <v>1906.1</v>
      </c>
      <c r="BR11" s="0">
        <f>BR6*BR7*BR8*BR9*BR10</f>
        <v>2788.1</v>
      </c>
    </row>
    <row r="12">
      <c r="C12" s="0" t="inlineStr">
        <is>
          <t>想定電気料金（月/社）</t>
        </is>
      </c>
      <c r="D12" s="0" t="inlineStr">
        <is>
          <t>中小の電気代 月10〜30万の保守側。推定</t>
        </is>
      </c>
      <c r="E12" s="79" t="n"/>
      <c r="F12" s="198" t="n">
        <v>150000</v>
      </c>
      <c r="G12" s="198" t="n">
        <v>150000</v>
      </c>
      <c r="H12" s="198" t="n">
        <v>150000</v>
      </c>
      <c r="I12" s="198" t="n">
        <v>150000</v>
      </c>
      <c r="J12" s="198" t="n">
        <v>150000</v>
      </c>
      <c r="K12" s="198" t="n">
        <v>150000</v>
      </c>
      <c r="L12" s="198" t="n">
        <v>150000</v>
      </c>
      <c r="M12" s="198" t="n">
        <v>150000</v>
      </c>
      <c r="N12" s="198" t="n">
        <v>150000</v>
      </c>
      <c r="O12" s="198" t="n">
        <v>150000</v>
      </c>
      <c r="P12" s="198" t="n">
        <v>150000</v>
      </c>
      <c r="Q12" s="198" t="n">
        <v>150000</v>
      </c>
      <c r="R12" s="199" t="n">
        <v>150000</v>
      </c>
      <c r="S12" s="198" t="n">
        <v>150000</v>
      </c>
      <c r="T12" s="198" t="n">
        <v>150000</v>
      </c>
      <c r="U12" s="198" t="n">
        <v>150000</v>
      </c>
      <c r="V12" s="198" t="n">
        <v>150000</v>
      </c>
      <c r="W12" s="198" t="n">
        <v>150000</v>
      </c>
      <c r="X12" s="198" t="n">
        <v>150000</v>
      </c>
      <c r="Y12" s="198" t="n">
        <v>150000</v>
      </c>
      <c r="Z12" s="198" t="n">
        <v>150000</v>
      </c>
      <c r="AA12" s="198" t="n">
        <v>150000</v>
      </c>
      <c r="AB12" s="198" t="n">
        <v>150000</v>
      </c>
      <c r="AC12" s="198" t="n">
        <v>150000</v>
      </c>
      <c r="AD12" s="198" t="n">
        <v>150000</v>
      </c>
      <c r="AE12" s="198" t="n">
        <v>150000</v>
      </c>
      <c r="AF12" s="198" t="n">
        <v>150000</v>
      </c>
      <c r="AG12" s="198" t="n">
        <v>150000</v>
      </c>
      <c r="AH12" s="198" t="n">
        <v>150000</v>
      </c>
      <c r="AI12" s="198" t="n">
        <v>150000</v>
      </c>
      <c r="AJ12" s="198" t="n">
        <v>150000</v>
      </c>
      <c r="AK12" s="198" t="n">
        <v>150000</v>
      </c>
      <c r="AL12" s="198" t="n">
        <v>150000</v>
      </c>
      <c r="AM12" s="198" t="n">
        <v>150000</v>
      </c>
      <c r="AN12" s="198" t="n">
        <v>150000</v>
      </c>
      <c r="AO12" s="198" t="n">
        <v>150000</v>
      </c>
      <c r="AP12" s="198" t="n">
        <v>150000</v>
      </c>
      <c r="AQ12" s="198" t="n">
        <v>150000</v>
      </c>
      <c r="AR12" s="198" t="n">
        <v>150000</v>
      </c>
      <c r="AS12" s="198" t="n">
        <v>150000</v>
      </c>
      <c r="AT12" s="198" t="n">
        <v>150000</v>
      </c>
      <c r="AU12" s="198" t="n">
        <v>150000</v>
      </c>
      <c r="AV12" s="198" t="n">
        <v>150000</v>
      </c>
      <c r="AW12" s="198" t="n">
        <v>150000</v>
      </c>
      <c r="AX12" s="198" t="n">
        <v>150000</v>
      </c>
      <c r="AY12" s="198" t="n">
        <v>150000</v>
      </c>
      <c r="AZ12" s="198" t="n">
        <v>150000</v>
      </c>
      <c r="BA12" s="198" t="n">
        <v>150000</v>
      </c>
      <c r="BB12" s="198" t="n">
        <v>150000</v>
      </c>
      <c r="BC12" s="198" t="n">
        <v>150000</v>
      </c>
      <c r="BD12" s="198" t="n">
        <v>150000</v>
      </c>
      <c r="BE12" s="198" t="n">
        <v>150000</v>
      </c>
      <c r="BF12" s="198" t="n">
        <v>150000</v>
      </c>
      <c r="BG12" s="198" t="n">
        <v>150000</v>
      </c>
      <c r="BH12" s="198" t="n">
        <v>150000</v>
      </c>
      <c r="BI12" s="198" t="n">
        <v>150000</v>
      </c>
      <c r="BJ12" s="198" t="n">
        <v>150000</v>
      </c>
      <c r="BK12" s="198" t="n">
        <v>150000</v>
      </c>
      <c r="BL12" s="198" t="n">
        <v>150000</v>
      </c>
      <c r="BM12" s="198" t="n">
        <v>150000</v>
      </c>
      <c r="BN12" s="200" t="n">
        <v>150000</v>
      </c>
      <c r="BO12" s="198" t="n">
        <v>150000</v>
      </c>
      <c r="BP12" s="198" t="n">
        <v>150000</v>
      </c>
      <c r="BQ12" s="198" t="n">
        <v>150000</v>
      </c>
      <c r="BR12" s="198" t="n">
        <v>150000</v>
      </c>
    </row>
    <row r="13">
      <c r="C13" s="0" t="inlineStr">
        <is>
          <t>取次手数料率（継続・対電気料金）</t>
        </is>
      </c>
      <c r="D13" s="0" t="inlineStr">
        <is>
          <t>新電力取次の相場1〜5%の下側。料率は非公開＝要交渉。推定</t>
        </is>
      </c>
      <c r="E13" s="79" t="n"/>
      <c r="F13" s="0" t="n">
        <v>0.02</v>
      </c>
      <c r="G13" s="0" t="n">
        <v>0.02</v>
      </c>
      <c r="H13" s="0" t="n">
        <v>0.02</v>
      </c>
      <c r="I13" s="0" t="n">
        <v>0.02</v>
      </c>
      <c r="J13" s="0" t="n">
        <v>0.02</v>
      </c>
      <c r="K13" s="0" t="n">
        <v>0.02</v>
      </c>
      <c r="L13" s="0" t="n">
        <v>0.02</v>
      </c>
      <c r="M13" s="0" t="n">
        <v>0.02</v>
      </c>
      <c r="N13" s="0" t="n">
        <v>0.02</v>
      </c>
      <c r="O13" s="0" t="n">
        <v>0.02</v>
      </c>
      <c r="P13" s="0" t="n">
        <v>0.02</v>
      </c>
      <c r="Q13" s="0" t="n">
        <v>0.02</v>
      </c>
      <c r="R13" s="83" t="n">
        <v>0.02</v>
      </c>
      <c r="S13" s="0" t="n">
        <v>0.02</v>
      </c>
      <c r="T13" s="0" t="n">
        <v>0.02</v>
      </c>
      <c r="U13" s="0" t="n">
        <v>0.02</v>
      </c>
      <c r="V13" s="0" t="n">
        <v>0.02</v>
      </c>
      <c r="W13" s="0" t="n">
        <v>0.02</v>
      </c>
      <c r="X13" s="0" t="n">
        <v>0.02</v>
      </c>
      <c r="Y13" s="0" t="n">
        <v>0.02</v>
      </c>
      <c r="Z13" s="0" t="n">
        <v>0.02</v>
      </c>
      <c r="AA13" s="0" t="n">
        <v>0.02</v>
      </c>
      <c r="AB13" s="0" t="n">
        <v>0.02</v>
      </c>
      <c r="AC13" s="0" t="n">
        <v>0.02</v>
      </c>
      <c r="AD13" s="0" t="n">
        <v>0.02</v>
      </c>
      <c r="AE13" s="0" t="n">
        <v>0.02</v>
      </c>
      <c r="AF13" s="0" t="n">
        <v>0.02</v>
      </c>
      <c r="AG13" s="0" t="n">
        <v>0.02</v>
      </c>
      <c r="AH13" s="0" t="n">
        <v>0.02</v>
      </c>
      <c r="AI13" s="0" t="n">
        <v>0.02</v>
      </c>
      <c r="AJ13" s="0" t="n">
        <v>0.02</v>
      </c>
      <c r="AK13" s="0" t="n">
        <v>0.02</v>
      </c>
      <c r="AL13" s="0" t="n">
        <v>0.02</v>
      </c>
      <c r="AM13" s="0" t="n">
        <v>0.02</v>
      </c>
      <c r="AN13" s="0" t="n">
        <v>0.02</v>
      </c>
      <c r="AO13" s="0" t="n">
        <v>0.02</v>
      </c>
      <c r="AP13" s="0" t="n">
        <v>0.02</v>
      </c>
      <c r="AQ13" s="0" t="n">
        <v>0.02</v>
      </c>
      <c r="AR13" s="0" t="n">
        <v>0.02</v>
      </c>
      <c r="AS13" s="0" t="n">
        <v>0.02</v>
      </c>
      <c r="AT13" s="0" t="n">
        <v>0.02</v>
      </c>
      <c r="AU13" s="0" t="n">
        <v>0.02</v>
      </c>
      <c r="AV13" s="0" t="n">
        <v>0.02</v>
      </c>
      <c r="AW13" s="0" t="n">
        <v>0.02</v>
      </c>
      <c r="AX13" s="0" t="n">
        <v>0.02</v>
      </c>
      <c r="AY13" s="0" t="n">
        <v>0.02</v>
      </c>
      <c r="AZ13" s="0" t="n">
        <v>0.02</v>
      </c>
      <c r="BA13" s="0" t="n">
        <v>0.02</v>
      </c>
      <c r="BB13" s="0" t="n">
        <v>0.02</v>
      </c>
      <c r="BC13" s="0" t="n">
        <v>0.02</v>
      </c>
      <c r="BD13" s="0" t="n">
        <v>0.02</v>
      </c>
      <c r="BE13" s="0" t="n">
        <v>0.02</v>
      </c>
      <c r="BF13" s="0" t="n">
        <v>0.02</v>
      </c>
      <c r="BG13" s="0" t="n">
        <v>0.02</v>
      </c>
      <c r="BH13" s="0" t="n">
        <v>0.02</v>
      </c>
      <c r="BI13" s="0" t="n">
        <v>0.02</v>
      </c>
      <c r="BJ13" s="0" t="n">
        <v>0.02</v>
      </c>
      <c r="BK13" s="0" t="n">
        <v>0.02</v>
      </c>
      <c r="BL13" s="0" t="n">
        <v>0.02</v>
      </c>
      <c r="BM13" s="0" t="n">
        <v>0.02</v>
      </c>
      <c r="BN13" s="96" t="n">
        <v>0.02</v>
      </c>
      <c r="BO13" s="0" t="n">
        <v>0.02</v>
      </c>
      <c r="BP13" s="0" t="n">
        <v>0.02</v>
      </c>
      <c r="BQ13" s="0" t="n">
        <v>0.02</v>
      </c>
      <c r="BR13" s="0" t="n">
        <v>0.02</v>
      </c>
    </row>
    <row r="14">
      <c r="C14" s="0" t="inlineStr">
        <is>
          <t>手数料計（月/社）</t>
        </is>
      </c>
      <c r="D14" s="79" t="n"/>
      <c r="E14" s="79" t="n"/>
      <c r="F14" s="0">
        <f>F12*F13</f>
        <v>3000.0</v>
      </c>
      <c r="G14" s="0">
        <f>G12*G13</f>
        <v>3000.0</v>
      </c>
      <c r="H14" s="0">
        <f>H12*H13</f>
        <v>3000.0</v>
      </c>
      <c r="I14" s="0">
        <f>I12*I13</f>
        <v>3000.0</v>
      </c>
      <c r="J14" s="0">
        <f>J12*J13</f>
        <v>3000.0</v>
      </c>
      <c r="K14" s="0">
        <f>K12*K13</f>
        <v>3000.0</v>
      </c>
      <c r="L14" s="0">
        <f>L12*L13</f>
        <v>3000.0</v>
      </c>
      <c r="M14" s="0">
        <f>M12*M13</f>
        <v>3000.0</v>
      </c>
      <c r="N14" s="0">
        <f>N12*N13</f>
        <v>3000.0</v>
      </c>
      <c r="O14" s="0">
        <f>O12*O13</f>
        <v>3000.0</v>
      </c>
      <c r="P14" s="0">
        <f>P12*P13</f>
        <v>3000.0</v>
      </c>
      <c r="Q14" s="0">
        <f>Q12*Q13</f>
        <v>3000.0</v>
      </c>
      <c r="R14" s="83">
        <f>R12*R13</f>
        <v>3000.0</v>
      </c>
      <c r="S14" s="0">
        <f>S12*S13</f>
        <v>3000.0</v>
      </c>
      <c r="T14" s="0">
        <f>T12*T13</f>
        <v>3000.0</v>
      </c>
      <c r="U14" s="0">
        <f>U12*U13</f>
        <v>3000.0</v>
      </c>
      <c r="V14" s="0">
        <f>V12*V13</f>
        <v>3000.0</v>
      </c>
      <c r="W14" s="0">
        <f>W12*W13</f>
        <v>3000.0</v>
      </c>
      <c r="X14" s="0">
        <f>X12*X13</f>
        <v>3000.0</v>
      </c>
      <c r="Y14" s="0">
        <f>Y12*Y13</f>
        <v>3000.0</v>
      </c>
      <c r="Z14" s="0">
        <f>Z12*Z13</f>
        <v>3000.0</v>
      </c>
      <c r="AA14" s="0">
        <f>AA12*AA13</f>
        <v>3000.0</v>
      </c>
      <c r="AB14" s="0">
        <f>AB12*AB13</f>
        <v>3000.0</v>
      </c>
      <c r="AC14" s="0">
        <f>AC12*AC13</f>
        <v>3000.0</v>
      </c>
      <c r="AD14" s="0">
        <f>AD12*AD13</f>
        <v>3000.0</v>
      </c>
      <c r="AE14" s="0">
        <f>AE12*AE13</f>
        <v>3000.0</v>
      </c>
      <c r="AF14" s="0">
        <f>AF12*AF13</f>
        <v>3000.0</v>
      </c>
      <c r="AG14" s="0">
        <f>AG12*AG13</f>
        <v>3000.0</v>
      </c>
      <c r="AH14" s="0">
        <f>AH12*AH13</f>
        <v>3000.0</v>
      </c>
      <c r="AI14" s="0">
        <f>AI12*AI13</f>
        <v>3000.0</v>
      </c>
      <c r="AJ14" s="0">
        <f>AJ12*AJ13</f>
        <v>3000.0</v>
      </c>
      <c r="AK14" s="0">
        <f>AK12*AK13</f>
        <v>3000.0</v>
      </c>
      <c r="AL14" s="0">
        <f>AL12*AL13</f>
        <v>3000.0</v>
      </c>
      <c r="AM14" s="0">
        <f>AM12*AM13</f>
        <v>3000.0</v>
      </c>
      <c r="AN14" s="0">
        <f>AN12*AN13</f>
        <v>3000.0</v>
      </c>
      <c r="AO14" s="0">
        <f>AO12*AO13</f>
        <v>3000.0</v>
      </c>
      <c r="AP14" s="0">
        <f>AP12*AP13</f>
        <v>3000.0</v>
      </c>
      <c r="AQ14" s="0">
        <f>AQ12*AQ13</f>
        <v>3000.0</v>
      </c>
      <c r="AR14" s="0">
        <f>AR12*AR13</f>
        <v>3000.0</v>
      </c>
      <c r="AS14" s="0">
        <f>AS12*AS13</f>
        <v>3000.0</v>
      </c>
      <c r="AT14" s="0">
        <f>AT12*AT13</f>
        <v>3000.0</v>
      </c>
      <c r="AU14" s="0">
        <f>AU12*AU13</f>
        <v>3000.0</v>
      </c>
      <c r="AV14" s="0">
        <f>AV12*AV13</f>
        <v>3000.0</v>
      </c>
      <c r="AW14" s="0">
        <f>AW12*AW13</f>
        <v>3000.0</v>
      </c>
      <c r="AX14" s="0">
        <f>AX12*AX13</f>
        <v>3000.0</v>
      </c>
      <c r="AY14" s="0">
        <f>AY12*AY13</f>
        <v>3000.0</v>
      </c>
      <c r="AZ14" s="0">
        <f>AZ12*AZ13</f>
        <v>3000.0</v>
      </c>
      <c r="BA14" s="0">
        <f>BA12*BA13</f>
        <v>3000.0</v>
      </c>
      <c r="BB14" s="0">
        <f>BB12*BB13</f>
        <v>3000.0</v>
      </c>
      <c r="BC14" s="0">
        <f>BC12*BC13</f>
        <v>3000.0</v>
      </c>
      <c r="BD14" s="0">
        <f>BD12*BD13</f>
        <v>3000.0</v>
      </c>
      <c r="BE14" s="0">
        <f>BE12*BE13</f>
        <v>3000.0</v>
      </c>
      <c r="BF14" s="0">
        <f>BF12*BF13</f>
        <v>3000.0</v>
      </c>
      <c r="BG14" s="0">
        <f>BG12*BG13</f>
        <v>3000.0</v>
      </c>
      <c r="BH14" s="0">
        <f>BH12*BH13</f>
        <v>3000.0</v>
      </c>
      <c r="BI14" s="0">
        <f>BI12*BI13</f>
        <v>3000.0</v>
      </c>
      <c r="BJ14" s="0">
        <f>BJ12*BJ13</f>
        <v>3000.0</v>
      </c>
      <c r="BK14" s="0">
        <f>BK12*BK13</f>
        <v>3000.0</v>
      </c>
      <c r="BL14" s="0">
        <f>BL12*BL13</f>
        <v>3000.0</v>
      </c>
      <c r="BM14" s="0">
        <f>BM12*BM13</f>
        <v>3000.0</v>
      </c>
      <c r="BN14" s="96">
        <f>BN12*BN13</f>
        <v>3000.0</v>
      </c>
      <c r="BO14" s="0">
        <f>BO12*BO13</f>
        <v>3000.0</v>
      </c>
      <c r="BP14" s="0">
        <f>BP12*BP13</f>
        <v>3000.0</v>
      </c>
      <c r="BQ14" s="0">
        <f>BQ12*BQ13</f>
        <v>3000.0</v>
      </c>
      <c r="BR14" s="0">
        <f>BR12*BR13</f>
        <v>3000.0</v>
      </c>
    </row>
    <row r="15">
      <c r="C15" s="0" t="inlineStr">
        <is>
          <t>内・税理士（月/社）</t>
        </is>
      </c>
      <c r="D15" s="0" t="inlineStr">
        <is>
          <t>ビジとりと同配分（税理士5：taXel1）</t>
        </is>
      </c>
      <c r="E15" s="79" t="n"/>
      <c r="F15" s="0" t="n">
        <v>2500</v>
      </c>
      <c r="G15" s="0" t="n">
        <v>2500</v>
      </c>
      <c r="H15" s="0" t="n">
        <v>2500</v>
      </c>
      <c r="I15" s="0" t="n">
        <v>2500</v>
      </c>
      <c r="J15" s="0" t="n">
        <v>2500</v>
      </c>
      <c r="K15" s="0" t="n">
        <v>2500</v>
      </c>
      <c r="L15" s="0" t="n">
        <v>2500</v>
      </c>
      <c r="M15" s="0" t="n">
        <v>2500</v>
      </c>
      <c r="N15" s="0" t="n">
        <v>2500</v>
      </c>
      <c r="O15" s="0" t="n">
        <v>2500</v>
      </c>
      <c r="P15" s="0" t="n">
        <v>2500</v>
      </c>
      <c r="Q15" s="0" t="n">
        <v>2500</v>
      </c>
      <c r="R15" s="83" t="n">
        <v>2500</v>
      </c>
      <c r="S15" s="0" t="n">
        <v>2500</v>
      </c>
      <c r="T15" s="0" t="n">
        <v>2500</v>
      </c>
      <c r="U15" s="0" t="n">
        <v>2500</v>
      </c>
      <c r="V15" s="0" t="n">
        <v>2500</v>
      </c>
      <c r="W15" s="0" t="n">
        <v>2500</v>
      </c>
      <c r="X15" s="0" t="n">
        <v>2500</v>
      </c>
      <c r="Y15" s="0" t="n">
        <v>2500</v>
      </c>
      <c r="Z15" s="0" t="n">
        <v>2500</v>
      </c>
      <c r="AA15" s="0" t="n">
        <v>2500</v>
      </c>
      <c r="AB15" s="0" t="n">
        <v>2500</v>
      </c>
      <c r="AC15" s="0" t="n">
        <v>2500</v>
      </c>
      <c r="AD15" s="0" t="n">
        <v>2500</v>
      </c>
      <c r="AE15" s="0" t="n">
        <v>2500</v>
      </c>
      <c r="AF15" s="0" t="n">
        <v>2500</v>
      </c>
      <c r="AG15" s="0" t="n">
        <v>2500</v>
      </c>
      <c r="AH15" s="0" t="n">
        <v>2500</v>
      </c>
      <c r="AI15" s="0" t="n">
        <v>2500</v>
      </c>
      <c r="AJ15" s="0" t="n">
        <v>2500</v>
      </c>
      <c r="AK15" s="0" t="n">
        <v>2500</v>
      </c>
      <c r="AL15" s="0" t="n">
        <v>2500</v>
      </c>
      <c r="AM15" s="0" t="n">
        <v>2500</v>
      </c>
      <c r="AN15" s="0" t="n">
        <v>2500</v>
      </c>
      <c r="AO15" s="0" t="n">
        <v>2500</v>
      </c>
      <c r="AP15" s="0" t="n">
        <v>2500</v>
      </c>
      <c r="AQ15" s="0" t="n">
        <v>2500</v>
      </c>
      <c r="AR15" s="0" t="n">
        <v>2500</v>
      </c>
      <c r="AS15" s="0" t="n">
        <v>2500</v>
      </c>
      <c r="AT15" s="0" t="n">
        <v>2500</v>
      </c>
      <c r="AU15" s="0" t="n">
        <v>2500</v>
      </c>
      <c r="AV15" s="0" t="n">
        <v>2500</v>
      </c>
      <c r="AW15" s="0" t="n">
        <v>2500</v>
      </c>
      <c r="AX15" s="0" t="n">
        <v>2500</v>
      </c>
      <c r="AY15" s="0" t="n">
        <v>2500</v>
      </c>
      <c r="AZ15" s="0" t="n">
        <v>2500</v>
      </c>
      <c r="BA15" s="0" t="n">
        <v>2500</v>
      </c>
      <c r="BB15" s="0" t="n">
        <v>2500</v>
      </c>
      <c r="BC15" s="0" t="n">
        <v>2500</v>
      </c>
      <c r="BD15" s="0" t="n">
        <v>2500</v>
      </c>
      <c r="BE15" s="0" t="n">
        <v>2500</v>
      </c>
      <c r="BF15" s="0" t="n">
        <v>2500</v>
      </c>
      <c r="BG15" s="0" t="n">
        <v>2500</v>
      </c>
      <c r="BH15" s="0" t="n">
        <v>2500</v>
      </c>
      <c r="BI15" s="0" t="n">
        <v>2500</v>
      </c>
      <c r="BJ15" s="0" t="n">
        <v>2500</v>
      </c>
      <c r="BK15" s="0" t="n">
        <v>2500</v>
      </c>
      <c r="BL15" s="0" t="n">
        <v>2500</v>
      </c>
      <c r="BM15" s="0" t="n">
        <v>2500</v>
      </c>
      <c r="BN15" s="96" t="n">
        <v>2500</v>
      </c>
      <c r="BO15" s="0" t="n">
        <v>2500</v>
      </c>
      <c r="BP15" s="0" t="n">
        <v>2500</v>
      </c>
      <c r="BQ15" s="0" t="n">
        <v>2500</v>
      </c>
      <c r="BR15" s="0" t="n">
        <v>2500</v>
      </c>
    </row>
    <row r="16">
      <c r="C16" s="80" t="inlineStr">
        <is>
          <t>内・taXel（月/社）</t>
        </is>
      </c>
      <c r="D16" s="79" t="n"/>
      <c r="E16" s="79" t="n"/>
      <c r="F16" s="201">
        <f>F14-F15</f>
        <v>500.0</v>
      </c>
      <c r="G16" s="201">
        <f>G14-G15</f>
        <v>500.0</v>
      </c>
      <c r="H16" s="201">
        <f>H14-H15</f>
        <v>500.0</v>
      </c>
      <c r="I16" s="201">
        <f>I14-I15</f>
        <v>500.0</v>
      </c>
      <c r="J16" s="201">
        <f>J14-J15</f>
        <v>500.0</v>
      </c>
      <c r="K16" s="201">
        <f>K14-K15</f>
        <v>500.0</v>
      </c>
      <c r="L16" s="201">
        <f>L14-L15</f>
        <v>500.0</v>
      </c>
      <c r="M16" s="201">
        <f>M14-M15</f>
        <v>500.0</v>
      </c>
      <c r="N16" s="201">
        <f>N14-N15</f>
        <v>500.0</v>
      </c>
      <c r="O16" s="201">
        <f>O14-O15</f>
        <v>500.0</v>
      </c>
      <c r="P16" s="201">
        <f>P14-P15</f>
        <v>500.0</v>
      </c>
      <c r="Q16" s="201">
        <f>Q14-Q15</f>
        <v>500.0</v>
      </c>
      <c r="R16" s="202">
        <f>R14-R15</f>
        <v>500.0</v>
      </c>
      <c r="S16" s="201">
        <f>S14-S15</f>
        <v>500.0</v>
      </c>
      <c r="T16" s="201">
        <f>T14-T15</f>
        <v>500.0</v>
      </c>
      <c r="U16" s="201">
        <f>U14-U15</f>
        <v>500.0</v>
      </c>
      <c r="V16" s="201">
        <f>V14-V15</f>
        <v>500.0</v>
      </c>
      <c r="W16" s="201">
        <f>W14-W15</f>
        <v>500.0</v>
      </c>
      <c r="X16" s="201">
        <f>X14-X15</f>
        <v>500.0</v>
      </c>
      <c r="Y16" s="201">
        <f>Y14-Y15</f>
        <v>500.0</v>
      </c>
      <c r="Z16" s="201">
        <f>Z14-Z15</f>
        <v>500.0</v>
      </c>
      <c r="AA16" s="201">
        <f>AA14-AA15</f>
        <v>500.0</v>
      </c>
      <c r="AB16" s="201">
        <f>AB14-AB15</f>
        <v>500.0</v>
      </c>
      <c r="AC16" s="201">
        <f>AC14-AC15</f>
        <v>500.0</v>
      </c>
      <c r="AD16" s="201">
        <f>AD14-AD15</f>
        <v>500.0</v>
      </c>
      <c r="AE16" s="201">
        <f>AE14-AE15</f>
        <v>500.0</v>
      </c>
      <c r="AF16" s="201">
        <f>AF14-AF15</f>
        <v>500.0</v>
      </c>
      <c r="AG16" s="201">
        <f>AG14-AG15</f>
        <v>500.0</v>
      </c>
      <c r="AH16" s="201">
        <f>AH14-AH15</f>
        <v>500.0</v>
      </c>
      <c r="AI16" s="201">
        <f>AI14-AI15</f>
        <v>500.0</v>
      </c>
      <c r="AJ16" s="201">
        <f>AJ14-AJ15</f>
        <v>500.0</v>
      </c>
      <c r="AK16" s="201">
        <f>AK14-AK15</f>
        <v>500.0</v>
      </c>
      <c r="AL16" s="201">
        <f>AL14-AL15</f>
        <v>500.0</v>
      </c>
      <c r="AM16" s="201">
        <f>AM14-AM15</f>
        <v>500.0</v>
      </c>
      <c r="AN16" s="201">
        <f>AN14-AN15</f>
        <v>500.0</v>
      </c>
      <c r="AO16" s="201">
        <f>AO14-AO15</f>
        <v>500.0</v>
      </c>
      <c r="AP16" s="201">
        <f>AP14-AP15</f>
        <v>500.0</v>
      </c>
      <c r="AQ16" s="201">
        <f>AQ14-AQ15</f>
        <v>500.0</v>
      </c>
      <c r="AR16" s="201">
        <f>AR14-AR15</f>
        <v>500.0</v>
      </c>
      <c r="AS16" s="201">
        <f>AS14-AS15</f>
        <v>500.0</v>
      </c>
      <c r="AT16" s="201">
        <f>AT14-AT15</f>
        <v>500.0</v>
      </c>
      <c r="AU16" s="201">
        <f>AU14-AU15</f>
        <v>500.0</v>
      </c>
      <c r="AV16" s="201">
        <f>AV14-AV15</f>
        <v>500.0</v>
      </c>
      <c r="AW16" s="201">
        <f>AW14-AW15</f>
        <v>500.0</v>
      </c>
      <c r="AX16" s="201">
        <f>AX14-AX15</f>
        <v>500.0</v>
      </c>
      <c r="AY16" s="201">
        <f>AY14-AY15</f>
        <v>500.0</v>
      </c>
      <c r="AZ16" s="201">
        <f>AZ14-AZ15</f>
        <v>500.0</v>
      </c>
      <c r="BA16" s="201">
        <f>BA14-BA15</f>
        <v>500.0</v>
      </c>
      <c r="BB16" s="201">
        <f>BB14-BB15</f>
        <v>500.0</v>
      </c>
      <c r="BC16" s="201">
        <f>BC14-BC15</f>
        <v>500.0</v>
      </c>
      <c r="BD16" s="201">
        <f>BD14-BD15</f>
        <v>500.0</v>
      </c>
      <c r="BE16" s="201">
        <f>BE14-BE15</f>
        <v>500.0</v>
      </c>
      <c r="BF16" s="201">
        <f>BF14-BF15</f>
        <v>500.0</v>
      </c>
      <c r="BG16" s="203">
        <f>BG14-BG15</f>
        <v>500.0</v>
      </c>
      <c r="BH16" s="203">
        <f>BH14-BH15</f>
        <v>500.0</v>
      </c>
      <c r="BI16" s="203">
        <f>BI14-BI15</f>
        <v>500.0</v>
      </c>
      <c r="BJ16" s="203">
        <f>BJ14-BJ15</f>
        <v>500.0</v>
      </c>
      <c r="BK16" s="203">
        <f>BK14-BK15</f>
        <v>500.0</v>
      </c>
      <c r="BL16" s="203">
        <f>BL14-BL15</f>
        <v>500.0</v>
      </c>
      <c r="BM16" s="203">
        <f>BM14-BM15</f>
        <v>500.0</v>
      </c>
      <c r="BN16" s="204">
        <f>BN14-BN15</f>
        <v>500.0</v>
      </c>
      <c r="BO16" s="203">
        <f>BO14-BO15</f>
        <v>500.0</v>
      </c>
      <c r="BP16" s="203">
        <f>BP14-BP15</f>
        <v>500.0</v>
      </c>
      <c r="BQ16" s="203">
        <f>BQ14-BQ15</f>
        <v>500.0</v>
      </c>
      <c r="BR16" s="203">
        <f>BR14-BR15</f>
        <v>500.0</v>
      </c>
    </row>
    <row r="17">
      <c r="C17" s="0" t="inlineStr">
        <is>
          <t>１税理士 / 紹介費用</t>
        </is>
      </c>
      <c r="D17" s="0" t="inlineStr">
        <is>
          <t>Y2（M13）から開拓</t>
        </is>
      </c>
      <c r="E17" s="79" t="n"/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83">
        <f>R16*R11</f>
        <v>143325.0</v>
      </c>
      <c r="S17" s="0">
        <f>S16*S11</f>
        <v>158025.0</v>
      </c>
      <c r="T17" s="0">
        <f>T16*T11</f>
        <v>175175.0</v>
      </c>
      <c r="U17" s="0">
        <f>U16*U11</f>
        <v>191100.0</v>
      </c>
      <c r="V17" s="0">
        <f>V16*V11</f>
        <v>207025.0</v>
      </c>
      <c r="W17" s="0">
        <f>W16*W11</f>
        <v>225400.0</v>
      </c>
      <c r="X17" s="0">
        <f>X16*X11</f>
        <v>242550.0</v>
      </c>
      <c r="Y17" s="0">
        <f>Y16*Y11</f>
        <v>259700.0</v>
      </c>
      <c r="Z17" s="0">
        <f>Z16*Z11</f>
        <v>279300.0</v>
      </c>
      <c r="AA17" s="0">
        <f>AA16*AA11</f>
        <v>297675.0</v>
      </c>
      <c r="AB17" s="0">
        <f>AB16*AB11</f>
        <v>316050.0</v>
      </c>
      <c r="AC17" s="0">
        <f>AC16*AC11</f>
        <v>335650.0</v>
      </c>
      <c r="AD17" s="0">
        <f>AD16*AD11</f>
        <v>357700.0</v>
      </c>
      <c r="AE17" s="0">
        <f>AE16*AE11</f>
        <v>378525.0</v>
      </c>
      <c r="AF17" s="0">
        <f>AF16*AF11</f>
        <v>401800.0</v>
      </c>
      <c r="AG17" s="0">
        <f>AG16*AG11</f>
        <v>423850.0</v>
      </c>
      <c r="AH17" s="0">
        <f>AH16*AH11</f>
        <v>447125.0</v>
      </c>
      <c r="AI17" s="0">
        <f>AI16*AI11</f>
        <v>470400.0</v>
      </c>
      <c r="AJ17" s="0">
        <f>AJ16*AJ11</f>
        <v>494900.0</v>
      </c>
      <c r="AK17" s="0">
        <f>AK16*AK11</f>
        <v>518175.0</v>
      </c>
      <c r="AL17" s="0">
        <f>AL16*AL11</f>
        <v>543900.0</v>
      </c>
      <c r="AM17" s="0">
        <f>AM16*AM11</f>
        <v>568400.0</v>
      </c>
      <c r="AN17" s="0">
        <f>AN16*AN11</f>
        <v>592900.0</v>
      </c>
      <c r="AO17" s="0">
        <f>AO16*AO11</f>
        <v>619850.0</v>
      </c>
      <c r="AP17" s="0">
        <f>AP16*AP11</f>
        <v>645575.0</v>
      </c>
      <c r="AQ17" s="0">
        <f>AQ16*AQ11</f>
        <v>671300.0</v>
      </c>
      <c r="AR17" s="0">
        <f>AR16*AR11</f>
        <v>698250.0</v>
      </c>
      <c r="AS17" s="0">
        <f>AS16*AS11</f>
        <v>725200.0</v>
      </c>
      <c r="AT17" s="0">
        <f>AT16*AT11</f>
        <v>752150.0</v>
      </c>
      <c r="AU17" s="0">
        <f>AU16*AU11</f>
        <v>780325.0</v>
      </c>
      <c r="AV17" s="0">
        <f>AV16*AV11</f>
        <v>808500.0</v>
      </c>
      <c r="AW17" s="0">
        <f>AW16*AW11</f>
        <v>836675.0</v>
      </c>
      <c r="AX17" s="0">
        <f>AX16*AX11</f>
        <v>866075.0</v>
      </c>
      <c r="AY17" s="0">
        <f>AY16*AY11</f>
        <v>894250.0</v>
      </c>
      <c r="AZ17" s="0">
        <f>AZ16*AZ11</f>
        <v>923650.0</v>
      </c>
      <c r="BA17" s="0">
        <f>BA16*BA11</f>
        <v>953050.0</v>
      </c>
      <c r="BB17" s="0">
        <f>BB16*BB11</f>
        <v>988575.0</v>
      </c>
      <c r="BC17" s="0">
        <f>BC16*BC11</f>
        <v>1022875.0</v>
      </c>
      <c r="BD17" s="0">
        <f>BD16*BD11</f>
        <v>1058400.0</v>
      </c>
      <c r="BE17" s="0">
        <f>BE16*BE11</f>
        <v>1093925.0</v>
      </c>
      <c r="BF17" s="0">
        <f>BF16*BF11</f>
        <v>1129450.0</v>
      </c>
      <c r="BG17" s="0">
        <f>BG16*BG11</f>
        <v>1167425.0</v>
      </c>
      <c r="BH17" s="0">
        <f>BH16*BH11</f>
        <v>1204175.0</v>
      </c>
      <c r="BI17" s="0">
        <f>BI16*BI11</f>
        <v>1240925.0</v>
      </c>
      <c r="BJ17" s="0">
        <f>BJ16*BJ11</f>
        <v>1278900.0</v>
      </c>
      <c r="BK17" s="0">
        <f>BK16*BK11</f>
        <v>1316875.0</v>
      </c>
      <c r="BL17" s="0">
        <f>BL16*BL11</f>
        <v>1354850.0</v>
      </c>
      <c r="BM17" s="0">
        <f>BM16*BM11</f>
        <v>1394050.0</v>
      </c>
      <c r="BN17" s="96">
        <f>BN16*BN11</f>
        <v>128625.0</v>
      </c>
      <c r="BO17" s="0">
        <f>BO16*BO11</f>
        <v>335650.0</v>
      </c>
      <c r="BP17" s="0">
        <f>BP16*BP11</f>
        <v>619850.0</v>
      </c>
      <c r="BQ17" s="0">
        <f>BQ16*BQ11</f>
        <v>953050.0</v>
      </c>
      <c r="BR17" s="0">
        <f>BR16*BR11</f>
        <v>1394050.0</v>
      </c>
    </row>
    <row r="18">
      <c r="C18" s="17" t="inlineStr">
        <is>
          <t>税理士数＝アカウト数</t>
        </is>
      </c>
      <c r="D18" s="12" t="n"/>
      <c r="E18" s="12" t="n"/>
      <c r="F18" s="20" t="n">
        <v>0</v>
      </c>
      <c r="G18" s="20" t="n">
        <v>2</v>
      </c>
      <c r="H18" s="20" t="n">
        <v>11</v>
      </c>
      <c r="I18" s="20" t="n">
        <v>20</v>
      </c>
      <c r="J18" s="20" t="n">
        <v>28</v>
      </c>
      <c r="K18" s="20" t="n">
        <v>38</v>
      </c>
      <c r="L18" s="20" t="n">
        <v>48</v>
      </c>
      <c r="M18" s="20" t="n">
        <v>58</v>
      </c>
      <c r="N18" s="20" t="n">
        <v>70</v>
      </c>
      <c r="O18" s="20" t="n">
        <v>81</v>
      </c>
      <c r="P18" s="20" t="n">
        <v>92</v>
      </c>
      <c r="Q18" s="20" t="n">
        <v>105</v>
      </c>
      <c r="R18" s="39" t="n">
        <v>117</v>
      </c>
      <c r="S18" s="20" t="n">
        <v>129</v>
      </c>
      <c r="T18" s="20" t="n">
        <v>143</v>
      </c>
      <c r="U18" s="20" t="n">
        <v>156</v>
      </c>
      <c r="V18" s="20" t="n">
        <v>169</v>
      </c>
      <c r="W18" s="20" t="n">
        <v>184</v>
      </c>
      <c r="X18" s="20" t="n">
        <v>198</v>
      </c>
      <c r="Y18" s="20" t="n">
        <v>212</v>
      </c>
      <c r="Z18" s="20" t="n">
        <v>228</v>
      </c>
      <c r="AA18" s="20" t="n">
        <v>243</v>
      </c>
      <c r="AB18" s="20" t="n">
        <v>258</v>
      </c>
      <c r="AC18" s="20" t="n">
        <v>274</v>
      </c>
      <c r="AD18" s="20" t="n">
        <v>292</v>
      </c>
      <c r="AE18" s="20" t="n">
        <v>309</v>
      </c>
      <c r="AF18" s="20" t="n">
        <v>328</v>
      </c>
      <c r="AG18" s="20" t="n">
        <v>346</v>
      </c>
      <c r="AH18" s="20" t="n">
        <v>365</v>
      </c>
      <c r="AI18" s="20" t="n">
        <v>384</v>
      </c>
      <c r="AJ18" s="20" t="n">
        <v>404</v>
      </c>
      <c r="AK18" s="20" t="n">
        <v>423</v>
      </c>
      <c r="AL18" s="20" t="n">
        <v>444</v>
      </c>
      <c r="AM18" s="20" t="n">
        <v>464</v>
      </c>
      <c r="AN18" s="20" t="n">
        <v>484</v>
      </c>
      <c r="AO18" s="20" t="n">
        <v>506</v>
      </c>
      <c r="AP18" s="20" t="n">
        <v>527</v>
      </c>
      <c r="AQ18" s="20" t="n">
        <v>548</v>
      </c>
      <c r="AR18" s="20" t="n">
        <v>570</v>
      </c>
      <c r="AS18" s="20" t="n">
        <v>592</v>
      </c>
      <c r="AT18" s="20" t="n">
        <v>614</v>
      </c>
      <c r="AU18" s="20" t="n">
        <v>637</v>
      </c>
      <c r="AV18" s="20" t="n">
        <v>660</v>
      </c>
      <c r="AW18" s="20" t="n">
        <v>683</v>
      </c>
      <c r="AX18" s="20" t="n">
        <v>707</v>
      </c>
      <c r="AY18" s="20" t="n">
        <v>730</v>
      </c>
      <c r="AZ18" s="20" t="n">
        <v>754</v>
      </c>
      <c r="BA18" s="20" t="n">
        <v>778</v>
      </c>
      <c r="BB18" s="20" t="n">
        <v>807</v>
      </c>
      <c r="BC18" s="20" t="n">
        <v>835</v>
      </c>
      <c r="BD18" s="20" t="n">
        <v>864</v>
      </c>
      <c r="BE18" s="20" t="n">
        <v>893</v>
      </c>
      <c r="BF18" s="20" t="n">
        <v>922</v>
      </c>
      <c r="BG18" s="20" t="n">
        <v>953</v>
      </c>
      <c r="BH18" s="20" t="n">
        <v>983</v>
      </c>
      <c r="BI18" s="20" t="n">
        <v>1013</v>
      </c>
      <c r="BJ18" s="20" t="n">
        <v>1044</v>
      </c>
      <c r="BK18" s="20" t="n">
        <v>1075</v>
      </c>
      <c r="BL18" s="20" t="n">
        <v>1106</v>
      </c>
      <c r="BM18" s="20" t="n">
        <v>1138</v>
      </c>
      <c r="BN18" s="99" t="n">
        <v>105</v>
      </c>
      <c r="BO18" s="20" t="n">
        <v>274</v>
      </c>
      <c r="BP18" s="20" t="n">
        <v>506</v>
      </c>
      <c r="BQ18" s="20" t="n">
        <v>778</v>
      </c>
      <c r="BR18" s="20" t="n">
        <v>1138</v>
      </c>
    </row>
    <row r="19">
      <c r="C19" s="160" t="inlineStr">
        <is>
          <t>新規</t>
        </is>
      </c>
      <c r="D19" s="12" t="n"/>
      <c r="E19" s="160" t="n"/>
      <c r="F19" s="8" t="n">
        <v>0</v>
      </c>
      <c r="G19" s="26" t="n">
        <v>1</v>
      </c>
      <c r="H19" s="26" t="n">
        <v>5</v>
      </c>
      <c r="I19" s="26" t="n">
        <v>5</v>
      </c>
      <c r="J19" s="26" t="n">
        <v>5</v>
      </c>
      <c r="K19" s="26">
        <f>H19+1</f>
        <v>6.0</v>
      </c>
      <c r="L19" s="26">
        <f>I19+1</f>
        <v>6.0</v>
      </c>
      <c r="M19" s="26">
        <f>J19+1</f>
        <v>6.0</v>
      </c>
      <c r="N19" s="26">
        <f>K19+1</f>
        <v>7.0</v>
      </c>
      <c r="O19" s="26">
        <f>L19+1</f>
        <v>7.0</v>
      </c>
      <c r="P19" s="26">
        <f>M19+1</f>
        <v>7.0</v>
      </c>
      <c r="Q19" s="26">
        <f>N19+1</f>
        <v>8.0</v>
      </c>
      <c r="R19" s="40">
        <f>O19+1</f>
        <v>8.0</v>
      </c>
      <c r="S19" s="26">
        <f>P19+1</f>
        <v>8.0</v>
      </c>
      <c r="T19" s="26">
        <f>Q19+1</f>
        <v>9.0</v>
      </c>
      <c r="U19" s="26">
        <f>R19+1</f>
        <v>9.0</v>
      </c>
      <c r="V19" s="26">
        <f>S19+1</f>
        <v>9.0</v>
      </c>
      <c r="W19" s="26">
        <f>T19+1</f>
        <v>10.0</v>
      </c>
      <c r="X19" s="26">
        <f>U19+1</f>
        <v>10.0</v>
      </c>
      <c r="Y19" s="26">
        <f>V19+1</f>
        <v>10.0</v>
      </c>
      <c r="Z19" s="26">
        <f>W19+1</f>
        <v>11.0</v>
      </c>
      <c r="AA19" s="26">
        <f>X19+1</f>
        <v>11.0</v>
      </c>
      <c r="AB19" s="26">
        <f>Y19+1</f>
        <v>11.0</v>
      </c>
      <c r="AC19" s="26">
        <f>Z19+1</f>
        <v>12.0</v>
      </c>
      <c r="AD19" s="26">
        <f>AA19+1</f>
        <v>12.0</v>
      </c>
      <c r="AE19" s="26">
        <f>AB19+1</f>
        <v>12.0</v>
      </c>
      <c r="AF19" s="26">
        <f>AC19+1</f>
        <v>13.0</v>
      </c>
      <c r="AG19" s="26">
        <f>AD19+1</f>
        <v>13.0</v>
      </c>
      <c r="AH19" s="26">
        <f>AE19+1</f>
        <v>13.0</v>
      </c>
      <c r="AI19" s="26">
        <f>AF19+1</f>
        <v>14.0</v>
      </c>
      <c r="AJ19" s="26">
        <f>AG19+1</f>
        <v>14.0</v>
      </c>
      <c r="AK19" s="26">
        <f>AH19+1</f>
        <v>14.0</v>
      </c>
      <c r="AL19" s="26">
        <f>AI19+1</f>
        <v>15.0</v>
      </c>
      <c r="AM19" s="26">
        <f>AJ19+1</f>
        <v>15.0</v>
      </c>
      <c r="AN19" s="26">
        <f>AK19+1</f>
        <v>15.0</v>
      </c>
      <c r="AO19" s="26">
        <f>AL19+1</f>
        <v>16.0</v>
      </c>
      <c r="AP19" s="26">
        <f>AM19+1</f>
        <v>16.0</v>
      </c>
      <c r="AQ19" s="26">
        <f>AN19+1</f>
        <v>16.0</v>
      </c>
      <c r="AR19" s="26">
        <f>AO19+1</f>
        <v>17.0</v>
      </c>
      <c r="AS19" s="26">
        <f>AP19+1</f>
        <v>17.0</v>
      </c>
      <c r="AT19" s="26">
        <f>AQ19+1</f>
        <v>17.0</v>
      </c>
      <c r="AU19" s="26">
        <f>AR19+1</f>
        <v>18.0</v>
      </c>
      <c r="AV19" s="26">
        <f>AS19+1</f>
        <v>18.0</v>
      </c>
      <c r="AW19" s="26">
        <f>AT19+1</f>
        <v>18.0</v>
      </c>
      <c r="AX19" s="26">
        <f>AU19+1</f>
        <v>19.0</v>
      </c>
      <c r="AY19" s="26">
        <f>AV19+1</f>
        <v>19.0</v>
      </c>
      <c r="AZ19" s="26">
        <f>AW19+1</f>
        <v>19.0</v>
      </c>
      <c r="BA19" s="26">
        <f>AX19+1</f>
        <v>20.0</v>
      </c>
      <c r="BB19" s="26">
        <f>AY19+1</f>
        <v>20.0</v>
      </c>
      <c r="BC19" s="26">
        <f>AZ19+1</f>
        <v>20.0</v>
      </c>
      <c r="BD19" s="26">
        <f>BA19+1</f>
        <v>21.0</v>
      </c>
      <c r="BE19" s="26">
        <f>BB19+1</f>
        <v>21.0</v>
      </c>
      <c r="BF19" s="26">
        <f>BC19+1</f>
        <v>21.0</v>
      </c>
      <c r="BG19" s="26">
        <f>BD19+1</f>
        <v>22.0</v>
      </c>
      <c r="BH19" s="26">
        <f>BE19+1</f>
        <v>22.0</v>
      </c>
      <c r="BI19" s="26">
        <f>BF19+1</f>
        <v>22.0</v>
      </c>
      <c r="BJ19" s="26">
        <f>BG19+1</f>
        <v>23.0</v>
      </c>
      <c r="BK19" s="26">
        <f>BH19+1</f>
        <v>23.0</v>
      </c>
      <c r="BL19" s="26">
        <f>BI19+1</f>
        <v>23.0</v>
      </c>
      <c r="BM19" s="26">
        <f>BJ19+1</f>
        <v>24.0</v>
      </c>
      <c r="BN19" s="100">
        <f>SUM(F19:Q19)</f>
        <v>63.0</v>
      </c>
      <c r="BO19" s="26">
        <f>SUM(R19:AC19)</f>
        <v>118.0</v>
      </c>
      <c r="BP19" s="26">
        <f>SUM(AD19:AO19)</f>
        <v>166.0</v>
      </c>
      <c r="BQ19" s="26">
        <f>SUM(AP19:BA19)</f>
        <v>214.0</v>
      </c>
      <c r="BR19" s="26">
        <f>SUM(BB19:BM19)</f>
        <v>262.0</v>
      </c>
    </row>
    <row r="20">
      <c r="C20" s="160" t="inlineStr">
        <is>
          <t>解約予想数</t>
        </is>
      </c>
      <c r="D20" s="12" t="n"/>
      <c r="E20" s="160" t="n"/>
      <c r="F20" s="28">
        <f>F11*F21</f>
        <v>0.0</v>
      </c>
      <c r="G20" s="28">
        <f>G11*G21</f>
        <v>0.098</v>
      </c>
      <c r="H20" s="28">
        <f>H11*H21</f>
        <v>0.539</v>
      </c>
      <c r="I20" s="28">
        <f>I11*I21</f>
        <v>0.98</v>
      </c>
      <c r="J20" s="28">
        <f>J11*J21</f>
        <v>1.372</v>
      </c>
      <c r="K20" s="28">
        <f>K11*K21</f>
        <v>1.862</v>
      </c>
      <c r="L20" s="28">
        <f>L11*L21</f>
        <v>2.352</v>
      </c>
      <c r="M20" s="28">
        <f>M11*M21</f>
        <v>2.842</v>
      </c>
      <c r="N20" s="28">
        <f>N11*N21</f>
        <v>3.43</v>
      </c>
      <c r="O20" s="28">
        <f>O11*O21</f>
        <v>3.969</v>
      </c>
      <c r="P20" s="28">
        <f>P11*P21</f>
        <v>4.508</v>
      </c>
      <c r="Q20" s="28">
        <f>Q11*Q21</f>
        <v>5.145</v>
      </c>
      <c r="R20" s="86">
        <f>R11*R21</f>
        <v>5.733</v>
      </c>
      <c r="S20" s="28">
        <f>S11*S21</f>
        <v>6.321</v>
      </c>
      <c r="T20" s="28">
        <f>T11*T21</f>
        <v>7.007</v>
      </c>
      <c r="U20" s="28">
        <f>U11*U21</f>
        <v>7.644</v>
      </c>
      <c r="V20" s="28">
        <f>V11*V21</f>
        <v>8.281</v>
      </c>
      <c r="W20" s="28">
        <f>W11*W21</f>
        <v>9.016</v>
      </c>
      <c r="X20" s="28">
        <f>X11*X21</f>
        <v>9.702</v>
      </c>
      <c r="Y20" s="28">
        <f>Y11*Y21</f>
        <v>10.388</v>
      </c>
      <c r="Z20" s="28">
        <f>Z11*Z21</f>
        <v>11.172</v>
      </c>
      <c r="AA20" s="28">
        <f>AA11*AA21</f>
        <v>11.907</v>
      </c>
      <c r="AB20" s="28">
        <f>AB11*AB21</f>
        <v>12.642</v>
      </c>
      <c r="AC20" s="28">
        <f>AC11*AC21</f>
        <v>13.426</v>
      </c>
      <c r="AD20" s="28">
        <f>AD11*AD21</f>
        <v>10.731</v>
      </c>
      <c r="AE20" s="28">
        <f>AE11*AE21</f>
        <v>11.35575</v>
      </c>
      <c r="AF20" s="28">
        <f>AF11*AF21</f>
        <v>12.054</v>
      </c>
      <c r="AG20" s="28">
        <f>AG11*AG21</f>
        <v>12.7155</v>
      </c>
      <c r="AH20" s="28">
        <f>AH11*AH21</f>
        <v>13.41375</v>
      </c>
      <c r="AI20" s="28">
        <f>AI11*AI21</f>
        <v>14.112</v>
      </c>
      <c r="AJ20" s="28">
        <f>AJ11*AJ21</f>
        <v>14.847</v>
      </c>
      <c r="AK20" s="28">
        <f>AK11*AK21</f>
        <v>15.54525</v>
      </c>
      <c r="AL20" s="28">
        <f>AL11*AL21</f>
        <v>16.317</v>
      </c>
      <c r="AM20" s="28">
        <f>AM11*AM21</f>
        <v>17.052</v>
      </c>
      <c r="AN20" s="28">
        <f>AN11*AN21</f>
        <v>17.787</v>
      </c>
      <c r="AO20" s="28">
        <f>AO11*AO21</f>
        <v>18.5955</v>
      </c>
      <c r="AP20" s="28">
        <f>AP11*AP21</f>
        <v>19.36725</v>
      </c>
      <c r="AQ20" s="28">
        <f>AQ11*AQ21</f>
        <v>20.139</v>
      </c>
      <c r="AR20" s="28">
        <f>AR11*AR21</f>
        <v>20.9475</v>
      </c>
      <c r="AS20" s="28">
        <f>AS11*AS21</f>
        <v>21.756</v>
      </c>
      <c r="AT20" s="28">
        <f>AT11*AT21</f>
        <v>22.5645</v>
      </c>
      <c r="AU20" s="28">
        <f>AU11*AU21</f>
        <v>23.40975</v>
      </c>
      <c r="AV20" s="28">
        <f>AV11*AV21</f>
        <v>24.255</v>
      </c>
      <c r="AW20" s="28">
        <f>AW11*AW21</f>
        <v>25.10025</v>
      </c>
      <c r="AX20" s="28">
        <f>AX11*AX21</f>
        <v>25.98225</v>
      </c>
      <c r="AY20" s="28">
        <f>AY11*AY21</f>
        <v>26.8275</v>
      </c>
      <c r="AZ20" s="28">
        <f>AZ11*AZ21</f>
        <v>27.7095</v>
      </c>
      <c r="BA20" s="28">
        <f>BA11*BA21</f>
        <v>28.5915</v>
      </c>
      <c r="BB20" s="28">
        <f>BB11*BB21</f>
        <v>19.7715</v>
      </c>
      <c r="BC20" s="28">
        <f>BC11*BC21</f>
        <v>20.4575</v>
      </c>
      <c r="BD20" s="28">
        <f>BD11*BD21</f>
        <v>21.168</v>
      </c>
      <c r="BE20" s="28">
        <f>BE11*BE21</f>
        <v>21.8785</v>
      </c>
      <c r="BF20" s="28">
        <f>BF11*BF21</f>
        <v>22.589</v>
      </c>
      <c r="BG20" s="28">
        <f>BG11*BG21</f>
        <v>23.3485</v>
      </c>
      <c r="BH20" s="28">
        <f>BH11*BH21</f>
        <v>24.0835</v>
      </c>
      <c r="BI20" s="28">
        <f>BI11*BI21</f>
        <v>24.8185</v>
      </c>
      <c r="BJ20" s="28">
        <f>BJ11*BJ21</f>
        <v>25.578</v>
      </c>
      <c r="BK20" s="28">
        <f>BK11*BK21</f>
        <v>26.3375</v>
      </c>
      <c r="BL20" s="28">
        <f>BL11*BL21</f>
        <v>27.097</v>
      </c>
      <c r="BM20" s="28">
        <f>BM11*BM21</f>
        <v>27.881</v>
      </c>
      <c r="BN20" s="100">
        <f>SUM(F20:Q20)</f>
        <v>27.097</v>
      </c>
      <c r="BO20" s="28">
        <f>SUM(R20:AC20)</f>
        <v>113.239</v>
      </c>
      <c r="BP20" s="28">
        <f>SUM(AD20:AO20)</f>
        <v>174.52575</v>
      </c>
      <c r="BQ20" s="28">
        <f>SUM(AP20:BA20)</f>
        <v>286.65</v>
      </c>
      <c r="BR20" s="28">
        <f>SUM(BB20:BM20)</f>
        <v>285.0085</v>
      </c>
    </row>
    <row r="21">
      <c r="C21" s="160" t="inlineStr">
        <is>
          <t>解約率</t>
        </is>
      </c>
      <c r="D21" s="12" t="inlineStr">
        <is>
          <t>F&amp;M オフィスステーション1.01%</t>
        </is>
      </c>
      <c r="E21" s="160" t="n"/>
      <c r="F21" s="29" t="n">
        <v>0.02</v>
      </c>
      <c r="G21" s="29" t="n">
        <v>0.02</v>
      </c>
      <c r="H21" s="29" t="n">
        <v>0.02</v>
      </c>
      <c r="I21" s="29" t="n">
        <v>0.02</v>
      </c>
      <c r="J21" s="29" t="n">
        <v>0.02</v>
      </c>
      <c r="K21" s="29" t="n">
        <v>0.02</v>
      </c>
      <c r="L21" s="29" t="n">
        <v>0.02</v>
      </c>
      <c r="M21" s="29" t="n">
        <v>0.02</v>
      </c>
      <c r="N21" s="29" t="n">
        <v>0.02</v>
      </c>
      <c r="O21" s="29" t="n">
        <v>0.02</v>
      </c>
      <c r="P21" s="29" t="n">
        <v>0.02</v>
      </c>
      <c r="Q21" s="29" t="n">
        <v>0.02</v>
      </c>
      <c r="R21" s="78" t="n">
        <v>0.02</v>
      </c>
      <c r="S21" s="29" t="n">
        <v>0.02</v>
      </c>
      <c r="T21" s="29" t="n">
        <v>0.02</v>
      </c>
      <c r="U21" s="29" t="n">
        <v>0.02</v>
      </c>
      <c r="V21" s="29" t="n">
        <v>0.02</v>
      </c>
      <c r="W21" s="29" t="n">
        <v>0.02</v>
      </c>
      <c r="X21" s="29" t="n">
        <v>0.02</v>
      </c>
      <c r="Y21" s="29" t="n">
        <v>0.02</v>
      </c>
      <c r="Z21" s="29" t="n">
        <v>0.02</v>
      </c>
      <c r="AA21" s="29" t="n">
        <v>0.02</v>
      </c>
      <c r="AB21" s="29" t="n">
        <v>0.02</v>
      </c>
      <c r="AC21" s="29" t="n">
        <v>0.02</v>
      </c>
      <c r="AD21" s="162" t="n">
        <v>0.015</v>
      </c>
      <c r="AE21" s="162" t="n">
        <v>0.015</v>
      </c>
      <c r="AF21" s="162" t="n">
        <v>0.015</v>
      </c>
      <c r="AG21" s="162" t="n">
        <v>0.015</v>
      </c>
      <c r="AH21" s="162" t="n">
        <v>0.015</v>
      </c>
      <c r="AI21" s="162" t="n">
        <v>0.015</v>
      </c>
      <c r="AJ21" s="162" t="n">
        <v>0.015</v>
      </c>
      <c r="AK21" s="162" t="n">
        <v>0.015</v>
      </c>
      <c r="AL21" s="162" t="n">
        <v>0.015</v>
      </c>
      <c r="AM21" s="162" t="n">
        <v>0.015</v>
      </c>
      <c r="AN21" s="162" t="n">
        <v>0.015</v>
      </c>
      <c r="AO21" s="162" t="n">
        <v>0.015</v>
      </c>
      <c r="AP21" s="162" t="n">
        <v>0.015</v>
      </c>
      <c r="AQ21" s="162" t="n">
        <v>0.015</v>
      </c>
      <c r="AR21" s="162" t="n">
        <v>0.015</v>
      </c>
      <c r="AS21" s="162" t="n">
        <v>0.015</v>
      </c>
      <c r="AT21" s="162" t="n">
        <v>0.015</v>
      </c>
      <c r="AU21" s="162" t="n">
        <v>0.015</v>
      </c>
      <c r="AV21" s="162" t="n">
        <v>0.015</v>
      </c>
      <c r="AW21" s="162" t="n">
        <v>0.015</v>
      </c>
      <c r="AX21" s="162" t="n">
        <v>0.015</v>
      </c>
      <c r="AY21" s="162" t="n">
        <v>0.015</v>
      </c>
      <c r="AZ21" s="162" t="n">
        <v>0.015</v>
      </c>
      <c r="BA21" s="162" t="n">
        <v>0.015</v>
      </c>
      <c r="BB21" s="29" t="n">
        <v>0.01</v>
      </c>
      <c r="BC21" s="29" t="n">
        <v>0.01</v>
      </c>
      <c r="BD21" s="29" t="n">
        <v>0.01</v>
      </c>
      <c r="BE21" s="29" t="n">
        <v>0.01</v>
      </c>
      <c r="BF21" s="29" t="n">
        <v>0.01</v>
      </c>
      <c r="BG21" s="29" t="n">
        <v>0.01</v>
      </c>
      <c r="BH21" s="29" t="n">
        <v>0.01</v>
      </c>
      <c r="BI21" s="29" t="n">
        <v>0.01</v>
      </c>
      <c r="BJ21" s="29" t="n">
        <v>0.01</v>
      </c>
      <c r="BK21" s="29" t="n">
        <v>0.01</v>
      </c>
      <c r="BL21" s="29" t="n">
        <v>0.01</v>
      </c>
      <c r="BM21" s="29" t="n">
        <v>0.01</v>
      </c>
      <c r="BN21" s="101" t="n">
        <v>0.01</v>
      </c>
      <c r="BO21" s="29" t="n">
        <v>0.01</v>
      </c>
      <c r="BP21" s="29" t="n">
        <v>0.01</v>
      </c>
      <c r="BQ21" s="29" t="n">
        <v>0.01</v>
      </c>
      <c r="BR21" s="29" t="n">
        <v>0.01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4:BR21"/>
  <sheetViews>
    <sheetView tabSelected="1" topLeftCell="B1" workbookViewId="0">
      <selection activeCell="K28" sqref="K28"/>
    </sheetView>
  </sheetViews>
  <sheetFormatPr baseColWidth="10" defaultRowHeight="20"/>
  <sheetData>
    <row r="4">
      <c r="C4" s="120" t="inlineStr">
        <is>
          <t>■ ⑤ 売掛保証（保証型ファクタリング）※Y1から開拓</t>
        </is>
      </c>
      <c r="D4" s="120" t="inlineStr">
        <is>
          <t>イー・ギャランティ（東証プライム・会計事務所チャネルが本業）等。買取型ファクタリングは扱わない（高手数料・信用リスク）。URIHOは2026/3新規終了</t>
        </is>
      </c>
      <c r="E4" s="77" t="n"/>
      <c r="F4" s="121" t="inlineStr">
        <is>
          <t>Y1_M1</t>
        </is>
      </c>
      <c r="G4" s="121" t="inlineStr">
        <is>
          <t>Y1_M2</t>
        </is>
      </c>
      <c r="H4" s="121" t="inlineStr">
        <is>
          <t>Y1_M3</t>
        </is>
      </c>
      <c r="I4" s="121" t="inlineStr">
        <is>
          <t>Y1_M4</t>
        </is>
      </c>
      <c r="J4" s="121" t="inlineStr">
        <is>
          <t>Y1_M5</t>
        </is>
      </c>
      <c r="K4" s="121" t="inlineStr">
        <is>
          <t>Y1_M6</t>
        </is>
      </c>
      <c r="L4" s="121" t="inlineStr">
        <is>
          <t>Y1_M7</t>
        </is>
      </c>
      <c r="M4" s="121" t="inlineStr">
        <is>
          <t>Y1_M8</t>
        </is>
      </c>
      <c r="N4" s="121" t="inlineStr">
        <is>
          <t>Y1_M9</t>
        </is>
      </c>
      <c r="O4" s="121" t="inlineStr">
        <is>
          <t>Y1_M10</t>
        </is>
      </c>
      <c r="P4" s="121" t="inlineStr">
        <is>
          <t>Y1_M11</t>
        </is>
      </c>
      <c r="Q4" s="121" t="inlineStr">
        <is>
          <t>Y1_M12</t>
        </is>
      </c>
      <c r="R4" s="121" t="inlineStr">
        <is>
          <t>Y2_M1</t>
        </is>
      </c>
      <c r="S4" s="121" t="inlineStr">
        <is>
          <t>Y2_M2</t>
        </is>
      </c>
      <c r="T4" s="121" t="inlineStr">
        <is>
          <t>Y2_M3</t>
        </is>
      </c>
      <c r="U4" s="121" t="inlineStr">
        <is>
          <t>Y2_M4</t>
        </is>
      </c>
      <c r="V4" s="121" t="inlineStr">
        <is>
          <t>Y2_M5</t>
        </is>
      </c>
      <c r="W4" s="121" t="inlineStr">
        <is>
          <t>Y2_M6</t>
        </is>
      </c>
      <c r="X4" s="121" t="inlineStr">
        <is>
          <t>Y2_M7</t>
        </is>
      </c>
      <c r="Y4" s="121" t="inlineStr">
        <is>
          <t>Y2_M8</t>
        </is>
      </c>
      <c r="Z4" s="121" t="inlineStr">
        <is>
          <t>Y2_M9</t>
        </is>
      </c>
      <c r="AA4" s="121" t="inlineStr">
        <is>
          <t>Y2_M10</t>
        </is>
      </c>
      <c r="AB4" s="121" t="inlineStr">
        <is>
          <t>Y2_M11</t>
        </is>
      </c>
      <c r="AC4" s="121" t="inlineStr">
        <is>
          <t>Y2_M12</t>
        </is>
      </c>
      <c r="AD4" s="121" t="inlineStr">
        <is>
          <t>Y3_M1</t>
        </is>
      </c>
      <c r="AE4" s="121" t="inlineStr">
        <is>
          <t>Y3_M2</t>
        </is>
      </c>
      <c r="AF4" s="121" t="inlineStr">
        <is>
          <t>Y3_M3</t>
        </is>
      </c>
      <c r="AG4" s="121" t="inlineStr">
        <is>
          <t>Y3_M4</t>
        </is>
      </c>
      <c r="AH4" s="121" t="inlineStr">
        <is>
          <t>Y3_M5</t>
        </is>
      </c>
      <c r="AI4" s="121" t="inlineStr">
        <is>
          <t>Y3_M6</t>
        </is>
      </c>
      <c r="AJ4" s="121" t="inlineStr">
        <is>
          <t>Y3_M7</t>
        </is>
      </c>
      <c r="AK4" s="121" t="inlineStr">
        <is>
          <t>Y3_M8</t>
        </is>
      </c>
      <c r="AL4" s="121" t="inlineStr">
        <is>
          <t>Y3_M9</t>
        </is>
      </c>
      <c r="AM4" s="121" t="inlineStr">
        <is>
          <t>Y3_M10</t>
        </is>
      </c>
      <c r="AN4" s="121" t="inlineStr">
        <is>
          <t>Y3_M11</t>
        </is>
      </c>
      <c r="AO4" s="121" t="inlineStr">
        <is>
          <t>Y3_M12</t>
        </is>
      </c>
      <c r="AP4" s="121" t="inlineStr">
        <is>
          <t>Y4_M1</t>
        </is>
      </c>
      <c r="AQ4" s="121" t="inlineStr">
        <is>
          <t>Y4_M2</t>
        </is>
      </c>
      <c r="AR4" s="121" t="inlineStr">
        <is>
          <t>Y4_M3</t>
        </is>
      </c>
      <c r="AS4" s="121" t="inlineStr">
        <is>
          <t>Y4_M4</t>
        </is>
      </c>
      <c r="AT4" s="121" t="inlineStr">
        <is>
          <t>Y4_M5</t>
        </is>
      </c>
      <c r="AU4" s="121" t="inlineStr">
        <is>
          <t>Y4_M6</t>
        </is>
      </c>
      <c r="AV4" s="121" t="inlineStr">
        <is>
          <t>Y4_M7</t>
        </is>
      </c>
      <c r="AW4" s="121" t="inlineStr">
        <is>
          <t>Y4_M8</t>
        </is>
      </c>
      <c r="AX4" s="121" t="inlineStr">
        <is>
          <t>Y4_M9</t>
        </is>
      </c>
      <c r="AY4" s="121" t="inlineStr">
        <is>
          <t>Y4_M10</t>
        </is>
      </c>
      <c r="AZ4" s="121" t="inlineStr">
        <is>
          <t>Y4_M11</t>
        </is>
      </c>
      <c r="BA4" s="121" t="inlineStr">
        <is>
          <t>Y4_M12</t>
        </is>
      </c>
      <c r="BB4" s="121" t="inlineStr">
        <is>
          <t>Y5_M1</t>
        </is>
      </c>
      <c r="BC4" s="121" t="inlineStr">
        <is>
          <t>Y5_M2</t>
        </is>
      </c>
      <c r="BD4" s="121" t="inlineStr">
        <is>
          <t>Y5_M3</t>
        </is>
      </c>
      <c r="BE4" s="121" t="inlineStr">
        <is>
          <t>Y5_M4</t>
        </is>
      </c>
      <c r="BF4" s="121" t="inlineStr">
        <is>
          <t>Y5_M5</t>
        </is>
      </c>
      <c r="BG4" s="121" t="inlineStr">
        <is>
          <t>Y5_M6</t>
        </is>
      </c>
      <c r="BH4" s="121" t="inlineStr">
        <is>
          <t>Y5_M7</t>
        </is>
      </c>
      <c r="BI4" s="121" t="inlineStr">
        <is>
          <t>Y5_M8</t>
        </is>
      </c>
      <c r="BJ4" s="121" t="inlineStr">
        <is>
          <t>Y5_M9</t>
        </is>
      </c>
      <c r="BK4" s="121" t="inlineStr">
        <is>
          <t>Y5_M10</t>
        </is>
      </c>
      <c r="BL4" s="121" t="inlineStr">
        <is>
          <t>Y5_M11</t>
        </is>
      </c>
      <c r="BM4" s="121" t="inlineStr">
        <is>
          <t>Y5_M12</t>
        </is>
      </c>
      <c r="BN4" s="122" t="inlineStr">
        <is>
          <t>Y1</t>
        </is>
      </c>
      <c r="BO4" s="122" t="inlineStr">
        <is>
          <t>Y2</t>
        </is>
      </c>
      <c r="BP4" s="122" t="inlineStr">
        <is>
          <t>Y3</t>
        </is>
      </c>
      <c r="BQ4" s="122" t="inlineStr">
        <is>
          <t>Y4</t>
        </is>
      </c>
      <c r="BR4" s="122" t="inlineStr">
        <is>
          <t>Y5</t>
        </is>
      </c>
    </row>
    <row r="5">
      <c r="C5" s="123" t="inlineStr">
        <is>
          <t>売上</t>
        </is>
      </c>
      <c r="F5" s="124">
        <f>(F11-F20)*F16*12</f>
        <v>0.0</v>
      </c>
      <c r="G5" s="205">
        <f>(G11-G20)*G16*12</f>
        <v>44452.8</v>
      </c>
      <c r="H5" s="205">
        <f>(H11-H20)*H16*12</f>
        <v>244490.4</v>
      </c>
      <c r="I5" s="205">
        <f>(I11-I20)*I16*12</f>
        <v>444528.0</v>
      </c>
      <c r="J5" s="205">
        <f>(J11-J20)*J16*12</f>
        <v>622339.2</v>
      </c>
      <c r="K5" s="205">
        <f>(K11-K20)*K16*12</f>
        <v>844603.2</v>
      </c>
      <c r="L5" s="205">
        <f>(L11-L20)*L16*12</f>
        <v>1066867.2</v>
      </c>
      <c r="M5" s="205">
        <f>(M11-M20)*M16*12</f>
        <v>1289131.2</v>
      </c>
      <c r="N5" s="205">
        <f>(N11-N20)*N16*12</f>
        <v>1555848.0</v>
      </c>
      <c r="O5" s="205">
        <f>(O11-O20)*O16*12</f>
        <v>1800338.4</v>
      </c>
      <c r="P5" s="205">
        <f>(P11-P20)*P16*12</f>
        <v>2044828.8</v>
      </c>
      <c r="Q5" s="205">
        <f>(Q11-Q20)*Q16*12</f>
        <v>2333772.0</v>
      </c>
      <c r="R5" s="206">
        <f>(R11-R20)*R16*12</f>
        <v>2600488.8</v>
      </c>
      <c r="S5" s="205">
        <f>(S11-S20)*S16*12</f>
        <v>2867205.6</v>
      </c>
      <c r="T5" s="205">
        <f>(T11-T20)*T16*12</f>
        <v>3178375.2</v>
      </c>
      <c r="U5" s="205">
        <f>(U11-U20)*U16*12</f>
        <v>3467318.4</v>
      </c>
      <c r="V5" s="205">
        <f>(V11-V20)*V16*12</f>
        <v>3756261.6</v>
      </c>
      <c r="W5" s="205">
        <f>(W11-W20)*W16*12</f>
        <v>4089657.6</v>
      </c>
      <c r="X5" s="205">
        <f>(X11-X20)*X16*12</f>
        <v>4400827.2</v>
      </c>
      <c r="Y5" s="205">
        <f>(Y11-Y20)*Y16*12</f>
        <v>4711996.8</v>
      </c>
      <c r="Z5" s="205">
        <f>(Z11-Z20)*Z16*12</f>
        <v>5067619.2</v>
      </c>
      <c r="AA5" s="205">
        <f>(AA11-AA20)*AA16*12</f>
        <v>5401015.2</v>
      </c>
      <c r="AB5" s="205">
        <f>(AB11-AB20)*AB16*12</f>
        <v>5734411.2</v>
      </c>
      <c r="AC5" s="205">
        <f>(AC11-AC20)*AC16*12</f>
        <v>6090033.6</v>
      </c>
      <c r="AD5" s="205">
        <f>(AD11-AD20)*AD16*12</f>
        <v>6523221.6</v>
      </c>
      <c r="AE5" s="205">
        <f>(AE11-AE20)*AE16*12</f>
        <v>6902998.2</v>
      </c>
      <c r="AF5" s="205">
        <f>(AF11-AF20)*AF16*12</f>
        <v>7327454.4</v>
      </c>
      <c r="AG5" s="205">
        <f>(AG11-AG20)*AG16*12</f>
        <v>7729570.8</v>
      </c>
      <c r="AH5" s="205">
        <f>(AH11-AH20)*AH16*12</f>
        <v>8154027.0</v>
      </c>
      <c r="AI5" s="205">
        <f>(AI11-AI20)*AI16*12</f>
        <v>8578483.2</v>
      </c>
      <c r="AJ5" s="205">
        <f>(AJ11-AJ20)*AJ16*12</f>
        <v>9025279.2</v>
      </c>
      <c r="AK5" s="205">
        <f>(AK11-AK20)*AK16*12</f>
        <v>9449735.4</v>
      </c>
      <c r="AL5" s="205">
        <f>(AL11-AL20)*AL16*12</f>
        <v>9918871.2</v>
      </c>
      <c r="AM5" s="205">
        <f>(AM11-AM20)*AM16*12</f>
        <v>10365667.2</v>
      </c>
      <c r="AN5" s="205">
        <f>(AN11-AN20)*AN16*12</f>
        <v>10812463.2</v>
      </c>
      <c r="AO5" s="205">
        <f>(AO11-AO20)*AO16*12</f>
        <v>11303938.8</v>
      </c>
      <c r="AP5" s="205">
        <f>(AP11-AP20)*AP16*12</f>
        <v>11773074.6</v>
      </c>
      <c r="AQ5" s="205">
        <f>(AQ11-AQ20)*AQ16*12</f>
        <v>12242210.4</v>
      </c>
      <c r="AR5" s="205">
        <f>(AR11-AR20)*AR16*12</f>
        <v>12733686.0</v>
      </c>
      <c r="AS5" s="205">
        <f>(AS11-AS20)*AS16*12</f>
        <v>13225161.6</v>
      </c>
      <c r="AT5" s="205">
        <f>(AT11-AT20)*AT16*12</f>
        <v>13716637.2</v>
      </c>
      <c r="AU5" s="205">
        <f>(AU11-AU20)*AU16*12</f>
        <v>14230452.6</v>
      </c>
      <c r="AV5" s="205">
        <f>(AV11-AV20)*AV16*12</f>
        <v>14744268.0</v>
      </c>
      <c r="AW5" s="205">
        <f>(AW11-AW20)*AW16*12</f>
        <v>15258083.4</v>
      </c>
      <c r="AX5" s="205">
        <f>(AX11-AX20)*AX16*12</f>
        <v>15794238.6</v>
      </c>
      <c r="AY5" s="205">
        <f>(AY11-AY20)*AY16*12</f>
        <v>16308054.0</v>
      </c>
      <c r="AZ5" s="205">
        <f>(AZ11-AZ20)*AZ16*12</f>
        <v>16844209.2</v>
      </c>
      <c r="BA5" s="205">
        <f>(BA11-BA20)*BA16*12</f>
        <v>17380364.4</v>
      </c>
      <c r="BB5" s="205">
        <f>(BB11-BB20)*BB16*12</f>
        <v>18119732.4</v>
      </c>
      <c r="BC5" s="205">
        <f>(BC11-BC20)*BC16*12</f>
        <v>18748422.0</v>
      </c>
      <c r="BD5" s="205">
        <f>(BD11-BD20)*BD16*12</f>
        <v>19399564.8</v>
      </c>
      <c r="BE5" s="205">
        <f>(BE11-BE20)*BE16*12</f>
        <v>20050707.6</v>
      </c>
      <c r="BF5" s="205">
        <f>(BF11-BF20)*BF16*12</f>
        <v>20701850.4</v>
      </c>
      <c r="BG5" s="205">
        <f>(BG11-BG20)*BG16*12</f>
        <v>21397899.6</v>
      </c>
      <c r="BH5" s="205">
        <f>(BH11-BH20)*BH16*12</f>
        <v>22071495.6</v>
      </c>
      <c r="BI5" s="205">
        <f>(BI11-BI20)*BI16*12</f>
        <v>22745091.6</v>
      </c>
      <c r="BJ5" s="205">
        <f>(BJ11-BJ20)*BJ16*12</f>
        <v>23441140.8</v>
      </c>
      <c r="BK5" s="205">
        <f>(BK11-BK20)*BK16*12</f>
        <v>24137190.0</v>
      </c>
      <c r="BL5" s="205">
        <f>(BL11-BL20)*BL16*12</f>
        <v>24833239.2</v>
      </c>
      <c r="BM5" s="205">
        <f>(BM11-BM20)*BM16*12</f>
        <v>25551741.6</v>
      </c>
      <c r="BN5" s="207">
        <f>(BN11-BN20)*BN16*12</f>
        <v>2130559.2</v>
      </c>
      <c r="BO5" s="208">
        <f>(BO11-BO20)*BO16*12</f>
        <v>5166050.4</v>
      </c>
      <c r="BP5" s="208">
        <f>(BP11-BP20)*BP16*12</f>
        <v>9860470.2</v>
      </c>
      <c r="BQ5" s="208">
        <f>(BQ11-BQ20)*BQ16*12</f>
        <v>14991480.0</v>
      </c>
      <c r="BR5" s="208">
        <f>(BR11-BR20)*BR16*12</f>
        <v>23171475.6</v>
      </c>
    </row>
    <row r="6">
      <c r="C6" s="129" t="inlineStr">
        <is>
          <t>顧問先</t>
        </is>
      </c>
      <c r="D6" s="129" t="n"/>
      <c r="E6" s="129" t="n"/>
      <c r="F6" s="129">
        <f>35*F18</f>
        <v>0.0</v>
      </c>
      <c r="G6" s="129">
        <f>35*G18</f>
        <v>70.0</v>
      </c>
      <c r="H6" s="129">
        <f>35*H18</f>
        <v>385.0</v>
      </c>
      <c r="I6" s="129">
        <f>35*I18</f>
        <v>700.0</v>
      </c>
      <c r="J6" s="129">
        <f>35*J18</f>
        <v>980.0</v>
      </c>
      <c r="K6" s="129">
        <f>35*K18</f>
        <v>1330.0</v>
      </c>
      <c r="L6" s="129">
        <f>35*L18</f>
        <v>1680.0</v>
      </c>
      <c r="M6" s="129">
        <f>35*M18</f>
        <v>2030.0</v>
      </c>
      <c r="N6" s="129">
        <f>35*N18</f>
        <v>2450.0</v>
      </c>
      <c r="O6" s="129">
        <f>35*O18</f>
        <v>2835.0</v>
      </c>
      <c r="P6" s="129">
        <f>35*P18</f>
        <v>3220.0</v>
      </c>
      <c r="Q6" s="129">
        <f>35*Q18</f>
        <v>3675.0</v>
      </c>
      <c r="R6" s="130">
        <f>35*R18</f>
        <v>4095.0</v>
      </c>
      <c r="S6" s="129">
        <f>35*S18</f>
        <v>4515.0</v>
      </c>
      <c r="T6" s="129">
        <f>35*T18</f>
        <v>5005.0</v>
      </c>
      <c r="U6" s="129">
        <f>35*U18</f>
        <v>5460.0</v>
      </c>
      <c r="V6" s="129">
        <f>35*V18</f>
        <v>5915.0</v>
      </c>
      <c r="W6" s="129">
        <f>35*W18</f>
        <v>6440.0</v>
      </c>
      <c r="X6" s="129">
        <f>35*X18</f>
        <v>6930.0</v>
      </c>
      <c r="Y6" s="129">
        <f>35*Y18</f>
        <v>7420.0</v>
      </c>
      <c r="Z6" s="129">
        <f>35*Z18</f>
        <v>7980.0</v>
      </c>
      <c r="AA6" s="129">
        <f>35*AA18</f>
        <v>8505.0</v>
      </c>
      <c r="AB6" s="129">
        <f>35*AB18</f>
        <v>9030.0</v>
      </c>
      <c r="AC6" s="129">
        <f>35*AC18</f>
        <v>9590.0</v>
      </c>
      <c r="AD6" s="129">
        <f>35*AD18</f>
        <v>10220.0</v>
      </c>
      <c r="AE6" s="129">
        <f>35*AE18</f>
        <v>10815.0</v>
      </c>
      <c r="AF6" s="129">
        <f>35*AF18</f>
        <v>11480.0</v>
      </c>
      <c r="AG6" s="129">
        <f>35*AG18</f>
        <v>12110.0</v>
      </c>
      <c r="AH6" s="129">
        <f>35*AH18</f>
        <v>12775.0</v>
      </c>
      <c r="AI6" s="129">
        <f>35*AI18</f>
        <v>13440.0</v>
      </c>
      <c r="AJ6" s="129">
        <f>35*AJ18</f>
        <v>14140.0</v>
      </c>
      <c r="AK6" s="129">
        <f>35*AK18</f>
        <v>14805.0</v>
      </c>
      <c r="AL6" s="129">
        <f>35*AL18</f>
        <v>15540.0</v>
      </c>
      <c r="AM6" s="129">
        <f>35*AM18</f>
        <v>16240.0</v>
      </c>
      <c r="AN6" s="129">
        <f>35*AN18</f>
        <v>16940.0</v>
      </c>
      <c r="AO6" s="129">
        <f>35*AO18</f>
        <v>17710.0</v>
      </c>
      <c r="AP6" s="129">
        <f>35*AP18</f>
        <v>18445.0</v>
      </c>
      <c r="AQ6" s="129">
        <f>35*AQ18</f>
        <v>19180.0</v>
      </c>
      <c r="AR6" s="129">
        <f>35*AR18</f>
        <v>19950.0</v>
      </c>
      <c r="AS6" s="129">
        <f>35*AS18</f>
        <v>20720.0</v>
      </c>
      <c r="AT6" s="129">
        <f>35*AT18</f>
        <v>21490.0</v>
      </c>
      <c r="AU6" s="129">
        <f>35*AU18</f>
        <v>22295.0</v>
      </c>
      <c r="AV6" s="129">
        <f>35*AV18</f>
        <v>23100.0</v>
      </c>
      <c r="AW6" s="129">
        <f>35*AW18</f>
        <v>23905.0</v>
      </c>
      <c r="AX6" s="129">
        <f>35*AX18</f>
        <v>24745.0</v>
      </c>
      <c r="AY6" s="129">
        <f>35*AY18</f>
        <v>25550.0</v>
      </c>
      <c r="AZ6" s="129">
        <f>35*AZ18</f>
        <v>26390.0</v>
      </c>
      <c r="BA6" s="129">
        <f>35*BA18</f>
        <v>27230.0</v>
      </c>
      <c r="BB6" s="129">
        <f>35*BB18</f>
        <v>28245.0</v>
      </c>
      <c r="BC6" s="129">
        <f>35*BC18</f>
        <v>29225.0</v>
      </c>
      <c r="BD6" s="129">
        <f>35*BD18</f>
        <v>30240.0</v>
      </c>
      <c r="BE6" s="129">
        <f>35*BE18</f>
        <v>31255.0</v>
      </c>
      <c r="BF6" s="129">
        <f>35*BF18</f>
        <v>32270.0</v>
      </c>
      <c r="BG6" s="129">
        <f>35*BG18</f>
        <v>33355.0</v>
      </c>
      <c r="BH6" s="129">
        <f>35*BH18</f>
        <v>34405.0</v>
      </c>
      <c r="BI6" s="129">
        <f>35*BI18</f>
        <v>35455.0</v>
      </c>
      <c r="BJ6" s="129">
        <f>35*BJ18</f>
        <v>36540.0</v>
      </c>
      <c r="BK6" s="129">
        <f>35*BK18</f>
        <v>37625.0</v>
      </c>
      <c r="BL6" s="129">
        <f>35*BL18</f>
        <v>38710.0</v>
      </c>
      <c r="BM6" s="129">
        <f>35*BM18</f>
        <v>39830.0</v>
      </c>
      <c r="BN6" s="131">
        <f>35*BN18</f>
        <v>3675.0</v>
      </c>
      <c r="BO6" s="132">
        <f>35*BO18</f>
        <v>9590.0</v>
      </c>
      <c r="BP6" s="132">
        <f>35*BP18</f>
        <v>17710.0</v>
      </c>
      <c r="BQ6" s="132">
        <f>35*BQ18</f>
        <v>27230.0</v>
      </c>
      <c r="BR6" s="132">
        <f>35*BR18</f>
        <v>39830.0</v>
      </c>
    </row>
    <row r="7">
      <c r="C7" s="120" t="inlineStr">
        <is>
          <t>掛売り中心・売掛金2ヶ月超割合</t>
        </is>
      </c>
      <c r="D7" s="120" t="inlineStr">
        <is>
          <t>検出＝売掛金÷月商＞2ヶ月（決算書から自動）。推定</t>
        </is>
      </c>
      <c r="E7" s="120" t="n"/>
      <c r="F7" s="120" t="n">
        <v>0.5</v>
      </c>
      <c r="G7" s="120" t="n">
        <v>0.5</v>
      </c>
      <c r="H7" s="120" t="n">
        <v>0.5</v>
      </c>
      <c r="I7" s="120" t="n">
        <v>0.5</v>
      </c>
      <c r="J7" s="120" t="n">
        <v>0.5</v>
      </c>
      <c r="K7" s="120" t="n">
        <v>0.5</v>
      </c>
      <c r="L7" s="120" t="n">
        <v>0.5</v>
      </c>
      <c r="M7" s="120" t="n">
        <v>0.5</v>
      </c>
      <c r="N7" s="120" t="n">
        <v>0.5</v>
      </c>
      <c r="O7" s="120" t="n">
        <v>0.5</v>
      </c>
      <c r="P7" s="120" t="n">
        <v>0.5</v>
      </c>
      <c r="Q7" s="120" t="n">
        <v>0.5</v>
      </c>
      <c r="R7" s="133" t="n">
        <v>0.5</v>
      </c>
      <c r="S7" s="120" t="n">
        <v>0.5</v>
      </c>
      <c r="T7" s="120" t="n">
        <v>0.5</v>
      </c>
      <c r="U7" s="120" t="n">
        <v>0.5</v>
      </c>
      <c r="V7" s="120" t="n">
        <v>0.5</v>
      </c>
      <c r="W7" s="120" t="n">
        <v>0.5</v>
      </c>
      <c r="X7" s="120" t="n">
        <v>0.5</v>
      </c>
      <c r="Y7" s="120" t="n">
        <v>0.5</v>
      </c>
      <c r="Z7" s="120" t="n">
        <v>0.5</v>
      </c>
      <c r="AA7" s="120" t="n">
        <v>0.5</v>
      </c>
      <c r="AB7" s="120" t="n">
        <v>0.5</v>
      </c>
      <c r="AC7" s="120" t="n">
        <v>0.5</v>
      </c>
      <c r="AD7" s="120" t="n">
        <v>0.5</v>
      </c>
      <c r="AE7" s="120" t="n">
        <v>0.5</v>
      </c>
      <c r="AF7" s="120" t="n">
        <v>0.5</v>
      </c>
      <c r="AG7" s="120" t="n">
        <v>0.5</v>
      </c>
      <c r="AH7" s="120" t="n">
        <v>0.5</v>
      </c>
      <c r="AI7" s="120" t="n">
        <v>0.5</v>
      </c>
      <c r="AJ7" s="120" t="n">
        <v>0.5</v>
      </c>
      <c r="AK7" s="120" t="n">
        <v>0.5</v>
      </c>
      <c r="AL7" s="120" t="n">
        <v>0.5</v>
      </c>
      <c r="AM7" s="120" t="n">
        <v>0.5</v>
      </c>
      <c r="AN7" s="120" t="n">
        <v>0.5</v>
      </c>
      <c r="AO7" s="120" t="n">
        <v>0.5</v>
      </c>
      <c r="AP7" s="120" t="n">
        <v>0.5</v>
      </c>
      <c r="AQ7" s="120" t="n">
        <v>0.5</v>
      </c>
      <c r="AR7" s="120" t="n">
        <v>0.5</v>
      </c>
      <c r="AS7" s="120" t="n">
        <v>0.5</v>
      </c>
      <c r="AT7" s="120" t="n">
        <v>0.5</v>
      </c>
      <c r="AU7" s="120" t="n">
        <v>0.5</v>
      </c>
      <c r="AV7" s="120" t="n">
        <v>0.5</v>
      </c>
      <c r="AW7" s="120" t="n">
        <v>0.5</v>
      </c>
      <c r="AX7" s="120" t="n">
        <v>0.5</v>
      </c>
      <c r="AY7" s="120" t="n">
        <v>0.5</v>
      </c>
      <c r="AZ7" s="120" t="n">
        <v>0.5</v>
      </c>
      <c r="BA7" s="120" t="n">
        <v>0.5</v>
      </c>
      <c r="BB7" s="120" t="n">
        <v>0.5</v>
      </c>
      <c r="BC7" s="120" t="n">
        <v>0.5</v>
      </c>
      <c r="BD7" s="120" t="n">
        <v>0.5</v>
      </c>
      <c r="BE7" s="120" t="n">
        <v>0.5</v>
      </c>
      <c r="BF7" s="120" t="n">
        <v>0.5</v>
      </c>
      <c r="BG7" s="120" t="n">
        <v>0.5</v>
      </c>
      <c r="BH7" s="120" t="n">
        <v>0.5</v>
      </c>
      <c r="BI7" s="120" t="n">
        <v>0.5</v>
      </c>
      <c r="BJ7" s="120" t="n">
        <v>0.5</v>
      </c>
      <c r="BK7" s="120" t="n">
        <v>0.5</v>
      </c>
      <c r="BL7" s="120" t="n">
        <v>0.5</v>
      </c>
      <c r="BM7" s="120" t="n">
        <v>0.5</v>
      </c>
      <c r="BN7" s="131" t="n">
        <v>0.5</v>
      </c>
      <c r="BO7" s="120" t="n">
        <v>0.5</v>
      </c>
      <c r="BP7" s="120" t="n">
        <v>0.5</v>
      </c>
      <c r="BQ7" s="120" t="n">
        <v>0.5</v>
      </c>
      <c r="BR7" s="120" t="n">
        <v>0.5</v>
      </c>
    </row>
    <row r="8">
      <c r="C8" s="120" t="inlineStr">
        <is>
          <t>税理士 ➡ 企業提案</t>
        </is>
      </c>
      <c r="D8" s="120" t="inlineStr">
        <is>
          <t>貸倒＝社長の実痛。1社依存の顧問先に刺さる（北村ヒアリング#08）</t>
        </is>
      </c>
      <c r="E8" s="120" t="n"/>
      <c r="F8" s="120" t="n">
        <v>0.4</v>
      </c>
      <c r="G8" s="120" t="n">
        <v>0.4</v>
      </c>
      <c r="H8" s="120" t="n">
        <v>0.4</v>
      </c>
      <c r="I8" s="120" t="n">
        <v>0.4</v>
      </c>
      <c r="J8" s="120" t="n">
        <v>0.4</v>
      </c>
      <c r="K8" s="120" t="n">
        <v>0.4</v>
      </c>
      <c r="L8" s="120" t="n">
        <v>0.4</v>
      </c>
      <c r="M8" s="120" t="n">
        <v>0.4</v>
      </c>
      <c r="N8" s="120" t="n">
        <v>0.4</v>
      </c>
      <c r="O8" s="120" t="n">
        <v>0.4</v>
      </c>
      <c r="P8" s="120" t="n">
        <v>0.4</v>
      </c>
      <c r="Q8" s="120" t="n">
        <v>0.4</v>
      </c>
      <c r="R8" s="133" t="n">
        <v>0.4</v>
      </c>
      <c r="S8" s="120" t="n">
        <v>0.4</v>
      </c>
      <c r="T8" s="120" t="n">
        <v>0.4</v>
      </c>
      <c r="U8" s="120" t="n">
        <v>0.4</v>
      </c>
      <c r="V8" s="120" t="n">
        <v>0.4</v>
      </c>
      <c r="W8" s="120" t="n">
        <v>0.4</v>
      </c>
      <c r="X8" s="120" t="n">
        <v>0.4</v>
      </c>
      <c r="Y8" s="120" t="n">
        <v>0.4</v>
      </c>
      <c r="Z8" s="120" t="n">
        <v>0.4</v>
      </c>
      <c r="AA8" s="120" t="n">
        <v>0.4</v>
      </c>
      <c r="AB8" s="120" t="n">
        <v>0.4</v>
      </c>
      <c r="AC8" s="120" t="n">
        <v>0.4</v>
      </c>
      <c r="AD8" s="120" t="n">
        <v>0.4</v>
      </c>
      <c r="AE8" s="120" t="n">
        <v>0.4</v>
      </c>
      <c r="AF8" s="120" t="n">
        <v>0.4</v>
      </c>
      <c r="AG8" s="120" t="n">
        <v>0.4</v>
      </c>
      <c r="AH8" s="120" t="n">
        <v>0.4</v>
      </c>
      <c r="AI8" s="120" t="n">
        <v>0.4</v>
      </c>
      <c r="AJ8" s="120" t="n">
        <v>0.4</v>
      </c>
      <c r="AK8" s="120" t="n">
        <v>0.4</v>
      </c>
      <c r="AL8" s="120" t="n">
        <v>0.4</v>
      </c>
      <c r="AM8" s="120" t="n">
        <v>0.4</v>
      </c>
      <c r="AN8" s="120" t="n">
        <v>0.4</v>
      </c>
      <c r="AO8" s="120" t="n">
        <v>0.4</v>
      </c>
      <c r="AP8" s="120" t="n">
        <v>0.4</v>
      </c>
      <c r="AQ8" s="120" t="n">
        <v>0.4</v>
      </c>
      <c r="AR8" s="120" t="n">
        <v>0.4</v>
      </c>
      <c r="AS8" s="120" t="n">
        <v>0.4</v>
      </c>
      <c r="AT8" s="120" t="n">
        <v>0.4</v>
      </c>
      <c r="AU8" s="120" t="n">
        <v>0.4</v>
      </c>
      <c r="AV8" s="120" t="n">
        <v>0.4</v>
      </c>
      <c r="AW8" s="120" t="n">
        <v>0.4</v>
      </c>
      <c r="AX8" s="120" t="n">
        <v>0.4</v>
      </c>
      <c r="AY8" s="120" t="n">
        <v>0.4</v>
      </c>
      <c r="AZ8" s="120" t="n">
        <v>0.4</v>
      </c>
      <c r="BA8" s="120" t="n">
        <v>0.4</v>
      </c>
      <c r="BB8" s="120" t="n">
        <v>0.4</v>
      </c>
      <c r="BC8" s="120" t="n">
        <v>0.4</v>
      </c>
      <c r="BD8" s="120" t="n">
        <v>0.4</v>
      </c>
      <c r="BE8" s="120" t="n">
        <v>0.4</v>
      </c>
      <c r="BF8" s="120" t="n">
        <v>0.4</v>
      </c>
      <c r="BG8" s="120" t="n">
        <v>0.4</v>
      </c>
      <c r="BH8" s="120" t="n">
        <v>0.4</v>
      </c>
      <c r="BI8" s="120" t="n">
        <v>0.4</v>
      </c>
      <c r="BJ8" s="120" t="n">
        <v>0.4</v>
      </c>
      <c r="BK8" s="120" t="n">
        <v>0.4</v>
      </c>
      <c r="BL8" s="120" t="n">
        <v>0.4</v>
      </c>
      <c r="BM8" s="120" t="n">
        <v>0.4</v>
      </c>
      <c r="BN8" s="131" t="n">
        <v>0.4</v>
      </c>
      <c r="BO8" s="120" t="n">
        <v>0.4</v>
      </c>
      <c r="BP8" s="120" t="n">
        <v>0.4</v>
      </c>
      <c r="BQ8" s="120" t="n">
        <v>0.4</v>
      </c>
      <c r="BR8" s="120" t="n">
        <v>0.4</v>
      </c>
    </row>
    <row r="9">
      <c r="C9" s="129" t="inlineStr">
        <is>
          <t>受注率</t>
        </is>
      </c>
      <c r="D9" s="129" t="inlineStr">
        <is>
          <t>保証料コストが発生するため保守。推定</t>
        </is>
      </c>
      <c r="E9" s="129" t="n"/>
      <c r="F9" s="129" t="n">
        <v>0.3</v>
      </c>
      <c r="G9" s="129" t="n">
        <v>0.3</v>
      </c>
      <c r="H9" s="129" t="n">
        <v>0.3</v>
      </c>
      <c r="I9" s="129" t="n">
        <v>0.3</v>
      </c>
      <c r="J9" s="129" t="n">
        <v>0.3</v>
      </c>
      <c r="K9" s="129" t="n">
        <v>0.3</v>
      </c>
      <c r="L9" s="129" t="n">
        <v>0.3</v>
      </c>
      <c r="M9" s="129" t="n">
        <v>0.3</v>
      </c>
      <c r="N9" s="129" t="n">
        <v>0.3</v>
      </c>
      <c r="O9" s="129" t="n">
        <v>0.3</v>
      </c>
      <c r="P9" s="129" t="n">
        <v>0.3</v>
      </c>
      <c r="Q9" s="129" t="n">
        <v>0.3</v>
      </c>
      <c r="R9" s="130" t="n">
        <v>0.3</v>
      </c>
      <c r="S9" s="129" t="n">
        <v>0.3</v>
      </c>
      <c r="T9" s="129" t="n">
        <v>0.3</v>
      </c>
      <c r="U9" s="129" t="n">
        <v>0.3</v>
      </c>
      <c r="V9" s="129" t="n">
        <v>0.3</v>
      </c>
      <c r="W9" s="129" t="n">
        <v>0.3</v>
      </c>
      <c r="X9" s="129" t="n">
        <v>0.3</v>
      </c>
      <c r="Y9" s="129" t="n">
        <v>0.3</v>
      </c>
      <c r="Z9" s="129" t="n">
        <v>0.3</v>
      </c>
      <c r="AA9" s="129" t="n">
        <v>0.3</v>
      </c>
      <c r="AB9" s="129" t="n">
        <v>0.3</v>
      </c>
      <c r="AC9" s="129" t="n">
        <v>0.3</v>
      </c>
      <c r="AD9" s="129" t="n">
        <v>0.3</v>
      </c>
      <c r="AE9" s="129" t="n">
        <v>0.3</v>
      </c>
      <c r="AF9" s="129" t="n">
        <v>0.3</v>
      </c>
      <c r="AG9" s="129" t="n">
        <v>0.3</v>
      </c>
      <c r="AH9" s="129" t="n">
        <v>0.3</v>
      </c>
      <c r="AI9" s="129" t="n">
        <v>0.3</v>
      </c>
      <c r="AJ9" s="129" t="n">
        <v>0.3</v>
      </c>
      <c r="AK9" s="129" t="n">
        <v>0.3</v>
      </c>
      <c r="AL9" s="129" t="n">
        <v>0.3</v>
      </c>
      <c r="AM9" s="129" t="n">
        <v>0.3</v>
      </c>
      <c r="AN9" s="129" t="n">
        <v>0.3</v>
      </c>
      <c r="AO9" s="129" t="n">
        <v>0.3</v>
      </c>
      <c r="AP9" s="129" t="n">
        <v>0.3</v>
      </c>
      <c r="AQ9" s="129" t="n">
        <v>0.3</v>
      </c>
      <c r="AR9" s="129" t="n">
        <v>0.3</v>
      </c>
      <c r="AS9" s="129" t="n">
        <v>0.3</v>
      </c>
      <c r="AT9" s="129" t="n">
        <v>0.3</v>
      </c>
      <c r="AU9" s="129" t="n">
        <v>0.3</v>
      </c>
      <c r="AV9" s="129" t="n">
        <v>0.3</v>
      </c>
      <c r="AW9" s="129" t="n">
        <v>0.3</v>
      </c>
      <c r="AX9" s="129" t="n">
        <v>0.3</v>
      </c>
      <c r="AY9" s="129" t="n">
        <v>0.3</v>
      </c>
      <c r="AZ9" s="129" t="n">
        <v>0.3</v>
      </c>
      <c r="BA9" s="129" t="n">
        <v>0.3</v>
      </c>
      <c r="BB9" s="129" t="n">
        <v>0.3</v>
      </c>
      <c r="BC9" s="129" t="n">
        <v>0.3</v>
      </c>
      <c r="BD9" s="129" t="n">
        <v>0.3</v>
      </c>
      <c r="BE9" s="129" t="n">
        <v>0.3</v>
      </c>
      <c r="BF9" s="129" t="n">
        <v>0.3</v>
      </c>
      <c r="BG9" s="129" t="n">
        <v>0.3</v>
      </c>
      <c r="BH9" s="129" t="n">
        <v>0.3</v>
      </c>
      <c r="BI9" s="129" t="n">
        <v>0.3</v>
      </c>
      <c r="BJ9" s="129" t="n">
        <v>0.3</v>
      </c>
      <c r="BK9" s="129" t="n">
        <v>0.3</v>
      </c>
      <c r="BL9" s="129" t="n">
        <v>0.3</v>
      </c>
      <c r="BM9" s="129" t="n">
        <v>0.3</v>
      </c>
      <c r="BN9" s="131" t="n">
        <v>0.3</v>
      </c>
      <c r="BO9" s="132" t="n">
        <v>0.3</v>
      </c>
      <c r="BP9" s="132" t="n">
        <v>0.3</v>
      </c>
      <c r="BQ9" s="132" t="n">
        <v>0.3</v>
      </c>
      <c r="BR9" s="132" t="n">
        <v>0.3</v>
      </c>
    </row>
    <row r="10">
      <c r="C10" s="120" t="inlineStr">
        <is>
          <t>定常浸透率</t>
        </is>
      </c>
      <c r="D10" s="120" t="inlineStr">
        <is>
          <t>保証は見直し・解約あり。推定</t>
        </is>
      </c>
      <c r="E10" s="120" t="n"/>
      <c r="F10" s="120" t="n">
        <v>0.6</v>
      </c>
      <c r="G10" s="120" t="n">
        <v>0.6</v>
      </c>
      <c r="H10" s="120" t="n">
        <v>0.6</v>
      </c>
      <c r="I10" s="120" t="n">
        <v>0.6</v>
      </c>
      <c r="J10" s="120" t="n">
        <v>0.6</v>
      </c>
      <c r="K10" s="120" t="n">
        <v>0.6</v>
      </c>
      <c r="L10" s="120" t="n">
        <v>0.6</v>
      </c>
      <c r="M10" s="120" t="n">
        <v>0.6</v>
      </c>
      <c r="N10" s="120" t="n">
        <v>0.6</v>
      </c>
      <c r="O10" s="120" t="n">
        <v>0.6</v>
      </c>
      <c r="P10" s="120" t="n">
        <v>0.6</v>
      </c>
      <c r="Q10" s="120" t="n">
        <v>0.6</v>
      </c>
      <c r="R10" s="133" t="n">
        <v>0.6</v>
      </c>
      <c r="S10" s="120" t="n">
        <v>0.6</v>
      </c>
      <c r="T10" s="120" t="n">
        <v>0.6</v>
      </c>
      <c r="U10" s="120" t="n">
        <v>0.6</v>
      </c>
      <c r="V10" s="120" t="n">
        <v>0.6</v>
      </c>
      <c r="W10" s="120" t="n">
        <v>0.6</v>
      </c>
      <c r="X10" s="120" t="n">
        <v>0.6</v>
      </c>
      <c r="Y10" s="120" t="n">
        <v>0.6</v>
      </c>
      <c r="Z10" s="120" t="n">
        <v>0.6</v>
      </c>
      <c r="AA10" s="120" t="n">
        <v>0.6</v>
      </c>
      <c r="AB10" s="120" t="n">
        <v>0.6</v>
      </c>
      <c r="AC10" s="120" t="n">
        <v>0.6</v>
      </c>
      <c r="AD10" s="120" t="n">
        <v>0.6</v>
      </c>
      <c r="AE10" s="120" t="n">
        <v>0.6</v>
      </c>
      <c r="AF10" s="120" t="n">
        <v>0.6</v>
      </c>
      <c r="AG10" s="120" t="n">
        <v>0.6</v>
      </c>
      <c r="AH10" s="120" t="n">
        <v>0.6</v>
      </c>
      <c r="AI10" s="120" t="n">
        <v>0.6</v>
      </c>
      <c r="AJ10" s="120" t="n">
        <v>0.6</v>
      </c>
      <c r="AK10" s="120" t="n">
        <v>0.6</v>
      </c>
      <c r="AL10" s="120" t="n">
        <v>0.6</v>
      </c>
      <c r="AM10" s="120" t="n">
        <v>0.6</v>
      </c>
      <c r="AN10" s="120" t="n">
        <v>0.6</v>
      </c>
      <c r="AO10" s="120" t="n">
        <v>0.6</v>
      </c>
      <c r="AP10" s="120" t="n">
        <v>0.6</v>
      </c>
      <c r="AQ10" s="120" t="n">
        <v>0.6</v>
      </c>
      <c r="AR10" s="120" t="n">
        <v>0.6</v>
      </c>
      <c r="AS10" s="120" t="n">
        <v>0.6</v>
      </c>
      <c r="AT10" s="120" t="n">
        <v>0.6</v>
      </c>
      <c r="AU10" s="120" t="n">
        <v>0.6</v>
      </c>
      <c r="AV10" s="120" t="n">
        <v>0.6</v>
      </c>
      <c r="AW10" s="120" t="n">
        <v>0.6</v>
      </c>
      <c r="AX10" s="120" t="n">
        <v>0.6</v>
      </c>
      <c r="AY10" s="120" t="n">
        <v>0.6</v>
      </c>
      <c r="AZ10" s="120" t="n">
        <v>0.6</v>
      </c>
      <c r="BA10" s="120" t="n">
        <v>0.6</v>
      </c>
      <c r="BB10" s="120" t="n">
        <v>0.6</v>
      </c>
      <c r="BC10" s="120" t="n">
        <v>0.6</v>
      </c>
      <c r="BD10" s="120" t="n">
        <v>0.6</v>
      </c>
      <c r="BE10" s="120" t="n">
        <v>0.6</v>
      </c>
      <c r="BF10" s="120" t="n">
        <v>0.6</v>
      </c>
      <c r="BG10" s="120" t="n">
        <v>0.6</v>
      </c>
      <c r="BH10" s="120" t="n">
        <v>0.6</v>
      </c>
      <c r="BI10" s="120" t="n">
        <v>0.6</v>
      </c>
      <c r="BJ10" s="120" t="n">
        <v>0.6</v>
      </c>
      <c r="BK10" s="120" t="n">
        <v>0.6</v>
      </c>
      <c r="BL10" s="120" t="n">
        <v>0.6</v>
      </c>
      <c r="BM10" s="120" t="n">
        <v>0.6</v>
      </c>
      <c r="BN10" s="131" t="n">
        <v>0.6</v>
      </c>
      <c r="BO10" s="120" t="n">
        <v>0.6</v>
      </c>
      <c r="BP10" s="120" t="n">
        <v>0.6</v>
      </c>
      <c r="BQ10" s="120" t="n">
        <v>0.6</v>
      </c>
      <c r="BR10" s="120" t="n">
        <v>0.6</v>
      </c>
    </row>
    <row r="11">
      <c r="C11" s="120" t="inlineStr">
        <is>
          <t>１税理士 / 受注数（定常）</t>
        </is>
      </c>
      <c r="D11" s="120" t="n"/>
      <c r="E11" s="120" t="n"/>
      <c r="F11" s="120">
        <f>F6*F7*F8*F9*F10</f>
        <v>0.0</v>
      </c>
      <c r="G11" s="120">
        <f>G6*G7*G8*G9*G10</f>
        <v>2.52</v>
      </c>
      <c r="H11" s="120">
        <f>H6*H7*H8*H9*H10</f>
        <v>13.86</v>
      </c>
      <c r="I11" s="120">
        <f>I6*I7*I8*I9*I10</f>
        <v>25.2</v>
      </c>
      <c r="J11" s="120">
        <f>J6*J7*J8*J9*J10</f>
        <v>35.28</v>
      </c>
      <c r="K11" s="120">
        <f>K6*K7*K8*K9*K10</f>
        <v>47.88</v>
      </c>
      <c r="L11" s="120">
        <f>L6*L7*L8*L9*L10</f>
        <v>60.48</v>
      </c>
      <c r="M11" s="120">
        <f>M6*M7*M8*M9*M10</f>
        <v>73.08</v>
      </c>
      <c r="N11" s="120">
        <f>N6*N7*N8*N9*N10</f>
        <v>88.2</v>
      </c>
      <c r="O11" s="120">
        <f>O6*O7*O8*O9*O10</f>
        <v>102.06</v>
      </c>
      <c r="P11" s="120">
        <f>P6*P7*P8*P9*P10</f>
        <v>115.92</v>
      </c>
      <c r="Q11" s="120">
        <f>Q6*Q7*Q8*Q9*Q10</f>
        <v>132.3</v>
      </c>
      <c r="R11" s="133">
        <f>R6*R7*R8*R9*R10</f>
        <v>147.42</v>
      </c>
      <c r="S11" s="120">
        <f>S6*S7*S8*S9*S10</f>
        <v>162.54</v>
      </c>
      <c r="T11" s="120">
        <f>T6*T7*T8*T9*T10</f>
        <v>180.18</v>
      </c>
      <c r="U11" s="120">
        <f>U6*U7*U8*U9*U10</f>
        <v>196.56</v>
      </c>
      <c r="V11" s="120">
        <f>V6*V7*V8*V9*V10</f>
        <v>212.94</v>
      </c>
      <c r="W11" s="120">
        <f>W6*W7*W8*W9*W10</f>
        <v>231.84</v>
      </c>
      <c r="X11" s="120">
        <f>X6*X7*X8*X9*X10</f>
        <v>249.48</v>
      </c>
      <c r="Y11" s="120">
        <f>Y6*Y7*Y8*Y9*Y10</f>
        <v>267.12</v>
      </c>
      <c r="Z11" s="120">
        <f>Z6*Z7*Z8*Z9*Z10</f>
        <v>287.28</v>
      </c>
      <c r="AA11" s="120">
        <f>AA6*AA7*AA8*AA9*AA10</f>
        <v>306.18</v>
      </c>
      <c r="AB11" s="120">
        <f>AB6*AB7*AB8*AB9*AB10</f>
        <v>325.08</v>
      </c>
      <c r="AC11" s="120">
        <f>AC6*AC7*AC8*AC9*AC10</f>
        <v>345.24</v>
      </c>
      <c r="AD11" s="120">
        <f>AD6*AD7*AD8*AD9*AD10</f>
        <v>367.92</v>
      </c>
      <c r="AE11" s="120">
        <f>AE6*AE7*AE8*AE9*AE10</f>
        <v>389.34</v>
      </c>
      <c r="AF11" s="120">
        <f>AF6*AF7*AF8*AF9*AF10</f>
        <v>413.28</v>
      </c>
      <c r="AG11" s="120">
        <f>AG6*AG7*AG8*AG9*AG10</f>
        <v>435.96</v>
      </c>
      <c r="AH11" s="120">
        <f>AH6*AH7*AH8*AH9*AH10</f>
        <v>459.9</v>
      </c>
      <c r="AI11" s="120">
        <f>AI6*AI7*AI8*AI9*AI10</f>
        <v>483.84</v>
      </c>
      <c r="AJ11" s="120">
        <f>AJ6*AJ7*AJ8*AJ9*AJ10</f>
        <v>509.04</v>
      </c>
      <c r="AK11" s="120">
        <f>AK6*AK7*AK8*AK9*AK10</f>
        <v>532.98</v>
      </c>
      <c r="AL11" s="120">
        <f>AL6*AL7*AL8*AL9*AL10</f>
        <v>559.44</v>
      </c>
      <c r="AM11" s="120">
        <f>AM6*AM7*AM8*AM9*AM10</f>
        <v>584.64</v>
      </c>
      <c r="AN11" s="120">
        <f>AN6*AN7*AN8*AN9*AN10</f>
        <v>609.84</v>
      </c>
      <c r="AO11" s="120">
        <f>AO6*AO7*AO8*AO9*AO10</f>
        <v>637.56</v>
      </c>
      <c r="AP11" s="120">
        <f>AP6*AP7*AP8*AP9*AP10</f>
        <v>664.02</v>
      </c>
      <c r="AQ11" s="120">
        <f>AQ6*AQ7*AQ8*AQ9*AQ10</f>
        <v>690.48</v>
      </c>
      <c r="AR11" s="120">
        <f>AR6*AR7*AR8*AR9*AR10</f>
        <v>718.2</v>
      </c>
      <c r="AS11" s="120">
        <f>AS6*AS7*AS8*AS9*AS10</f>
        <v>745.92</v>
      </c>
      <c r="AT11" s="120">
        <f>AT6*AT7*AT8*AT9*AT10</f>
        <v>773.64</v>
      </c>
      <c r="AU11" s="120">
        <f>AU6*AU7*AU8*AU9*AU10</f>
        <v>802.62</v>
      </c>
      <c r="AV11" s="120">
        <f>AV6*AV7*AV8*AV9*AV10</f>
        <v>831.6</v>
      </c>
      <c r="AW11" s="120">
        <f>AW6*AW7*AW8*AW9*AW10</f>
        <v>860.58</v>
      </c>
      <c r="AX11" s="120">
        <f>AX6*AX7*AX8*AX9*AX10</f>
        <v>890.82</v>
      </c>
      <c r="AY11" s="120">
        <f>AY6*AY7*AY8*AY9*AY10</f>
        <v>919.8</v>
      </c>
      <c r="AZ11" s="120">
        <f>AZ6*AZ7*AZ8*AZ9*AZ10</f>
        <v>950.04</v>
      </c>
      <c r="BA11" s="120">
        <f>BA6*BA7*BA8*BA9*BA10</f>
        <v>980.28</v>
      </c>
      <c r="BB11" s="120">
        <f>BB6*BB7*BB8*BB9*BB10</f>
        <v>1016.82</v>
      </c>
      <c r="BC11" s="120">
        <f>BC6*BC7*BC8*BC9*BC10</f>
        <v>1052.1</v>
      </c>
      <c r="BD11" s="120">
        <f>BD6*BD7*BD8*BD9*BD10</f>
        <v>1088.64</v>
      </c>
      <c r="BE11" s="120">
        <f>BE6*BE7*BE8*BE9*BE10</f>
        <v>1125.18</v>
      </c>
      <c r="BF11" s="120">
        <f>BF6*BF7*BF8*BF9*BF10</f>
        <v>1161.72</v>
      </c>
      <c r="BG11" s="120">
        <f>BG6*BG7*BG8*BG9*BG10</f>
        <v>1200.78</v>
      </c>
      <c r="BH11" s="120">
        <f>BH6*BH7*BH8*BH9*BH10</f>
        <v>1238.58</v>
      </c>
      <c r="BI11" s="120">
        <f>BI6*BI7*BI8*BI9*BI10</f>
        <v>1276.38</v>
      </c>
      <c r="BJ11" s="120">
        <f>BJ6*BJ7*BJ8*BJ9*BJ10</f>
        <v>1315.44</v>
      </c>
      <c r="BK11" s="120">
        <f>BK6*BK7*BK8*BK9*BK10</f>
        <v>1354.5</v>
      </c>
      <c r="BL11" s="120">
        <f>BL6*BL7*BL8*BL9*BL10</f>
        <v>1393.56</v>
      </c>
      <c r="BM11" s="120">
        <f>BM6*BM7*BM8*BM9*BM10</f>
        <v>1433.88</v>
      </c>
      <c r="BN11" s="131">
        <f>BN6*BN7*BN8*BN9*BN10</f>
        <v>132.3</v>
      </c>
      <c r="BO11" s="120">
        <f>BO6*BO7*BO8*BO9*BO10</f>
        <v>345.24</v>
      </c>
      <c r="BP11" s="120">
        <f>BP6*BP7*BP8*BP9*BP10</f>
        <v>637.56</v>
      </c>
      <c r="BQ11" s="120">
        <f>BQ6*BQ7*BQ8*BQ9*BQ10</f>
        <v>980.28</v>
      </c>
      <c r="BR11" s="120">
        <f>BR6*BR7*BR8*BR9*BR10</f>
        <v>1433.88</v>
      </c>
    </row>
    <row r="12">
      <c r="C12" s="120" t="inlineStr">
        <is>
          <t>想定保証料（月/社）</t>
        </is>
      </c>
      <c r="D12" s="120" t="inlineStr">
        <is>
          <t>保証枠×年率1〜3%の相場から。推定</t>
        </is>
      </c>
      <c r="E12" s="120" t="n"/>
      <c r="F12" s="120" t="n">
        <v>30000</v>
      </c>
      <c r="G12" s="120" t="n">
        <v>30000</v>
      </c>
      <c r="H12" s="120" t="n">
        <v>30000</v>
      </c>
      <c r="I12" s="120" t="n">
        <v>30000</v>
      </c>
      <c r="J12" s="120" t="n">
        <v>30000</v>
      </c>
      <c r="K12" s="120" t="n">
        <v>30000</v>
      </c>
      <c r="L12" s="120" t="n">
        <v>30000</v>
      </c>
      <c r="M12" s="120" t="n">
        <v>30000</v>
      </c>
      <c r="N12" s="120" t="n">
        <v>30000</v>
      </c>
      <c r="O12" s="120" t="n">
        <v>30000</v>
      </c>
      <c r="P12" s="120" t="n">
        <v>30000</v>
      </c>
      <c r="Q12" s="120" t="n">
        <v>30000</v>
      </c>
      <c r="R12" s="133" t="n">
        <v>30000</v>
      </c>
      <c r="S12" s="120" t="n">
        <v>30000</v>
      </c>
      <c r="T12" s="120" t="n">
        <v>30000</v>
      </c>
      <c r="U12" s="120" t="n">
        <v>30000</v>
      </c>
      <c r="V12" s="120" t="n">
        <v>30000</v>
      </c>
      <c r="W12" s="120" t="n">
        <v>30000</v>
      </c>
      <c r="X12" s="120" t="n">
        <v>30000</v>
      </c>
      <c r="Y12" s="120" t="n">
        <v>30000</v>
      </c>
      <c r="Z12" s="120" t="n">
        <v>30000</v>
      </c>
      <c r="AA12" s="120" t="n">
        <v>30000</v>
      </c>
      <c r="AB12" s="120" t="n">
        <v>30000</v>
      </c>
      <c r="AC12" s="120" t="n">
        <v>30000</v>
      </c>
      <c r="AD12" s="120" t="n">
        <v>30000</v>
      </c>
      <c r="AE12" s="120" t="n">
        <v>30000</v>
      </c>
      <c r="AF12" s="120" t="n">
        <v>30000</v>
      </c>
      <c r="AG12" s="120" t="n">
        <v>30000</v>
      </c>
      <c r="AH12" s="120" t="n">
        <v>30000</v>
      </c>
      <c r="AI12" s="120" t="n">
        <v>30000</v>
      </c>
      <c r="AJ12" s="120" t="n">
        <v>30000</v>
      </c>
      <c r="AK12" s="120" t="n">
        <v>30000</v>
      </c>
      <c r="AL12" s="120" t="n">
        <v>30000</v>
      </c>
      <c r="AM12" s="120" t="n">
        <v>30000</v>
      </c>
      <c r="AN12" s="120" t="n">
        <v>30000</v>
      </c>
      <c r="AO12" s="120" t="n">
        <v>30000</v>
      </c>
      <c r="AP12" s="120" t="n">
        <v>30000</v>
      </c>
      <c r="AQ12" s="120" t="n">
        <v>30000</v>
      </c>
      <c r="AR12" s="120" t="n">
        <v>30000</v>
      </c>
      <c r="AS12" s="120" t="n">
        <v>30000</v>
      </c>
      <c r="AT12" s="120" t="n">
        <v>30000</v>
      </c>
      <c r="AU12" s="120" t="n">
        <v>30000</v>
      </c>
      <c r="AV12" s="120" t="n">
        <v>30000</v>
      </c>
      <c r="AW12" s="120" t="n">
        <v>30000</v>
      </c>
      <c r="AX12" s="120" t="n">
        <v>30000</v>
      </c>
      <c r="AY12" s="120" t="n">
        <v>30000</v>
      </c>
      <c r="AZ12" s="120" t="n">
        <v>30000</v>
      </c>
      <c r="BA12" s="120" t="n">
        <v>30000</v>
      </c>
      <c r="BB12" s="120" t="n">
        <v>30000</v>
      </c>
      <c r="BC12" s="120" t="n">
        <v>30000</v>
      </c>
      <c r="BD12" s="120" t="n">
        <v>30000</v>
      </c>
      <c r="BE12" s="120" t="n">
        <v>30000</v>
      </c>
      <c r="BF12" s="120" t="n">
        <v>30000</v>
      </c>
      <c r="BG12" s="120" t="n">
        <v>30000</v>
      </c>
      <c r="BH12" s="120" t="n">
        <v>30000</v>
      </c>
      <c r="BI12" s="120" t="n">
        <v>30000</v>
      </c>
      <c r="BJ12" s="120" t="n">
        <v>30000</v>
      </c>
      <c r="BK12" s="120" t="n">
        <v>30000</v>
      </c>
      <c r="BL12" s="120" t="n">
        <v>30000</v>
      </c>
      <c r="BM12" s="120" t="n">
        <v>30000</v>
      </c>
      <c r="BN12" s="131" t="n">
        <v>30000</v>
      </c>
      <c r="BO12" s="120" t="n">
        <v>30000</v>
      </c>
      <c r="BP12" s="120" t="n">
        <v>30000</v>
      </c>
      <c r="BQ12" s="120" t="n">
        <v>30000</v>
      </c>
      <c r="BR12" s="120" t="n">
        <v>30000</v>
      </c>
    </row>
    <row r="13">
      <c r="C13" s="120" t="inlineStr">
        <is>
          <t>代理店手数料率（継続・対保証料）</t>
        </is>
      </c>
      <c r="D13" s="120" t="inlineStr">
        <is>
          <t>非公開＝要交渉。推定</t>
        </is>
      </c>
      <c r="E13" s="120" t="n"/>
      <c r="F13" s="120" t="n">
        <v>0.15</v>
      </c>
      <c r="G13" s="120" t="n">
        <v>0.15</v>
      </c>
      <c r="H13" s="120" t="n">
        <v>0.15</v>
      </c>
      <c r="I13" s="120" t="n">
        <v>0.15</v>
      </c>
      <c r="J13" s="120" t="n">
        <v>0.15</v>
      </c>
      <c r="K13" s="120" t="n">
        <v>0.15</v>
      </c>
      <c r="L13" s="120" t="n">
        <v>0.15</v>
      </c>
      <c r="M13" s="120" t="n">
        <v>0.15</v>
      </c>
      <c r="N13" s="120" t="n">
        <v>0.15</v>
      </c>
      <c r="O13" s="120" t="n">
        <v>0.15</v>
      </c>
      <c r="P13" s="120" t="n">
        <v>0.15</v>
      </c>
      <c r="Q13" s="120" t="n">
        <v>0.15</v>
      </c>
      <c r="R13" s="133" t="n">
        <v>0.15</v>
      </c>
      <c r="S13" s="120" t="n">
        <v>0.15</v>
      </c>
      <c r="T13" s="120" t="n">
        <v>0.15</v>
      </c>
      <c r="U13" s="120" t="n">
        <v>0.15</v>
      </c>
      <c r="V13" s="120" t="n">
        <v>0.15</v>
      </c>
      <c r="W13" s="120" t="n">
        <v>0.15</v>
      </c>
      <c r="X13" s="120" t="n">
        <v>0.15</v>
      </c>
      <c r="Y13" s="120" t="n">
        <v>0.15</v>
      </c>
      <c r="Z13" s="120" t="n">
        <v>0.15</v>
      </c>
      <c r="AA13" s="120" t="n">
        <v>0.15</v>
      </c>
      <c r="AB13" s="120" t="n">
        <v>0.15</v>
      </c>
      <c r="AC13" s="120" t="n">
        <v>0.15</v>
      </c>
      <c r="AD13" s="120" t="n">
        <v>0.15</v>
      </c>
      <c r="AE13" s="120" t="n">
        <v>0.15</v>
      </c>
      <c r="AF13" s="120" t="n">
        <v>0.15</v>
      </c>
      <c r="AG13" s="120" t="n">
        <v>0.15</v>
      </c>
      <c r="AH13" s="120" t="n">
        <v>0.15</v>
      </c>
      <c r="AI13" s="120" t="n">
        <v>0.15</v>
      </c>
      <c r="AJ13" s="120" t="n">
        <v>0.15</v>
      </c>
      <c r="AK13" s="120" t="n">
        <v>0.15</v>
      </c>
      <c r="AL13" s="120" t="n">
        <v>0.15</v>
      </c>
      <c r="AM13" s="120" t="n">
        <v>0.15</v>
      </c>
      <c r="AN13" s="120" t="n">
        <v>0.15</v>
      </c>
      <c r="AO13" s="120" t="n">
        <v>0.15</v>
      </c>
      <c r="AP13" s="120" t="n">
        <v>0.15</v>
      </c>
      <c r="AQ13" s="120" t="n">
        <v>0.15</v>
      </c>
      <c r="AR13" s="120" t="n">
        <v>0.15</v>
      </c>
      <c r="AS13" s="120" t="n">
        <v>0.15</v>
      </c>
      <c r="AT13" s="120" t="n">
        <v>0.15</v>
      </c>
      <c r="AU13" s="120" t="n">
        <v>0.15</v>
      </c>
      <c r="AV13" s="120" t="n">
        <v>0.15</v>
      </c>
      <c r="AW13" s="120" t="n">
        <v>0.15</v>
      </c>
      <c r="AX13" s="120" t="n">
        <v>0.15</v>
      </c>
      <c r="AY13" s="120" t="n">
        <v>0.15</v>
      </c>
      <c r="AZ13" s="120" t="n">
        <v>0.15</v>
      </c>
      <c r="BA13" s="120" t="n">
        <v>0.15</v>
      </c>
      <c r="BB13" s="120" t="n">
        <v>0.15</v>
      </c>
      <c r="BC13" s="120" t="n">
        <v>0.15</v>
      </c>
      <c r="BD13" s="120" t="n">
        <v>0.15</v>
      </c>
      <c r="BE13" s="120" t="n">
        <v>0.15</v>
      </c>
      <c r="BF13" s="120" t="n">
        <v>0.15</v>
      </c>
      <c r="BG13" s="120" t="n">
        <v>0.15</v>
      </c>
      <c r="BH13" s="120" t="n">
        <v>0.15</v>
      </c>
      <c r="BI13" s="120" t="n">
        <v>0.15</v>
      </c>
      <c r="BJ13" s="120" t="n">
        <v>0.15</v>
      </c>
      <c r="BK13" s="120" t="n">
        <v>0.15</v>
      </c>
      <c r="BL13" s="120" t="n">
        <v>0.15</v>
      </c>
      <c r="BM13" s="120" t="n">
        <v>0.15</v>
      </c>
      <c r="BN13" s="131" t="n">
        <v>0.15</v>
      </c>
      <c r="BO13" s="120" t="n">
        <v>0.15</v>
      </c>
      <c r="BP13" s="120" t="n">
        <v>0.15</v>
      </c>
      <c r="BQ13" s="120" t="n">
        <v>0.15</v>
      </c>
      <c r="BR13" s="120" t="n">
        <v>0.15</v>
      </c>
    </row>
    <row r="14">
      <c r="C14" s="120" t="inlineStr">
        <is>
          <t>手数料計（月/社）</t>
        </is>
      </c>
      <c r="D14" s="120" t="n"/>
      <c r="E14" s="120" t="n"/>
      <c r="F14" s="120">
        <f>F12*F13</f>
        <v>4500.0</v>
      </c>
      <c r="G14" s="120">
        <f>G12*G13</f>
        <v>4500.0</v>
      </c>
      <c r="H14" s="120">
        <f>H12*H13</f>
        <v>4500.0</v>
      </c>
      <c r="I14" s="120">
        <f>I12*I13</f>
        <v>4500.0</v>
      </c>
      <c r="J14" s="120">
        <f>J12*J13</f>
        <v>4500.0</v>
      </c>
      <c r="K14" s="120">
        <f>K12*K13</f>
        <v>4500.0</v>
      </c>
      <c r="L14" s="120">
        <f>L12*L13</f>
        <v>4500.0</v>
      </c>
      <c r="M14" s="120">
        <f>M12*M13</f>
        <v>4500.0</v>
      </c>
      <c r="N14" s="120">
        <f>N12*N13</f>
        <v>4500.0</v>
      </c>
      <c r="O14" s="120">
        <f>O12*O13</f>
        <v>4500.0</v>
      </c>
      <c r="P14" s="120">
        <f>P12*P13</f>
        <v>4500.0</v>
      </c>
      <c r="Q14" s="120">
        <f>Q12*Q13</f>
        <v>4500.0</v>
      </c>
      <c r="R14" s="133">
        <f>R12*R13</f>
        <v>4500.0</v>
      </c>
      <c r="S14" s="120">
        <f>S12*S13</f>
        <v>4500.0</v>
      </c>
      <c r="T14" s="120">
        <f>T12*T13</f>
        <v>4500.0</v>
      </c>
      <c r="U14" s="120">
        <f>U12*U13</f>
        <v>4500.0</v>
      </c>
      <c r="V14" s="120">
        <f>V12*V13</f>
        <v>4500.0</v>
      </c>
      <c r="W14" s="120">
        <f>W12*W13</f>
        <v>4500.0</v>
      </c>
      <c r="X14" s="120">
        <f>X12*X13</f>
        <v>4500.0</v>
      </c>
      <c r="Y14" s="120">
        <f>Y12*Y13</f>
        <v>4500.0</v>
      </c>
      <c r="Z14" s="120">
        <f>Z12*Z13</f>
        <v>4500.0</v>
      </c>
      <c r="AA14" s="120">
        <f>AA12*AA13</f>
        <v>4500.0</v>
      </c>
      <c r="AB14" s="120">
        <f>AB12*AB13</f>
        <v>4500.0</v>
      </c>
      <c r="AC14" s="120">
        <f>AC12*AC13</f>
        <v>4500.0</v>
      </c>
      <c r="AD14" s="120">
        <f>AD12*AD13</f>
        <v>4500.0</v>
      </c>
      <c r="AE14" s="120">
        <f>AE12*AE13</f>
        <v>4500.0</v>
      </c>
      <c r="AF14" s="120">
        <f>AF12*AF13</f>
        <v>4500.0</v>
      </c>
      <c r="AG14" s="120">
        <f>AG12*AG13</f>
        <v>4500.0</v>
      </c>
      <c r="AH14" s="120">
        <f>AH12*AH13</f>
        <v>4500.0</v>
      </c>
      <c r="AI14" s="120">
        <f>AI12*AI13</f>
        <v>4500.0</v>
      </c>
      <c r="AJ14" s="120">
        <f>AJ12*AJ13</f>
        <v>4500.0</v>
      </c>
      <c r="AK14" s="120">
        <f>AK12*AK13</f>
        <v>4500.0</v>
      </c>
      <c r="AL14" s="120">
        <f>AL12*AL13</f>
        <v>4500.0</v>
      </c>
      <c r="AM14" s="120">
        <f>AM12*AM13</f>
        <v>4500.0</v>
      </c>
      <c r="AN14" s="120">
        <f>AN12*AN13</f>
        <v>4500.0</v>
      </c>
      <c r="AO14" s="120">
        <f>AO12*AO13</f>
        <v>4500.0</v>
      </c>
      <c r="AP14" s="120">
        <f>AP12*AP13</f>
        <v>4500.0</v>
      </c>
      <c r="AQ14" s="120">
        <f>AQ12*AQ13</f>
        <v>4500.0</v>
      </c>
      <c r="AR14" s="120">
        <f>AR12*AR13</f>
        <v>4500.0</v>
      </c>
      <c r="AS14" s="120">
        <f>AS12*AS13</f>
        <v>4500.0</v>
      </c>
      <c r="AT14" s="120">
        <f>AT12*AT13</f>
        <v>4500.0</v>
      </c>
      <c r="AU14" s="120">
        <f>AU12*AU13</f>
        <v>4500.0</v>
      </c>
      <c r="AV14" s="120">
        <f>AV12*AV13</f>
        <v>4500.0</v>
      </c>
      <c r="AW14" s="120">
        <f>AW12*AW13</f>
        <v>4500.0</v>
      </c>
      <c r="AX14" s="120">
        <f>AX12*AX13</f>
        <v>4500.0</v>
      </c>
      <c r="AY14" s="120">
        <f>AY12*AY13</f>
        <v>4500.0</v>
      </c>
      <c r="AZ14" s="120">
        <f>AZ12*AZ13</f>
        <v>4500.0</v>
      </c>
      <c r="BA14" s="120">
        <f>BA12*BA13</f>
        <v>4500.0</v>
      </c>
      <c r="BB14" s="120">
        <f>BB12*BB13</f>
        <v>4500.0</v>
      </c>
      <c r="BC14" s="120">
        <f>BC12*BC13</f>
        <v>4500.0</v>
      </c>
      <c r="BD14" s="120">
        <f>BD12*BD13</f>
        <v>4500.0</v>
      </c>
      <c r="BE14" s="120">
        <f>BE12*BE13</f>
        <v>4500.0</v>
      </c>
      <c r="BF14" s="120">
        <f>BF12*BF13</f>
        <v>4500.0</v>
      </c>
      <c r="BG14" s="120">
        <f>BG12*BG13</f>
        <v>4500.0</v>
      </c>
      <c r="BH14" s="120">
        <f>BH12*BH13</f>
        <v>4500.0</v>
      </c>
      <c r="BI14" s="120">
        <f>BI12*BI13</f>
        <v>4500.0</v>
      </c>
      <c r="BJ14" s="120">
        <f>BJ12*BJ13</f>
        <v>4500.0</v>
      </c>
      <c r="BK14" s="120">
        <f>BK12*BK13</f>
        <v>4500.0</v>
      </c>
      <c r="BL14" s="120">
        <f>BL12*BL13</f>
        <v>4500.0</v>
      </c>
      <c r="BM14" s="120">
        <f>BM12*BM13</f>
        <v>4500.0</v>
      </c>
      <c r="BN14" s="131">
        <f>BN12*BN13</f>
        <v>4500.0</v>
      </c>
      <c r="BO14" s="120">
        <f>BO12*BO13</f>
        <v>4500.0</v>
      </c>
      <c r="BP14" s="120">
        <f>BP12*BP13</f>
        <v>4500.0</v>
      </c>
      <c r="BQ14" s="120">
        <f>BQ12*BQ13</f>
        <v>4500.0</v>
      </c>
      <c r="BR14" s="120">
        <f>BR12*BR13</f>
        <v>4500.0</v>
      </c>
    </row>
    <row r="15">
      <c r="C15" s="120" t="inlineStr">
        <is>
          <t>内・税理士（月/社）</t>
        </is>
      </c>
      <c r="D15" s="120" t="inlineStr">
        <is>
          <t>配分 税理士2：taXel1</t>
        </is>
      </c>
      <c r="E15" s="120" t="n"/>
      <c r="F15" s="120" t="n">
        <v>3000</v>
      </c>
      <c r="G15" s="120" t="n">
        <v>3000</v>
      </c>
      <c r="H15" s="120" t="n">
        <v>3000</v>
      </c>
      <c r="I15" s="120" t="n">
        <v>3000</v>
      </c>
      <c r="J15" s="120" t="n">
        <v>3000</v>
      </c>
      <c r="K15" s="120" t="n">
        <v>3000</v>
      </c>
      <c r="L15" s="120" t="n">
        <v>3000</v>
      </c>
      <c r="M15" s="120" t="n">
        <v>3000</v>
      </c>
      <c r="N15" s="120" t="n">
        <v>3000</v>
      </c>
      <c r="O15" s="120" t="n">
        <v>3000</v>
      </c>
      <c r="P15" s="120" t="n">
        <v>3000</v>
      </c>
      <c r="Q15" s="120" t="n">
        <v>3000</v>
      </c>
      <c r="R15" s="133" t="n">
        <v>3000</v>
      </c>
      <c r="S15" s="120" t="n">
        <v>3000</v>
      </c>
      <c r="T15" s="120" t="n">
        <v>3000</v>
      </c>
      <c r="U15" s="120" t="n">
        <v>3000</v>
      </c>
      <c r="V15" s="120" t="n">
        <v>3000</v>
      </c>
      <c r="W15" s="120" t="n">
        <v>3000</v>
      </c>
      <c r="X15" s="120" t="n">
        <v>3000</v>
      </c>
      <c r="Y15" s="120" t="n">
        <v>3000</v>
      </c>
      <c r="Z15" s="120" t="n">
        <v>3000</v>
      </c>
      <c r="AA15" s="120" t="n">
        <v>3000</v>
      </c>
      <c r="AB15" s="120" t="n">
        <v>3000</v>
      </c>
      <c r="AC15" s="120" t="n">
        <v>3000</v>
      </c>
      <c r="AD15" s="120" t="n">
        <v>3000</v>
      </c>
      <c r="AE15" s="120" t="n">
        <v>3000</v>
      </c>
      <c r="AF15" s="120" t="n">
        <v>3000</v>
      </c>
      <c r="AG15" s="120" t="n">
        <v>3000</v>
      </c>
      <c r="AH15" s="120" t="n">
        <v>3000</v>
      </c>
      <c r="AI15" s="120" t="n">
        <v>3000</v>
      </c>
      <c r="AJ15" s="120" t="n">
        <v>3000</v>
      </c>
      <c r="AK15" s="120" t="n">
        <v>3000</v>
      </c>
      <c r="AL15" s="120" t="n">
        <v>3000</v>
      </c>
      <c r="AM15" s="120" t="n">
        <v>3000</v>
      </c>
      <c r="AN15" s="120" t="n">
        <v>3000</v>
      </c>
      <c r="AO15" s="120" t="n">
        <v>3000</v>
      </c>
      <c r="AP15" s="120" t="n">
        <v>3000</v>
      </c>
      <c r="AQ15" s="120" t="n">
        <v>3000</v>
      </c>
      <c r="AR15" s="120" t="n">
        <v>3000</v>
      </c>
      <c r="AS15" s="120" t="n">
        <v>3000</v>
      </c>
      <c r="AT15" s="120" t="n">
        <v>3000</v>
      </c>
      <c r="AU15" s="120" t="n">
        <v>3000</v>
      </c>
      <c r="AV15" s="120" t="n">
        <v>3000</v>
      </c>
      <c r="AW15" s="120" t="n">
        <v>3000</v>
      </c>
      <c r="AX15" s="120" t="n">
        <v>3000</v>
      </c>
      <c r="AY15" s="120" t="n">
        <v>3000</v>
      </c>
      <c r="AZ15" s="120" t="n">
        <v>3000</v>
      </c>
      <c r="BA15" s="120" t="n">
        <v>3000</v>
      </c>
      <c r="BB15" s="120" t="n">
        <v>3000</v>
      </c>
      <c r="BC15" s="120" t="n">
        <v>3000</v>
      </c>
      <c r="BD15" s="120" t="n">
        <v>3000</v>
      </c>
      <c r="BE15" s="120" t="n">
        <v>3000</v>
      </c>
      <c r="BF15" s="120" t="n">
        <v>3000</v>
      </c>
      <c r="BG15" s="120" t="n">
        <v>3000</v>
      </c>
      <c r="BH15" s="120" t="n">
        <v>3000</v>
      </c>
      <c r="BI15" s="120" t="n">
        <v>3000</v>
      </c>
      <c r="BJ15" s="120" t="n">
        <v>3000</v>
      </c>
      <c r="BK15" s="120" t="n">
        <v>3000</v>
      </c>
      <c r="BL15" s="120" t="n">
        <v>3000</v>
      </c>
      <c r="BM15" s="120" t="n">
        <v>3000</v>
      </c>
      <c r="BN15" s="131" t="n">
        <v>3000</v>
      </c>
      <c r="BO15" s="120" t="n">
        <v>3000</v>
      </c>
      <c r="BP15" s="120" t="n">
        <v>3000</v>
      </c>
      <c r="BQ15" s="120" t="n">
        <v>3000</v>
      </c>
      <c r="BR15" s="120" t="n">
        <v>3000</v>
      </c>
    </row>
    <row r="16">
      <c r="C16" s="134" t="inlineStr">
        <is>
          <t>内・taXel（月/社）</t>
        </is>
      </c>
      <c r="D16" s="134" t="n"/>
      <c r="E16" s="134" t="inlineStr">
        <is>
          <t>単価</t>
        </is>
      </c>
      <c r="F16" s="209">
        <f>F14-F15</f>
        <v>1500.0</v>
      </c>
      <c r="G16" s="209">
        <f>G14-G15</f>
        <v>1500.0</v>
      </c>
      <c r="H16" s="209">
        <f>H14-H15</f>
        <v>1500.0</v>
      </c>
      <c r="I16" s="209">
        <f>I14-I15</f>
        <v>1500.0</v>
      </c>
      <c r="J16" s="209">
        <f>J14-J15</f>
        <v>1500.0</v>
      </c>
      <c r="K16" s="209">
        <f>K14-K15</f>
        <v>1500.0</v>
      </c>
      <c r="L16" s="209">
        <f>L14-L15</f>
        <v>1500.0</v>
      </c>
      <c r="M16" s="209">
        <f>M14-M15</f>
        <v>1500.0</v>
      </c>
      <c r="N16" s="209">
        <f>N14-N15</f>
        <v>1500.0</v>
      </c>
      <c r="O16" s="209">
        <f>O14-O15</f>
        <v>1500.0</v>
      </c>
      <c r="P16" s="209">
        <f>P14-P15</f>
        <v>1500.0</v>
      </c>
      <c r="Q16" s="209">
        <f>Q14-Q15</f>
        <v>1500.0</v>
      </c>
      <c r="R16" s="210">
        <f>R14-R15</f>
        <v>1500.0</v>
      </c>
      <c r="S16" s="209">
        <f>S14-S15</f>
        <v>1500.0</v>
      </c>
      <c r="T16" s="209">
        <f>T14-T15</f>
        <v>1500.0</v>
      </c>
      <c r="U16" s="209">
        <f>U14-U15</f>
        <v>1500.0</v>
      </c>
      <c r="V16" s="209">
        <f>V14-V15</f>
        <v>1500.0</v>
      </c>
      <c r="W16" s="209">
        <f>W14-W15</f>
        <v>1500.0</v>
      </c>
      <c r="X16" s="209">
        <f>X14-X15</f>
        <v>1500.0</v>
      </c>
      <c r="Y16" s="209">
        <f>Y14-Y15</f>
        <v>1500.0</v>
      </c>
      <c r="Z16" s="209">
        <f>Z14-Z15</f>
        <v>1500.0</v>
      </c>
      <c r="AA16" s="209">
        <f>AA14-AA15</f>
        <v>1500.0</v>
      </c>
      <c r="AB16" s="209">
        <f>AB14-AB15</f>
        <v>1500.0</v>
      </c>
      <c r="AC16" s="209">
        <f>AC14-AC15</f>
        <v>1500.0</v>
      </c>
      <c r="AD16" s="209">
        <f>AD14-AD15</f>
        <v>1500.0</v>
      </c>
      <c r="AE16" s="209">
        <f>AE14-AE15</f>
        <v>1500.0</v>
      </c>
      <c r="AF16" s="209">
        <f>AF14-AF15</f>
        <v>1500.0</v>
      </c>
      <c r="AG16" s="209">
        <f>AG14-AG15</f>
        <v>1500.0</v>
      </c>
      <c r="AH16" s="209">
        <f>AH14-AH15</f>
        <v>1500.0</v>
      </c>
      <c r="AI16" s="209">
        <f>AI14-AI15</f>
        <v>1500.0</v>
      </c>
      <c r="AJ16" s="209">
        <f>AJ14-AJ15</f>
        <v>1500.0</v>
      </c>
      <c r="AK16" s="209">
        <f>AK14-AK15</f>
        <v>1500.0</v>
      </c>
      <c r="AL16" s="209">
        <f>AL14-AL15</f>
        <v>1500.0</v>
      </c>
      <c r="AM16" s="209">
        <f>AM14-AM15</f>
        <v>1500.0</v>
      </c>
      <c r="AN16" s="209">
        <f>AN14-AN15</f>
        <v>1500.0</v>
      </c>
      <c r="AO16" s="209">
        <f>AO14-AO15</f>
        <v>1500.0</v>
      </c>
      <c r="AP16" s="209">
        <f>AP14-AP15</f>
        <v>1500.0</v>
      </c>
      <c r="AQ16" s="209">
        <f>AQ14-AQ15</f>
        <v>1500.0</v>
      </c>
      <c r="AR16" s="209">
        <f>AR14-AR15</f>
        <v>1500.0</v>
      </c>
      <c r="AS16" s="209">
        <f>AS14-AS15</f>
        <v>1500.0</v>
      </c>
      <c r="AT16" s="209">
        <f>AT14-AT15</f>
        <v>1500.0</v>
      </c>
      <c r="AU16" s="209">
        <f>AU14-AU15</f>
        <v>1500.0</v>
      </c>
      <c r="AV16" s="209">
        <f>AV14-AV15</f>
        <v>1500.0</v>
      </c>
      <c r="AW16" s="209">
        <f>AW14-AW15</f>
        <v>1500.0</v>
      </c>
      <c r="AX16" s="209">
        <f>AX14-AX15</f>
        <v>1500.0</v>
      </c>
      <c r="AY16" s="209">
        <f>AY14-AY15</f>
        <v>1500.0</v>
      </c>
      <c r="AZ16" s="209">
        <f>AZ14-AZ15</f>
        <v>1500.0</v>
      </c>
      <c r="BA16" s="209">
        <f>BA14-BA15</f>
        <v>1500.0</v>
      </c>
      <c r="BB16" s="209">
        <f>BB14-BB15</f>
        <v>1500.0</v>
      </c>
      <c r="BC16" s="209">
        <f>BC14-BC15</f>
        <v>1500.0</v>
      </c>
      <c r="BD16" s="209">
        <f>BD14-BD15</f>
        <v>1500.0</v>
      </c>
      <c r="BE16" s="209">
        <f>BE14-BE15</f>
        <v>1500.0</v>
      </c>
      <c r="BF16" s="209">
        <f>BF14-BF15</f>
        <v>1500.0</v>
      </c>
      <c r="BG16" s="209">
        <f>BG14-BG15</f>
        <v>1500.0</v>
      </c>
      <c r="BH16" s="209">
        <f>BH14-BH15</f>
        <v>1500.0</v>
      </c>
      <c r="BI16" s="209">
        <f>BI14-BI15</f>
        <v>1500.0</v>
      </c>
      <c r="BJ16" s="209">
        <f>BJ14-BJ15</f>
        <v>1500.0</v>
      </c>
      <c r="BK16" s="209">
        <f>BK14-BK15</f>
        <v>1500.0</v>
      </c>
      <c r="BL16" s="209">
        <f>BL14-BL15</f>
        <v>1500.0</v>
      </c>
      <c r="BM16" s="209">
        <f>BM14-BM15</f>
        <v>1500.0</v>
      </c>
      <c r="BN16" s="210">
        <f>BN14-BN15</f>
        <v>1500.0</v>
      </c>
      <c r="BO16" s="209">
        <f>BO14-BO15</f>
        <v>1500.0</v>
      </c>
      <c r="BP16" s="209">
        <f>BP14-BP15</f>
        <v>1500.0</v>
      </c>
      <c r="BQ16" s="209">
        <f>BQ14-BQ15</f>
        <v>1500.0</v>
      </c>
      <c r="BR16" s="209">
        <f>BR14-BR15</f>
        <v>1500.0</v>
      </c>
    </row>
    <row r="17">
      <c r="C17" s="120" t="inlineStr">
        <is>
          <t>１税理士 / 紹介費用</t>
        </is>
      </c>
      <c r="D17" s="120" t="inlineStr">
        <is>
          <t>Y2（M13）から開拓</t>
        </is>
      </c>
      <c r="E17" s="120" t="n"/>
      <c r="F17" s="120" t="n">
        <v>0</v>
      </c>
      <c r="G17" s="120" t="n">
        <v>0</v>
      </c>
      <c r="H17" s="120" t="n">
        <v>0</v>
      </c>
      <c r="I17" s="120" t="n">
        <v>0</v>
      </c>
      <c r="J17" s="120" t="n">
        <v>0</v>
      </c>
      <c r="K17" s="120" t="n">
        <v>0</v>
      </c>
      <c r="L17" s="120" t="n">
        <v>0</v>
      </c>
      <c r="M17" s="120" t="n">
        <v>0</v>
      </c>
      <c r="N17" s="120" t="n">
        <v>0</v>
      </c>
      <c r="O17" s="120" t="n">
        <v>0</v>
      </c>
      <c r="P17" s="120" t="n">
        <v>0</v>
      </c>
      <c r="Q17" s="120" t="n">
        <v>0</v>
      </c>
      <c r="R17" s="133">
        <f>R16*R11</f>
        <v>221130.0</v>
      </c>
      <c r="S17" s="120">
        <f>S16*S11</f>
        <v>243810.0</v>
      </c>
      <c r="T17" s="120">
        <f>T16*T11</f>
        <v>270270.0</v>
      </c>
      <c r="U17" s="120">
        <f>U16*U11</f>
        <v>294840.0</v>
      </c>
      <c r="V17" s="120">
        <f>V16*V11</f>
        <v>319410.0</v>
      </c>
      <c r="W17" s="120">
        <f>W16*W11</f>
        <v>347760.0</v>
      </c>
      <c r="X17" s="120">
        <f>X16*X11</f>
        <v>374220.0</v>
      </c>
      <c r="Y17" s="120">
        <f>Y16*Y11</f>
        <v>400680.0</v>
      </c>
      <c r="Z17" s="120">
        <f>Z16*Z11</f>
        <v>430920.0</v>
      </c>
      <c r="AA17" s="120">
        <f>AA16*AA11</f>
        <v>459270.0</v>
      </c>
      <c r="AB17" s="120">
        <f>AB16*AB11</f>
        <v>487620.0</v>
      </c>
      <c r="AC17" s="120">
        <f>AC16*AC11</f>
        <v>517860.0</v>
      </c>
      <c r="AD17" s="120">
        <f>AD16*AD11</f>
        <v>551880.0</v>
      </c>
      <c r="AE17" s="120">
        <f>AE16*AE11</f>
        <v>584010.0</v>
      </c>
      <c r="AF17" s="120">
        <f>AF16*AF11</f>
        <v>619920.0</v>
      </c>
      <c r="AG17" s="120">
        <f>AG16*AG11</f>
        <v>653940.0</v>
      </c>
      <c r="AH17" s="120">
        <f>AH16*AH11</f>
        <v>689850.0</v>
      </c>
      <c r="AI17" s="120">
        <f>AI16*AI11</f>
        <v>725760.0</v>
      </c>
      <c r="AJ17" s="120">
        <f>AJ16*AJ11</f>
        <v>763560.0</v>
      </c>
      <c r="AK17" s="120">
        <f>AK16*AK11</f>
        <v>799470.0</v>
      </c>
      <c r="AL17" s="120">
        <f>AL16*AL11</f>
        <v>839160.0</v>
      </c>
      <c r="AM17" s="120">
        <f>AM16*AM11</f>
        <v>876960.0</v>
      </c>
      <c r="AN17" s="120">
        <f>AN16*AN11</f>
        <v>914760.0</v>
      </c>
      <c r="AO17" s="120">
        <f>AO16*AO11</f>
        <v>956340.0</v>
      </c>
      <c r="AP17" s="120">
        <f>AP16*AP11</f>
        <v>996030.0</v>
      </c>
      <c r="AQ17" s="120">
        <f>AQ16*AQ11</f>
        <v>1035720.0</v>
      </c>
      <c r="AR17" s="120">
        <f>AR16*AR11</f>
        <v>1077300.0</v>
      </c>
      <c r="AS17" s="120">
        <f>AS16*AS11</f>
        <v>1118880.0</v>
      </c>
      <c r="AT17" s="120">
        <f>AT16*AT11</f>
        <v>1160460.0</v>
      </c>
      <c r="AU17" s="120">
        <f>AU16*AU11</f>
        <v>1203930.0</v>
      </c>
      <c r="AV17" s="120">
        <f>AV16*AV11</f>
        <v>1247400.0</v>
      </c>
      <c r="AW17" s="120">
        <f>AW16*AW11</f>
        <v>1290870.0</v>
      </c>
      <c r="AX17" s="120">
        <f>AX16*AX11</f>
        <v>1336230.0</v>
      </c>
      <c r="AY17" s="120">
        <f>AY16*AY11</f>
        <v>1379700.0</v>
      </c>
      <c r="AZ17" s="120">
        <f>AZ16*AZ11</f>
        <v>1425060.0</v>
      </c>
      <c r="BA17" s="120">
        <f>BA16*BA11</f>
        <v>1470420.0</v>
      </c>
      <c r="BB17" s="120">
        <f>BB16*BB11</f>
        <v>1525230.0</v>
      </c>
      <c r="BC17" s="120">
        <f>BC16*BC11</f>
        <v>1578150.0</v>
      </c>
      <c r="BD17" s="120">
        <f>BD16*BD11</f>
        <v>1632960.0</v>
      </c>
      <c r="BE17" s="120">
        <f>BE16*BE11</f>
        <v>1687770.0</v>
      </c>
      <c r="BF17" s="120">
        <f>BF16*BF11</f>
        <v>1742580.0</v>
      </c>
      <c r="BG17" s="120">
        <f>BG16*BG11</f>
        <v>1801170.0</v>
      </c>
      <c r="BH17" s="120">
        <f>BH16*BH11</f>
        <v>1857870.0</v>
      </c>
      <c r="BI17" s="120">
        <f>BI16*BI11</f>
        <v>1914570.0</v>
      </c>
      <c r="BJ17" s="120">
        <f>BJ16*BJ11</f>
        <v>1973160.0</v>
      </c>
      <c r="BK17" s="120">
        <f>BK16*BK11</f>
        <v>2031750.0</v>
      </c>
      <c r="BL17" s="120">
        <f>BL16*BL11</f>
        <v>2090340.0</v>
      </c>
      <c r="BM17" s="120">
        <f>BM16*BM11</f>
        <v>2150820.0</v>
      </c>
      <c r="BN17" s="131" t="n">
        <v>0</v>
      </c>
      <c r="BO17" s="120">
        <f>BO16*BO11</f>
        <v>517860.0</v>
      </c>
      <c r="BP17" s="120">
        <f>BP16*BP11</f>
        <v>956340.0</v>
      </c>
      <c r="BQ17" s="120">
        <f>BQ16*BQ11</f>
        <v>1470420.0</v>
      </c>
      <c r="BR17" s="120">
        <f>BR16*BR11</f>
        <v>2150820.0</v>
      </c>
    </row>
    <row r="18">
      <c r="C18" s="135" t="inlineStr">
        <is>
          <t>税理士数＝アカウト数</t>
        </is>
      </c>
      <c r="D18" s="136" t="n"/>
      <c r="E18" s="136" t="n"/>
      <c r="F18" s="211" t="n">
        <v>0</v>
      </c>
      <c r="G18" s="211" t="n">
        <v>2</v>
      </c>
      <c r="H18" s="211" t="n">
        <v>11</v>
      </c>
      <c r="I18" s="211" t="n">
        <v>20</v>
      </c>
      <c r="J18" s="211" t="n">
        <v>28</v>
      </c>
      <c r="K18" s="211" t="n">
        <v>38</v>
      </c>
      <c r="L18" s="211" t="n">
        <v>48</v>
      </c>
      <c r="M18" s="211" t="n">
        <v>58</v>
      </c>
      <c r="N18" s="211" t="n">
        <v>70</v>
      </c>
      <c r="O18" s="211" t="n">
        <v>81</v>
      </c>
      <c r="P18" s="211" t="n">
        <v>92</v>
      </c>
      <c r="Q18" s="211" t="n">
        <v>105</v>
      </c>
      <c r="R18" s="212" t="n">
        <v>117</v>
      </c>
      <c r="S18" s="211" t="n">
        <v>129</v>
      </c>
      <c r="T18" s="211" t="n">
        <v>143</v>
      </c>
      <c r="U18" s="211" t="n">
        <v>156</v>
      </c>
      <c r="V18" s="211" t="n">
        <v>169</v>
      </c>
      <c r="W18" s="211" t="n">
        <v>184</v>
      </c>
      <c r="X18" s="211" t="n">
        <v>198</v>
      </c>
      <c r="Y18" s="211" t="n">
        <v>212</v>
      </c>
      <c r="Z18" s="211" t="n">
        <v>228</v>
      </c>
      <c r="AA18" s="211" t="n">
        <v>243</v>
      </c>
      <c r="AB18" s="211" t="n">
        <v>258</v>
      </c>
      <c r="AC18" s="211" t="n">
        <v>274</v>
      </c>
      <c r="AD18" s="211" t="n">
        <v>292</v>
      </c>
      <c r="AE18" s="211" t="n">
        <v>309</v>
      </c>
      <c r="AF18" s="211" t="n">
        <v>328</v>
      </c>
      <c r="AG18" s="211" t="n">
        <v>346</v>
      </c>
      <c r="AH18" s="211" t="n">
        <v>365</v>
      </c>
      <c r="AI18" s="211" t="n">
        <v>384</v>
      </c>
      <c r="AJ18" s="211" t="n">
        <v>404</v>
      </c>
      <c r="AK18" s="211" t="n">
        <v>423</v>
      </c>
      <c r="AL18" s="211" t="n">
        <v>444</v>
      </c>
      <c r="AM18" s="211" t="n">
        <v>464</v>
      </c>
      <c r="AN18" s="211" t="n">
        <v>484</v>
      </c>
      <c r="AO18" s="211" t="n">
        <v>506</v>
      </c>
      <c r="AP18" s="211" t="n">
        <v>527</v>
      </c>
      <c r="AQ18" s="211" t="n">
        <v>548</v>
      </c>
      <c r="AR18" s="211" t="n">
        <v>570</v>
      </c>
      <c r="AS18" s="211" t="n">
        <v>592</v>
      </c>
      <c r="AT18" s="211" t="n">
        <v>614</v>
      </c>
      <c r="AU18" s="211" t="n">
        <v>637</v>
      </c>
      <c r="AV18" s="211" t="n">
        <v>660</v>
      </c>
      <c r="AW18" s="211" t="n">
        <v>683</v>
      </c>
      <c r="AX18" s="211" t="n">
        <v>707</v>
      </c>
      <c r="AY18" s="211" t="n">
        <v>730</v>
      </c>
      <c r="AZ18" s="211" t="n">
        <v>754</v>
      </c>
      <c r="BA18" s="211" t="n">
        <v>778</v>
      </c>
      <c r="BB18" s="211" t="n">
        <v>807</v>
      </c>
      <c r="BC18" s="211" t="n">
        <v>835</v>
      </c>
      <c r="BD18" s="211" t="n">
        <v>864</v>
      </c>
      <c r="BE18" s="211" t="n">
        <v>893</v>
      </c>
      <c r="BF18" s="211" t="n">
        <v>922</v>
      </c>
      <c r="BG18" s="211" t="n">
        <v>953</v>
      </c>
      <c r="BH18" s="211" t="n">
        <v>983</v>
      </c>
      <c r="BI18" s="211" t="n">
        <v>1013</v>
      </c>
      <c r="BJ18" s="211" t="n">
        <v>1044</v>
      </c>
      <c r="BK18" s="211" t="n">
        <v>1075</v>
      </c>
      <c r="BL18" s="211" t="n">
        <v>1106</v>
      </c>
      <c r="BM18" s="211" t="n">
        <v>1138</v>
      </c>
      <c r="BN18" s="213" t="n">
        <v>105</v>
      </c>
      <c r="BO18" s="211" t="n">
        <v>274</v>
      </c>
      <c r="BP18" s="211" t="n">
        <v>506</v>
      </c>
      <c r="BQ18" s="211" t="n">
        <v>778</v>
      </c>
      <c r="BR18" s="211" t="n">
        <v>1138</v>
      </c>
    </row>
    <row r="19">
      <c r="C19" s="214" t="inlineStr">
        <is>
          <t>新規</t>
        </is>
      </c>
      <c r="D19" s="136" t="n"/>
      <c r="E19" s="214" t="n"/>
      <c r="F19" s="120" t="n">
        <v>0</v>
      </c>
      <c r="G19" s="215" t="n">
        <v>1</v>
      </c>
      <c r="H19" s="215" t="n">
        <v>5</v>
      </c>
      <c r="I19" s="215" t="n">
        <v>5</v>
      </c>
      <c r="J19" s="215" t="n">
        <v>5</v>
      </c>
      <c r="K19" s="215">
        <f>H19+1</f>
        <v>6.0</v>
      </c>
      <c r="L19" s="215">
        <f>I19+1</f>
        <v>6.0</v>
      </c>
      <c r="M19" s="215">
        <f>J19+1</f>
        <v>6.0</v>
      </c>
      <c r="N19" s="215">
        <f>K19+1</f>
        <v>7.0</v>
      </c>
      <c r="O19" s="215">
        <f>L19+1</f>
        <v>7.0</v>
      </c>
      <c r="P19" s="215">
        <f>M19+1</f>
        <v>7.0</v>
      </c>
      <c r="Q19" s="215">
        <f>N19+1</f>
        <v>8.0</v>
      </c>
      <c r="R19" s="216">
        <f>O19+1</f>
        <v>8.0</v>
      </c>
      <c r="S19" s="215">
        <f>P19+1</f>
        <v>8.0</v>
      </c>
      <c r="T19" s="215">
        <f>Q19+1</f>
        <v>9.0</v>
      </c>
      <c r="U19" s="215">
        <f>R19+1</f>
        <v>9.0</v>
      </c>
      <c r="V19" s="215">
        <f>S19+1</f>
        <v>9.0</v>
      </c>
      <c r="W19" s="215">
        <f>T19+1</f>
        <v>10.0</v>
      </c>
      <c r="X19" s="215">
        <f>U19+1</f>
        <v>10.0</v>
      </c>
      <c r="Y19" s="215">
        <f>V19+1</f>
        <v>10.0</v>
      </c>
      <c r="Z19" s="215">
        <f>W19+1</f>
        <v>11.0</v>
      </c>
      <c r="AA19" s="215">
        <f>X19+1</f>
        <v>11.0</v>
      </c>
      <c r="AB19" s="215">
        <f>Y19+1</f>
        <v>11.0</v>
      </c>
      <c r="AC19" s="215">
        <f>Z19+1</f>
        <v>12.0</v>
      </c>
      <c r="AD19" s="215">
        <f>AA19+1</f>
        <v>12.0</v>
      </c>
      <c r="AE19" s="215">
        <f>AB19+1</f>
        <v>12.0</v>
      </c>
      <c r="AF19" s="215">
        <f>AC19+1</f>
        <v>13.0</v>
      </c>
      <c r="AG19" s="215">
        <f>AD19+1</f>
        <v>13.0</v>
      </c>
      <c r="AH19" s="215">
        <f>AE19+1</f>
        <v>13.0</v>
      </c>
      <c r="AI19" s="215">
        <f>AF19+1</f>
        <v>14.0</v>
      </c>
      <c r="AJ19" s="215">
        <f>AG19+1</f>
        <v>14.0</v>
      </c>
      <c r="AK19" s="215">
        <f>AH19+1</f>
        <v>14.0</v>
      </c>
      <c r="AL19" s="215">
        <f>AI19+1</f>
        <v>15.0</v>
      </c>
      <c r="AM19" s="215">
        <f>AJ19+1</f>
        <v>15.0</v>
      </c>
      <c r="AN19" s="215">
        <f>AK19+1</f>
        <v>15.0</v>
      </c>
      <c r="AO19" s="215">
        <f>AL19+1</f>
        <v>16.0</v>
      </c>
      <c r="AP19" s="215">
        <f>AM19+1</f>
        <v>16.0</v>
      </c>
      <c r="AQ19" s="215">
        <f>AN19+1</f>
        <v>16.0</v>
      </c>
      <c r="AR19" s="215">
        <f>AO19+1</f>
        <v>17.0</v>
      </c>
      <c r="AS19" s="215">
        <f>AP19+1</f>
        <v>17.0</v>
      </c>
      <c r="AT19" s="215">
        <f>AQ19+1</f>
        <v>17.0</v>
      </c>
      <c r="AU19" s="215">
        <f>AR19+1</f>
        <v>18.0</v>
      </c>
      <c r="AV19" s="215">
        <f>AS19+1</f>
        <v>18.0</v>
      </c>
      <c r="AW19" s="215">
        <f>AT19+1</f>
        <v>18.0</v>
      </c>
      <c r="AX19" s="215">
        <f>AU19+1</f>
        <v>19.0</v>
      </c>
      <c r="AY19" s="215">
        <f>AV19+1</f>
        <v>19.0</v>
      </c>
      <c r="AZ19" s="215">
        <f>AW19+1</f>
        <v>19.0</v>
      </c>
      <c r="BA19" s="215">
        <f>AX19+1</f>
        <v>20.0</v>
      </c>
      <c r="BB19" s="215">
        <f>AY19+1</f>
        <v>20.0</v>
      </c>
      <c r="BC19" s="215">
        <f>AZ19+1</f>
        <v>20.0</v>
      </c>
      <c r="BD19" s="215">
        <f>BA19+1</f>
        <v>21.0</v>
      </c>
      <c r="BE19" s="215">
        <f>BB19+1</f>
        <v>21.0</v>
      </c>
      <c r="BF19" s="215">
        <f>BC19+1</f>
        <v>21.0</v>
      </c>
      <c r="BG19" s="215">
        <f>BD19+1</f>
        <v>22.0</v>
      </c>
      <c r="BH19" s="215">
        <f>BE19+1</f>
        <v>22.0</v>
      </c>
      <c r="BI19" s="215">
        <f>BF19+1</f>
        <v>22.0</v>
      </c>
      <c r="BJ19" s="215">
        <f>BG19+1</f>
        <v>23.0</v>
      </c>
      <c r="BK19" s="215">
        <f>BH19+1</f>
        <v>23.0</v>
      </c>
      <c r="BL19" s="215">
        <f>BI19+1</f>
        <v>23.0</v>
      </c>
      <c r="BM19" s="215">
        <f>BJ19+1</f>
        <v>24.0</v>
      </c>
      <c r="BN19" s="217">
        <f>SUM(F19:Q19)</f>
        <v>63.0</v>
      </c>
      <c r="BO19" s="215">
        <f>SUM(R19:AC19)</f>
        <v>118.0</v>
      </c>
      <c r="BP19" s="215">
        <f>SUM(AD19:AO19)</f>
        <v>166.0</v>
      </c>
      <c r="BQ19" s="215">
        <f>SUM(AP19:BA19)</f>
        <v>214.0</v>
      </c>
      <c r="BR19" s="215">
        <f>SUM(BB19:BM19)</f>
        <v>262.0</v>
      </c>
    </row>
    <row r="20">
      <c r="C20" s="214" t="inlineStr">
        <is>
          <t>解約予想数</t>
        </is>
      </c>
      <c r="D20" s="136" t="inlineStr">
        <is>
          <t>【修正】解約予想数＝粗受注数(11行)×解約率(21行)に統一（誤った参照/手数料率混入を修正）</t>
        </is>
      </c>
      <c r="E20" s="214" t="n"/>
      <c r="F20" s="144">
        <f>F11*F21</f>
        <v>0.0</v>
      </c>
      <c r="G20" s="144">
        <f>G11*G21</f>
        <v>0.0504</v>
      </c>
      <c r="H20" s="144">
        <f>H11*H21</f>
        <v>0.2772</v>
      </c>
      <c r="I20" s="144">
        <f>I11*I21</f>
        <v>0.504</v>
      </c>
      <c r="J20" s="144">
        <f>J11*J21</f>
        <v>0.7056</v>
      </c>
      <c r="K20" s="144">
        <f>K11*K21</f>
        <v>0.9576</v>
      </c>
      <c r="L20" s="144">
        <f>L11*L21</f>
        <v>1.2096</v>
      </c>
      <c r="M20" s="144">
        <f>M11*M21</f>
        <v>1.4616</v>
      </c>
      <c r="N20" s="144">
        <f>N11*N21</f>
        <v>1.764</v>
      </c>
      <c r="O20" s="144">
        <f>O11*O21</f>
        <v>2.0412</v>
      </c>
      <c r="P20" s="144">
        <f>P11*P21</f>
        <v>2.3184</v>
      </c>
      <c r="Q20" s="144">
        <f>Q11*Q21</f>
        <v>2.646</v>
      </c>
      <c r="R20" s="145">
        <f>R11*R21</f>
        <v>2.9484</v>
      </c>
      <c r="S20" s="144">
        <f>S11*S21</f>
        <v>3.2508</v>
      </c>
      <c r="T20" s="144">
        <f>T11*T21</f>
        <v>3.6036</v>
      </c>
      <c r="U20" s="144">
        <f>U11*U21</f>
        <v>3.9312</v>
      </c>
      <c r="V20" s="144">
        <f>V11*V21</f>
        <v>4.2588</v>
      </c>
      <c r="W20" s="144">
        <f>W11*W21</f>
        <v>4.6368</v>
      </c>
      <c r="X20" s="144">
        <f>X11*X21</f>
        <v>4.9896</v>
      </c>
      <c r="Y20" s="144">
        <f>Y11*Y21</f>
        <v>5.3424</v>
      </c>
      <c r="Z20" s="144">
        <f>Z11*Z21</f>
        <v>5.7456</v>
      </c>
      <c r="AA20" s="144">
        <f>AA11*AA21</f>
        <v>6.1236</v>
      </c>
      <c r="AB20" s="144">
        <f>AB11*AB21</f>
        <v>6.5016</v>
      </c>
      <c r="AC20" s="144">
        <f>AC11*AC21</f>
        <v>6.9048</v>
      </c>
      <c r="AD20" s="144">
        <f>AD11*AD21</f>
        <v>5.5188</v>
      </c>
      <c r="AE20" s="144">
        <f>AE11*AE21</f>
        <v>5.8401</v>
      </c>
      <c r="AF20" s="144">
        <f>AF11*AF21</f>
        <v>6.1992</v>
      </c>
      <c r="AG20" s="144">
        <f>AG11*AG21</f>
        <v>6.5394</v>
      </c>
      <c r="AH20" s="144">
        <f>AH11*AH21</f>
        <v>6.8985</v>
      </c>
      <c r="AI20" s="144">
        <f>AI11*AI21</f>
        <v>7.2576</v>
      </c>
      <c r="AJ20" s="144">
        <f>AJ11*AJ21</f>
        <v>7.6356</v>
      </c>
      <c r="AK20" s="144">
        <f>AK11*AK21</f>
        <v>7.9947</v>
      </c>
      <c r="AL20" s="144">
        <f>AL11*AL21</f>
        <v>8.3916</v>
      </c>
      <c r="AM20" s="144">
        <f>AM11*AM21</f>
        <v>8.7696</v>
      </c>
      <c r="AN20" s="144">
        <f>AN11*AN21</f>
        <v>9.1476</v>
      </c>
      <c r="AO20" s="144">
        <f>AO11*AO21</f>
        <v>9.5634</v>
      </c>
      <c r="AP20" s="144">
        <f>AP11*AP21</f>
        <v>9.9603</v>
      </c>
      <c r="AQ20" s="144">
        <f>AQ11*AQ21</f>
        <v>10.3572</v>
      </c>
      <c r="AR20" s="144">
        <f>AR11*AR21</f>
        <v>10.773</v>
      </c>
      <c r="AS20" s="144">
        <f>AS11*AS21</f>
        <v>11.1888</v>
      </c>
      <c r="AT20" s="144">
        <f>AT11*AT21</f>
        <v>11.6046</v>
      </c>
      <c r="AU20" s="144">
        <f>AU11*AU21</f>
        <v>12.0393</v>
      </c>
      <c r="AV20" s="144">
        <f>AV11*AV21</f>
        <v>12.474</v>
      </c>
      <c r="AW20" s="144">
        <f>AW11*AW21</f>
        <v>12.9087</v>
      </c>
      <c r="AX20" s="144">
        <f>AX11*AX21</f>
        <v>13.3623</v>
      </c>
      <c r="AY20" s="144">
        <f>AY11*AY21</f>
        <v>13.797</v>
      </c>
      <c r="AZ20" s="144">
        <f>AZ11*AZ21</f>
        <v>14.2506</v>
      </c>
      <c r="BA20" s="144">
        <f>BA11*BA21</f>
        <v>14.7042</v>
      </c>
      <c r="BB20" s="144">
        <f>BB11*BB21</f>
        <v>10.1682</v>
      </c>
      <c r="BC20" s="144">
        <f>BC11*BC21</f>
        <v>10.521</v>
      </c>
      <c r="BD20" s="144">
        <f>BD11*BD21</f>
        <v>10.8864</v>
      </c>
      <c r="BE20" s="144">
        <f>BE11*BE21</f>
        <v>11.2518</v>
      </c>
      <c r="BF20" s="144">
        <f>BF11*BF21</f>
        <v>11.6172</v>
      </c>
      <c r="BG20" s="144">
        <f>BG11*BG21</f>
        <v>12.0078</v>
      </c>
      <c r="BH20" s="144">
        <f>BH11*BH21</f>
        <v>12.3858</v>
      </c>
      <c r="BI20" s="144">
        <f>BI11*BI21</f>
        <v>12.7638</v>
      </c>
      <c r="BJ20" s="144">
        <f>BJ11*BJ21</f>
        <v>13.1544</v>
      </c>
      <c r="BK20" s="144">
        <f>BK11*BK21</f>
        <v>13.545</v>
      </c>
      <c r="BL20" s="144">
        <f>BL11*BL21</f>
        <v>13.9356</v>
      </c>
      <c r="BM20" s="144">
        <f>BM11*BM21</f>
        <v>14.3388</v>
      </c>
      <c r="BN20" s="217">
        <f>SUM(F20:Q20)</f>
        <v>13.9356</v>
      </c>
      <c r="BO20" s="144">
        <f>SUM(R20:AC20)</f>
        <v>58.2372</v>
      </c>
      <c r="BP20" s="144">
        <f>SUM(AD20:AO20)</f>
        <v>89.7561</v>
      </c>
      <c r="BQ20" s="144">
        <f>SUM(AP20:BA20)</f>
        <v>147.42</v>
      </c>
      <c r="BR20" s="144">
        <f>SUM(BB20:BM20)</f>
        <v>146.5758</v>
      </c>
    </row>
    <row r="21">
      <c r="C21" s="214" t="inlineStr">
        <is>
          <t>解約率</t>
        </is>
      </c>
      <c r="D21" s="136" t="inlineStr">
        <is>
          <t>F&amp;M オフィスステーション1.01%</t>
        </is>
      </c>
      <c r="E21" s="214" t="n"/>
      <c r="F21" s="146" t="n">
        <v>0.02</v>
      </c>
      <c r="G21" s="146" t="n">
        <v>0.02</v>
      </c>
      <c r="H21" s="146" t="n">
        <v>0.02</v>
      </c>
      <c r="I21" s="146" t="n">
        <v>0.02</v>
      </c>
      <c r="J21" s="146" t="n">
        <v>0.02</v>
      </c>
      <c r="K21" s="146" t="n">
        <v>0.02</v>
      </c>
      <c r="L21" s="146" t="n">
        <v>0.02</v>
      </c>
      <c r="M21" s="146" t="n">
        <v>0.02</v>
      </c>
      <c r="N21" s="146" t="n">
        <v>0.02</v>
      </c>
      <c r="O21" s="146" t="n">
        <v>0.02</v>
      </c>
      <c r="P21" s="146" t="n">
        <v>0.02</v>
      </c>
      <c r="Q21" s="146" t="n">
        <v>0.02</v>
      </c>
      <c r="R21" s="147" t="n">
        <v>0.02</v>
      </c>
      <c r="S21" s="146" t="n">
        <v>0.02</v>
      </c>
      <c r="T21" s="146" t="n">
        <v>0.02</v>
      </c>
      <c r="U21" s="146" t="n">
        <v>0.02</v>
      </c>
      <c r="V21" s="146" t="n">
        <v>0.02</v>
      </c>
      <c r="W21" s="146" t="n">
        <v>0.02</v>
      </c>
      <c r="X21" s="146" t="n">
        <v>0.02</v>
      </c>
      <c r="Y21" s="146" t="n">
        <v>0.02</v>
      </c>
      <c r="Z21" s="146" t="n">
        <v>0.02</v>
      </c>
      <c r="AA21" s="146" t="n">
        <v>0.02</v>
      </c>
      <c r="AB21" s="146" t="n">
        <v>0.02</v>
      </c>
      <c r="AC21" s="146" t="n">
        <v>0.02</v>
      </c>
      <c r="AD21" s="218" t="n">
        <v>0.015</v>
      </c>
      <c r="AE21" s="218" t="n">
        <v>0.015</v>
      </c>
      <c r="AF21" s="218" t="n">
        <v>0.015</v>
      </c>
      <c r="AG21" s="218" t="n">
        <v>0.015</v>
      </c>
      <c r="AH21" s="218" t="n">
        <v>0.015</v>
      </c>
      <c r="AI21" s="218" t="n">
        <v>0.015</v>
      </c>
      <c r="AJ21" s="218" t="n">
        <v>0.015</v>
      </c>
      <c r="AK21" s="218" t="n">
        <v>0.015</v>
      </c>
      <c r="AL21" s="218" t="n">
        <v>0.015</v>
      </c>
      <c r="AM21" s="218" t="n">
        <v>0.015</v>
      </c>
      <c r="AN21" s="218" t="n">
        <v>0.015</v>
      </c>
      <c r="AO21" s="218" t="n">
        <v>0.015</v>
      </c>
      <c r="AP21" s="218" t="n">
        <v>0.015</v>
      </c>
      <c r="AQ21" s="218" t="n">
        <v>0.015</v>
      </c>
      <c r="AR21" s="218" t="n">
        <v>0.015</v>
      </c>
      <c r="AS21" s="218" t="n">
        <v>0.015</v>
      </c>
      <c r="AT21" s="218" t="n">
        <v>0.015</v>
      </c>
      <c r="AU21" s="218" t="n">
        <v>0.015</v>
      </c>
      <c r="AV21" s="218" t="n">
        <v>0.015</v>
      </c>
      <c r="AW21" s="218" t="n">
        <v>0.015</v>
      </c>
      <c r="AX21" s="218" t="n">
        <v>0.015</v>
      </c>
      <c r="AY21" s="218" t="n">
        <v>0.015</v>
      </c>
      <c r="AZ21" s="218" t="n">
        <v>0.015</v>
      </c>
      <c r="BA21" s="218" t="n">
        <v>0.015</v>
      </c>
      <c r="BB21" s="146" t="n">
        <v>0.01</v>
      </c>
      <c r="BC21" s="146" t="n">
        <v>0.01</v>
      </c>
      <c r="BD21" s="146" t="n">
        <v>0.01</v>
      </c>
      <c r="BE21" s="146" t="n">
        <v>0.01</v>
      </c>
      <c r="BF21" s="146" t="n">
        <v>0.01</v>
      </c>
      <c r="BG21" s="146" t="n">
        <v>0.01</v>
      </c>
      <c r="BH21" s="146" t="n">
        <v>0.01</v>
      </c>
      <c r="BI21" s="146" t="n">
        <v>0.01</v>
      </c>
      <c r="BJ21" s="146" t="n">
        <v>0.01</v>
      </c>
      <c r="BK21" s="146" t="n">
        <v>0.01</v>
      </c>
      <c r="BL21" s="146" t="n">
        <v>0.01</v>
      </c>
      <c r="BM21" s="146" t="n">
        <v>0.01</v>
      </c>
      <c r="BN21" s="149" t="n">
        <v>0.01</v>
      </c>
      <c r="BO21" s="146" t="n">
        <v>0.01</v>
      </c>
      <c r="BP21" s="146" t="n">
        <v>0.01</v>
      </c>
      <c r="BQ21" s="146" t="n">
        <v>0.01</v>
      </c>
      <c r="BR21" s="146" t="n">
        <v>0.01</v>
      </c>
    </row>
  </sheetData>
  <mergeCells count="1">
    <mergeCell ref="C5:E5"/>
  </mergeCell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Ryoma Leo Sato</dc:creator>
  <dcterms:created xmlns:dcterms="http://purl.org/dc/terms/" xmlns:xsi="http://www.w3.org/2001/XMLSchema-instance" xsi:type="dcterms:W3CDTF">2026-09-13T10:39:56Z</dcterms:created>
  <dcterms:modified xmlns:dcterms="http://purl.org/dc/terms/" xmlns:xsi="http://www.w3.org/2001/XMLSchema-instance" xsi:type="dcterms:W3CDTF">2026-09-29T09:38:24Z</dcterms:modified>
  <cp:lastModifiedBy>佐藤 龍馬</cp:lastModifiedBy>
</cp:coreProperties>
</file>